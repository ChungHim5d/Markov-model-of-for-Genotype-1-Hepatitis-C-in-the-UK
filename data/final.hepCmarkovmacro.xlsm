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imuzz/Documents/MSc health econ/modeling /HEPC/"/>
    </mc:Choice>
  </mc:AlternateContent>
  <xr:revisionPtr revIDLastSave="0" documentId="13_ncr:1_{4C141E13-47B8-7C4A-B867-B7F000F797CD}" xr6:coauthVersionLast="46" xr6:coauthVersionMax="46" xr10:uidLastSave="{00000000-0000-0000-0000-000000000000}"/>
  <bookViews>
    <workbookView xWindow="8360" yWindow="500" windowWidth="32720" windowHeight="16220" activeTab="8" xr2:uid="{61C0E51D-E32B-9D43-85F7-7DC5B713D386}"/>
  </bookViews>
  <sheets>
    <sheet name="model figure" sheetId="1" r:id="rId1"/>
    <sheet name="Parameters" sheetId="2" r:id="rId2"/>
    <sheet name="life table" sheetId="3" r:id="rId3"/>
    <sheet name="model for PR" sheetId="4" r:id="rId4"/>
    <sheet name="model for DAA" sheetId="5" r:id="rId5"/>
    <sheet name="Deterministic results" sheetId="6" r:id="rId6"/>
    <sheet name="Fitting distribution" sheetId="7" r:id="rId7"/>
    <sheet name="PSA" sheetId="10" r:id="rId8"/>
    <sheet name="Probabilistic results" sheetId="11" r:id="rId9"/>
    <sheet name="CEAC" sheetId="12" r:id="rId10"/>
  </sheets>
  <definedNames>
    <definedName name="Age">Parameters!$B$7</definedName>
    <definedName name="cCom">Parameters!$C$79</definedName>
    <definedName name="cDAA">Parameters!$B$68</definedName>
    <definedName name="cDecom">Parameters!$C$80</definedName>
    <definedName name="cDR">Parameters!$B$9</definedName>
    <definedName name="cHCC">Parameters!$C$81</definedName>
    <definedName name="cLT">Parameters!$C$82</definedName>
    <definedName name="cLTC">Parameters!$C$83</definedName>
    <definedName name="cMild">Parameters!$C$77</definedName>
    <definedName name="cModerate">Parameters!$C$78</definedName>
    <definedName name="cPLT">Parameters!$C$84</definedName>
    <definedName name="cPR">Parameters!$B$71</definedName>
    <definedName name="cSVR">Parameters!$C$85</definedName>
    <definedName name="cycle">'model for DAA'!$A$6:$A$36</definedName>
    <definedName name="daaSVRcc">Parameters!$C$37</definedName>
    <definedName name="daaSVRmi">Parameters!$C$35</definedName>
    <definedName name="daaSVRmo">Parameters!$C$36</definedName>
    <definedName name="lifetable">'life table'!$A$7:$C$62</definedName>
    <definedName name="male">Parameters!$B$8</definedName>
    <definedName name="mr">'model for DAA'!$C$7:$C$36</definedName>
    <definedName name="oDR">Parameters!$B$10</definedName>
    <definedName name="prSVRcc">Parameters!$C$43</definedName>
    <definedName name="prSVRmi">Parameters!$C$41</definedName>
    <definedName name="prSVRmo">Parameters!$C$42</definedName>
    <definedName name="tpCom2Decom">Parameters!$D$17</definedName>
    <definedName name="tpCom2HCC">Parameters!$D$18</definedName>
    <definedName name="tpDecom2HCC">Parameters!$D$20</definedName>
    <definedName name="tpDecom2LRD">Parameters!$D$22</definedName>
    <definedName name="tpDecom2LT">Parameters!$D$21</definedName>
    <definedName name="tpHCC2LRD">Parameters!$D$24</definedName>
    <definedName name="tpHCC2LT">Parameters!$D$23</definedName>
    <definedName name="tpLR2PLT">Parameters!$D$26</definedName>
    <definedName name="tpLT2LRD">Parameters!$D$25</definedName>
    <definedName name="tpMi2Mo">Parameters!$D$15</definedName>
    <definedName name="tpMo2Com">Parameters!$D$16</definedName>
    <definedName name="tpPLT2LRD">Parameters!$D$27</definedName>
    <definedName name="tpSRcc2Decom">Parameters!$D$19</definedName>
    <definedName name="tpSRF42Decom">Parameters!$D$19</definedName>
    <definedName name="uCom">Parameters!$B$50</definedName>
    <definedName name="uDecom">Parameters!$B$51</definedName>
    <definedName name="uHCC">Parameters!$B$52</definedName>
    <definedName name="uLT">Parameters!$B$53</definedName>
    <definedName name="uMild">Parameters!$B$48</definedName>
    <definedName name="uModerate">Parameters!$B$49</definedName>
    <definedName name="uPLT">Parameters!$B$54</definedName>
    <definedName name="uSVRcc">Parameters!$B$57</definedName>
    <definedName name="uSVRmi">Parameters!$B$55</definedName>
    <definedName name="uSVRmo">Parameters!$B$56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6" i="10" l="1"/>
  <c r="AT6" i="10"/>
  <c r="AS7" i="10"/>
  <c r="AT7" i="10"/>
  <c r="AS8" i="10"/>
  <c r="AT8" i="10"/>
  <c r="AS9" i="10"/>
  <c r="AT9" i="10"/>
  <c r="AS10" i="10"/>
  <c r="AT10" i="10"/>
  <c r="AS11" i="10"/>
  <c r="AT11" i="10"/>
  <c r="AS12" i="10"/>
  <c r="AT12" i="10"/>
  <c r="AS13" i="10"/>
  <c r="AT13" i="10"/>
  <c r="AS14" i="10"/>
  <c r="AT14" i="10"/>
  <c r="AS15" i="10"/>
  <c r="AT15" i="10"/>
  <c r="AS16" i="10"/>
  <c r="AT16" i="10"/>
  <c r="AS17" i="10"/>
  <c r="AT17" i="10"/>
  <c r="AS18" i="10"/>
  <c r="AT18" i="10"/>
  <c r="AS19" i="10"/>
  <c r="AT19" i="10"/>
  <c r="AS20" i="10"/>
  <c r="AT20" i="10"/>
  <c r="AS21" i="10"/>
  <c r="AT21" i="10"/>
  <c r="AS22" i="10"/>
  <c r="AT22" i="10"/>
  <c r="AS23" i="10"/>
  <c r="AT23" i="10"/>
  <c r="AS24" i="10"/>
  <c r="AT24" i="10"/>
  <c r="AS25" i="10"/>
  <c r="AT25" i="10"/>
  <c r="AS26" i="10"/>
  <c r="AT26" i="10"/>
  <c r="AS27" i="10"/>
  <c r="AT27" i="10"/>
  <c r="AS28" i="10"/>
  <c r="AT28" i="10"/>
  <c r="AS29" i="10"/>
  <c r="AT29" i="10"/>
  <c r="AS30" i="10"/>
  <c r="AT30" i="10"/>
  <c r="AS31" i="10"/>
  <c r="AT31" i="10"/>
  <c r="AS32" i="10"/>
  <c r="AT32" i="10"/>
  <c r="AS33" i="10"/>
  <c r="AT33" i="10"/>
  <c r="AS34" i="10"/>
  <c r="AT34" i="10"/>
  <c r="AS35" i="10"/>
  <c r="AT35" i="10"/>
  <c r="AS36" i="10"/>
  <c r="AT36" i="10"/>
  <c r="AS37" i="10"/>
  <c r="AT37" i="10"/>
  <c r="AS38" i="10"/>
  <c r="AT38" i="10"/>
  <c r="AS39" i="10"/>
  <c r="AT39" i="10"/>
  <c r="AS40" i="10"/>
  <c r="AT40" i="10"/>
  <c r="AS41" i="10"/>
  <c r="AT41" i="10"/>
  <c r="AS42" i="10"/>
  <c r="AT42" i="10"/>
  <c r="AS43" i="10"/>
  <c r="AT43" i="10"/>
  <c r="AS44" i="10"/>
  <c r="AT44" i="10"/>
  <c r="AS45" i="10"/>
  <c r="AT45" i="10"/>
  <c r="AS46" i="10"/>
  <c r="AT46" i="10"/>
  <c r="AS47" i="10"/>
  <c r="AT47" i="10"/>
  <c r="AS48" i="10"/>
  <c r="AT48" i="10"/>
  <c r="AS49" i="10"/>
  <c r="AT49" i="10"/>
  <c r="AS50" i="10"/>
  <c r="AT50" i="10"/>
  <c r="AS51" i="10"/>
  <c r="AT51" i="10"/>
  <c r="AS52" i="10"/>
  <c r="AT52" i="10"/>
  <c r="AS53" i="10"/>
  <c r="AT53" i="10"/>
  <c r="AS54" i="10"/>
  <c r="AT54" i="10"/>
  <c r="AS55" i="10"/>
  <c r="AT55" i="10"/>
  <c r="AS56" i="10"/>
  <c r="AT56" i="10"/>
  <c r="AS57" i="10"/>
  <c r="AT57" i="10"/>
  <c r="AS58" i="10"/>
  <c r="AT58" i="10"/>
  <c r="AS59" i="10"/>
  <c r="AT59" i="10"/>
  <c r="AS60" i="10"/>
  <c r="AT60" i="10"/>
  <c r="AS61" i="10"/>
  <c r="AT61" i="10"/>
  <c r="AS62" i="10"/>
  <c r="AT62" i="10"/>
  <c r="AS63" i="10"/>
  <c r="AT63" i="10"/>
  <c r="AS64" i="10"/>
  <c r="AT64" i="10"/>
  <c r="AS65" i="10"/>
  <c r="AT65" i="10"/>
  <c r="AS66" i="10"/>
  <c r="AT66" i="10"/>
  <c r="AS67" i="10"/>
  <c r="AT67" i="10"/>
  <c r="AS68" i="10"/>
  <c r="AT68" i="10"/>
  <c r="AS69" i="10"/>
  <c r="AT69" i="10"/>
  <c r="AS70" i="10"/>
  <c r="AT70" i="10"/>
  <c r="AS71" i="10"/>
  <c r="AT71" i="10"/>
  <c r="AS72" i="10"/>
  <c r="AT72" i="10"/>
  <c r="AS73" i="10"/>
  <c r="AT73" i="10"/>
  <c r="AS74" i="10"/>
  <c r="AT74" i="10"/>
  <c r="AS75" i="10"/>
  <c r="AT75" i="10"/>
  <c r="AS76" i="10"/>
  <c r="AT76" i="10"/>
  <c r="AS77" i="10"/>
  <c r="AT77" i="10"/>
  <c r="AS78" i="10"/>
  <c r="AT78" i="10"/>
  <c r="AS79" i="10"/>
  <c r="AT79" i="10"/>
  <c r="AS80" i="10"/>
  <c r="AT80" i="10"/>
  <c r="AS81" i="10"/>
  <c r="AT81" i="10"/>
  <c r="AS82" i="10"/>
  <c r="AT82" i="10"/>
  <c r="AS83" i="10"/>
  <c r="AT83" i="10"/>
  <c r="AS84" i="10"/>
  <c r="AT84" i="10"/>
  <c r="AS85" i="10"/>
  <c r="AT85" i="10"/>
  <c r="AS86" i="10"/>
  <c r="AT86" i="10"/>
  <c r="AS87" i="10"/>
  <c r="AT87" i="10"/>
  <c r="AS88" i="10"/>
  <c r="AT88" i="10"/>
  <c r="AS89" i="10"/>
  <c r="AT89" i="10"/>
  <c r="AS90" i="10"/>
  <c r="AT90" i="10"/>
  <c r="AS91" i="10"/>
  <c r="AT91" i="10"/>
  <c r="AS92" i="10"/>
  <c r="AT92" i="10"/>
  <c r="AS93" i="10"/>
  <c r="AT93" i="10"/>
  <c r="AS94" i="10"/>
  <c r="AT94" i="10"/>
  <c r="AS95" i="10"/>
  <c r="AT95" i="10"/>
  <c r="AS96" i="10"/>
  <c r="AT96" i="10"/>
  <c r="AS97" i="10"/>
  <c r="AT97" i="10"/>
  <c r="AS98" i="10"/>
  <c r="AT98" i="10"/>
  <c r="AS99" i="10"/>
  <c r="AT99" i="10"/>
  <c r="AS100" i="10"/>
  <c r="AT100" i="10"/>
  <c r="AS101" i="10"/>
  <c r="AT101" i="10"/>
  <c r="AS102" i="10"/>
  <c r="AT102" i="10"/>
  <c r="AS103" i="10"/>
  <c r="AT103" i="10"/>
  <c r="AS104" i="10"/>
  <c r="AT104" i="10"/>
  <c r="AS105" i="10"/>
  <c r="AT105" i="10"/>
  <c r="AS106" i="10"/>
  <c r="AT106" i="10"/>
  <c r="AS107" i="10"/>
  <c r="AT107" i="10"/>
  <c r="AS108" i="10"/>
  <c r="AT108" i="10"/>
  <c r="AS109" i="10"/>
  <c r="AT109" i="10"/>
  <c r="AS110" i="10"/>
  <c r="AT110" i="10"/>
  <c r="AS111" i="10"/>
  <c r="AT111" i="10"/>
  <c r="AS112" i="10"/>
  <c r="AT112" i="10"/>
  <c r="AS113" i="10"/>
  <c r="AT113" i="10"/>
  <c r="AS114" i="10"/>
  <c r="AT114" i="10"/>
  <c r="AS115" i="10"/>
  <c r="AT115" i="10"/>
  <c r="AS116" i="10"/>
  <c r="AT116" i="10"/>
  <c r="AS117" i="10"/>
  <c r="AT117" i="10"/>
  <c r="AS118" i="10"/>
  <c r="AT118" i="10"/>
  <c r="AS119" i="10"/>
  <c r="AT119" i="10"/>
  <c r="AS120" i="10"/>
  <c r="AT120" i="10"/>
  <c r="AS121" i="10"/>
  <c r="AT121" i="10"/>
  <c r="AS122" i="10"/>
  <c r="AT122" i="10"/>
  <c r="AS123" i="10"/>
  <c r="AT123" i="10"/>
  <c r="AS124" i="10"/>
  <c r="AT124" i="10"/>
  <c r="AS125" i="10"/>
  <c r="AT125" i="10"/>
  <c r="AS126" i="10"/>
  <c r="AT126" i="10"/>
  <c r="AS127" i="10"/>
  <c r="AT127" i="10"/>
  <c r="AS128" i="10"/>
  <c r="AT128" i="10"/>
  <c r="AS129" i="10"/>
  <c r="AT129" i="10"/>
  <c r="AS130" i="10"/>
  <c r="AT130" i="10"/>
  <c r="AS131" i="10"/>
  <c r="AT131" i="10"/>
  <c r="AS132" i="10"/>
  <c r="AT132" i="10"/>
  <c r="AS133" i="10"/>
  <c r="AT133" i="10"/>
  <c r="AS134" i="10"/>
  <c r="AT134" i="10"/>
  <c r="AS135" i="10"/>
  <c r="AT135" i="10"/>
  <c r="AS136" i="10"/>
  <c r="AT136" i="10"/>
  <c r="AS137" i="10"/>
  <c r="AT137" i="10"/>
  <c r="AS138" i="10"/>
  <c r="AT138" i="10"/>
  <c r="AS139" i="10"/>
  <c r="AT139" i="10"/>
  <c r="AS140" i="10"/>
  <c r="AT140" i="10"/>
  <c r="AS141" i="10"/>
  <c r="AT141" i="10"/>
  <c r="AS142" i="10"/>
  <c r="AT142" i="10"/>
  <c r="AS143" i="10"/>
  <c r="AT143" i="10"/>
  <c r="AS144" i="10"/>
  <c r="AT144" i="10"/>
  <c r="AS145" i="10"/>
  <c r="AT145" i="10"/>
  <c r="AS146" i="10"/>
  <c r="AT146" i="10"/>
  <c r="AS147" i="10"/>
  <c r="AT147" i="10"/>
  <c r="AS148" i="10"/>
  <c r="AT148" i="10"/>
  <c r="AS149" i="10"/>
  <c r="AT149" i="10"/>
  <c r="AS150" i="10"/>
  <c r="AT150" i="10"/>
  <c r="AS151" i="10"/>
  <c r="AT151" i="10"/>
  <c r="AS152" i="10"/>
  <c r="AT152" i="10"/>
  <c r="AS153" i="10"/>
  <c r="AT153" i="10"/>
  <c r="AS154" i="10"/>
  <c r="AT154" i="10"/>
  <c r="AS155" i="10"/>
  <c r="AT155" i="10"/>
  <c r="AS156" i="10"/>
  <c r="AT156" i="10"/>
  <c r="AS157" i="10"/>
  <c r="AT157" i="10"/>
  <c r="AS158" i="10"/>
  <c r="AT158" i="10"/>
  <c r="AS159" i="10"/>
  <c r="AT159" i="10"/>
  <c r="AS160" i="10"/>
  <c r="AT160" i="10"/>
  <c r="AS161" i="10"/>
  <c r="AT161" i="10"/>
  <c r="AS162" i="10"/>
  <c r="AT162" i="10"/>
  <c r="AS163" i="10"/>
  <c r="AT163" i="10"/>
  <c r="AS164" i="10"/>
  <c r="AT164" i="10"/>
  <c r="AS165" i="10"/>
  <c r="AT165" i="10"/>
  <c r="AS166" i="10"/>
  <c r="AT166" i="10"/>
  <c r="AS167" i="10"/>
  <c r="AT167" i="10"/>
  <c r="AS168" i="10"/>
  <c r="AT168" i="10"/>
  <c r="AS169" i="10"/>
  <c r="AT169" i="10"/>
  <c r="AS170" i="10"/>
  <c r="AT170" i="10"/>
  <c r="AS171" i="10"/>
  <c r="AT171" i="10"/>
  <c r="AS172" i="10"/>
  <c r="AT172" i="10"/>
  <c r="AS173" i="10"/>
  <c r="AT173" i="10"/>
  <c r="AS174" i="10"/>
  <c r="AT174" i="10"/>
  <c r="AS175" i="10"/>
  <c r="AT175" i="10"/>
  <c r="AS176" i="10"/>
  <c r="AT176" i="10"/>
  <c r="AS177" i="10"/>
  <c r="AT177" i="10"/>
  <c r="AS178" i="10"/>
  <c r="AT178" i="10"/>
  <c r="AS179" i="10"/>
  <c r="AT179" i="10"/>
  <c r="AS180" i="10"/>
  <c r="AT180" i="10"/>
  <c r="AS181" i="10"/>
  <c r="AT181" i="10"/>
  <c r="AS182" i="10"/>
  <c r="AT182" i="10"/>
  <c r="AS183" i="10"/>
  <c r="AT183" i="10"/>
  <c r="AS184" i="10"/>
  <c r="AT184" i="10"/>
  <c r="AS185" i="10"/>
  <c r="AT185" i="10"/>
  <c r="AS186" i="10"/>
  <c r="AT186" i="10"/>
  <c r="AS187" i="10"/>
  <c r="AT187" i="10"/>
  <c r="AS188" i="10"/>
  <c r="AT188" i="10"/>
  <c r="AS189" i="10"/>
  <c r="AT189" i="10"/>
  <c r="AS190" i="10"/>
  <c r="AT190" i="10"/>
  <c r="AS191" i="10"/>
  <c r="AT191" i="10"/>
  <c r="AS192" i="10"/>
  <c r="AT192" i="10"/>
  <c r="AS193" i="10"/>
  <c r="AT193" i="10"/>
  <c r="AS194" i="10"/>
  <c r="AT194" i="10"/>
  <c r="AS195" i="10"/>
  <c r="AT195" i="10"/>
  <c r="AS196" i="10"/>
  <c r="AT196" i="10"/>
  <c r="AS197" i="10"/>
  <c r="AT197" i="10"/>
  <c r="AS198" i="10"/>
  <c r="AT198" i="10"/>
  <c r="AS199" i="10"/>
  <c r="AT199" i="10"/>
  <c r="AS200" i="10"/>
  <c r="AT200" i="10"/>
  <c r="AS201" i="10"/>
  <c r="AT201" i="10"/>
  <c r="AS202" i="10"/>
  <c r="AT202" i="10"/>
  <c r="AS203" i="10"/>
  <c r="AT203" i="10"/>
  <c r="AS204" i="10"/>
  <c r="AT204" i="10"/>
  <c r="AS205" i="10"/>
  <c r="AT205" i="10"/>
  <c r="AS206" i="10"/>
  <c r="AT206" i="10"/>
  <c r="AS207" i="10"/>
  <c r="AT207" i="10"/>
  <c r="AS208" i="10"/>
  <c r="AT208" i="10"/>
  <c r="AS209" i="10"/>
  <c r="AT209" i="10"/>
  <c r="AS210" i="10"/>
  <c r="AT210" i="10"/>
  <c r="AS211" i="10"/>
  <c r="AT211" i="10"/>
  <c r="AS212" i="10"/>
  <c r="AT212" i="10"/>
  <c r="AS213" i="10"/>
  <c r="AT213" i="10"/>
  <c r="AS214" i="10"/>
  <c r="AT214" i="10"/>
  <c r="AS215" i="10"/>
  <c r="AT215" i="10"/>
  <c r="AS216" i="10"/>
  <c r="AT216" i="10"/>
  <c r="AS217" i="10"/>
  <c r="AT217" i="10"/>
  <c r="AS218" i="10"/>
  <c r="AT218" i="10"/>
  <c r="AS219" i="10"/>
  <c r="AT219" i="10"/>
  <c r="AS220" i="10"/>
  <c r="AT220" i="10"/>
  <c r="AS221" i="10"/>
  <c r="AT221" i="10"/>
  <c r="AS222" i="10"/>
  <c r="AT222" i="10"/>
  <c r="AS223" i="10"/>
  <c r="AT223" i="10"/>
  <c r="AS224" i="10"/>
  <c r="AT224" i="10"/>
  <c r="AS225" i="10"/>
  <c r="AT225" i="10"/>
  <c r="AS226" i="10"/>
  <c r="AT226" i="10"/>
  <c r="AS227" i="10"/>
  <c r="AT227" i="10"/>
  <c r="AS228" i="10"/>
  <c r="AT228" i="10"/>
  <c r="AS229" i="10"/>
  <c r="AT229" i="10"/>
  <c r="AS230" i="10"/>
  <c r="AT230" i="10"/>
  <c r="AS231" i="10"/>
  <c r="AT231" i="10"/>
  <c r="AS232" i="10"/>
  <c r="AT232" i="10"/>
  <c r="AS233" i="10"/>
  <c r="AT233" i="10"/>
  <c r="AS234" i="10"/>
  <c r="AT234" i="10"/>
  <c r="AS235" i="10"/>
  <c r="AT235" i="10"/>
  <c r="AS236" i="10"/>
  <c r="AT236" i="10"/>
  <c r="AS237" i="10"/>
  <c r="AT237" i="10"/>
  <c r="AS238" i="10"/>
  <c r="AT238" i="10"/>
  <c r="AS239" i="10"/>
  <c r="AT239" i="10"/>
  <c r="AS240" i="10"/>
  <c r="AT240" i="10"/>
  <c r="AS241" i="10"/>
  <c r="AT241" i="10"/>
  <c r="AS242" i="10"/>
  <c r="AT242" i="10"/>
  <c r="AS243" i="10"/>
  <c r="AT243" i="10"/>
  <c r="AS244" i="10"/>
  <c r="AT244" i="10"/>
  <c r="AS245" i="10"/>
  <c r="AT245" i="10"/>
  <c r="AS246" i="10"/>
  <c r="AT246" i="10"/>
  <c r="AS247" i="10"/>
  <c r="AT247" i="10"/>
  <c r="AS248" i="10"/>
  <c r="AT248" i="10"/>
  <c r="AS249" i="10"/>
  <c r="AT249" i="10"/>
  <c r="AS250" i="10"/>
  <c r="AT250" i="10"/>
  <c r="AS251" i="10"/>
  <c r="AT251" i="10"/>
  <c r="AS252" i="10"/>
  <c r="AT252" i="10"/>
  <c r="AS253" i="10"/>
  <c r="AT253" i="10"/>
  <c r="AS254" i="10"/>
  <c r="AT254" i="10"/>
  <c r="AS255" i="10"/>
  <c r="AT255" i="10"/>
  <c r="AS256" i="10"/>
  <c r="AT256" i="10"/>
  <c r="AS257" i="10"/>
  <c r="AT257" i="10"/>
  <c r="AS258" i="10"/>
  <c r="AT258" i="10"/>
  <c r="AS259" i="10"/>
  <c r="AT259" i="10"/>
  <c r="AS260" i="10"/>
  <c r="AT260" i="10"/>
  <c r="AS261" i="10"/>
  <c r="AT261" i="10"/>
  <c r="AS262" i="10"/>
  <c r="AT262" i="10"/>
  <c r="AS263" i="10"/>
  <c r="AT263" i="10"/>
  <c r="AS264" i="10"/>
  <c r="AT264" i="10"/>
  <c r="AS265" i="10"/>
  <c r="AT265" i="10"/>
  <c r="AS266" i="10"/>
  <c r="AT266" i="10"/>
  <c r="AS267" i="10"/>
  <c r="AT267" i="10"/>
  <c r="AS268" i="10"/>
  <c r="AT268" i="10"/>
  <c r="AS269" i="10"/>
  <c r="AT269" i="10"/>
  <c r="AS270" i="10"/>
  <c r="AT270" i="10"/>
  <c r="AS271" i="10"/>
  <c r="AT271" i="10"/>
  <c r="AS272" i="10"/>
  <c r="AT272" i="10"/>
  <c r="AS273" i="10"/>
  <c r="AT273" i="10"/>
  <c r="AS274" i="10"/>
  <c r="AT274" i="10"/>
  <c r="AS275" i="10"/>
  <c r="AT275" i="10"/>
  <c r="AS276" i="10"/>
  <c r="AT276" i="10"/>
  <c r="AS277" i="10"/>
  <c r="AT277" i="10"/>
  <c r="AS278" i="10"/>
  <c r="AT278" i="10"/>
  <c r="AS279" i="10"/>
  <c r="AT279" i="10"/>
  <c r="AS280" i="10"/>
  <c r="AT280" i="10"/>
  <c r="AS281" i="10"/>
  <c r="AT281" i="10"/>
  <c r="AS282" i="10"/>
  <c r="AT282" i="10"/>
  <c r="AS283" i="10"/>
  <c r="AT283" i="10"/>
  <c r="AS284" i="10"/>
  <c r="AT284" i="10"/>
  <c r="AS285" i="10"/>
  <c r="AT285" i="10"/>
  <c r="AS286" i="10"/>
  <c r="AT286" i="10"/>
  <c r="AS287" i="10"/>
  <c r="AT287" i="10"/>
  <c r="AS288" i="10"/>
  <c r="AT288" i="10"/>
  <c r="AS289" i="10"/>
  <c r="AT289" i="10"/>
  <c r="AS290" i="10"/>
  <c r="AT290" i="10"/>
  <c r="AS291" i="10"/>
  <c r="AT291" i="10"/>
  <c r="AS292" i="10"/>
  <c r="AT292" i="10"/>
  <c r="AS293" i="10"/>
  <c r="AT293" i="10"/>
  <c r="AS294" i="10"/>
  <c r="AT294" i="10"/>
  <c r="AS295" i="10"/>
  <c r="AT295" i="10"/>
  <c r="AS296" i="10"/>
  <c r="AT296" i="10"/>
  <c r="AS297" i="10"/>
  <c r="AT297" i="10"/>
  <c r="AS298" i="10"/>
  <c r="AT298" i="10"/>
  <c r="AS299" i="10"/>
  <c r="AT299" i="10"/>
  <c r="AS300" i="10"/>
  <c r="AT300" i="10"/>
  <c r="AS301" i="10"/>
  <c r="AT301" i="10"/>
  <c r="AS302" i="10"/>
  <c r="AT302" i="10"/>
  <c r="AS303" i="10"/>
  <c r="AT303" i="10"/>
  <c r="AS304" i="10"/>
  <c r="AT304" i="10"/>
  <c r="AS305" i="10"/>
  <c r="AT305" i="10"/>
  <c r="AS306" i="10"/>
  <c r="AT306" i="10"/>
  <c r="AS307" i="10"/>
  <c r="AT307" i="10"/>
  <c r="AS308" i="10"/>
  <c r="AT308" i="10"/>
  <c r="AS309" i="10"/>
  <c r="AT309" i="10"/>
  <c r="AS310" i="10"/>
  <c r="AT310" i="10"/>
  <c r="AS311" i="10"/>
  <c r="AT311" i="10"/>
  <c r="AS312" i="10"/>
  <c r="AT312" i="10"/>
  <c r="AS313" i="10"/>
  <c r="AT313" i="10"/>
  <c r="AS314" i="10"/>
  <c r="AT314" i="10"/>
  <c r="AS315" i="10"/>
  <c r="AT315" i="10"/>
  <c r="AS316" i="10"/>
  <c r="AT316" i="10"/>
  <c r="AS317" i="10"/>
  <c r="AT317" i="10"/>
  <c r="AS318" i="10"/>
  <c r="AT318" i="10"/>
  <c r="AS319" i="10"/>
  <c r="AT319" i="10"/>
  <c r="AS320" i="10"/>
  <c r="AT320" i="10"/>
  <c r="AS321" i="10"/>
  <c r="AT321" i="10"/>
  <c r="AS322" i="10"/>
  <c r="AT322" i="10"/>
  <c r="AS323" i="10"/>
  <c r="AT323" i="10"/>
  <c r="AS324" i="10"/>
  <c r="AT324" i="10"/>
  <c r="AS325" i="10"/>
  <c r="AT325" i="10"/>
  <c r="AS326" i="10"/>
  <c r="AT326" i="10"/>
  <c r="AS327" i="10"/>
  <c r="AT327" i="10"/>
  <c r="AS328" i="10"/>
  <c r="AT328" i="10"/>
  <c r="AS329" i="10"/>
  <c r="AT329" i="10"/>
  <c r="AS330" i="10"/>
  <c r="AT330" i="10"/>
  <c r="AS331" i="10"/>
  <c r="AT331" i="10"/>
  <c r="AS332" i="10"/>
  <c r="AT332" i="10"/>
  <c r="AS333" i="10"/>
  <c r="AT333" i="10"/>
  <c r="AS334" i="10"/>
  <c r="AT334" i="10"/>
  <c r="AS335" i="10"/>
  <c r="AT335" i="10"/>
  <c r="AS336" i="10"/>
  <c r="AT336" i="10"/>
  <c r="AS337" i="10"/>
  <c r="AT337" i="10"/>
  <c r="AS338" i="10"/>
  <c r="AT338" i="10"/>
  <c r="AS339" i="10"/>
  <c r="AT339" i="10"/>
  <c r="AS340" i="10"/>
  <c r="AT340" i="10"/>
  <c r="AS341" i="10"/>
  <c r="AT341" i="10"/>
  <c r="AS342" i="10"/>
  <c r="AT342" i="10"/>
  <c r="AS343" i="10"/>
  <c r="AT343" i="10"/>
  <c r="AS344" i="10"/>
  <c r="AT344" i="10"/>
  <c r="AS345" i="10"/>
  <c r="AT345" i="10"/>
  <c r="AS346" i="10"/>
  <c r="AT346" i="10"/>
  <c r="AS347" i="10"/>
  <c r="AT347" i="10"/>
  <c r="AS348" i="10"/>
  <c r="AT348" i="10"/>
  <c r="AS349" i="10"/>
  <c r="AT349" i="10"/>
  <c r="AS350" i="10"/>
  <c r="AT350" i="10"/>
  <c r="AS351" i="10"/>
  <c r="AT351" i="10"/>
  <c r="AS352" i="10"/>
  <c r="AT352" i="10"/>
  <c r="AS353" i="10"/>
  <c r="AT353" i="10"/>
  <c r="AS354" i="10"/>
  <c r="AT354" i="10"/>
  <c r="AS355" i="10"/>
  <c r="AT355" i="10"/>
  <c r="AS356" i="10"/>
  <c r="AT356" i="10"/>
  <c r="AS357" i="10"/>
  <c r="AT357" i="10"/>
  <c r="AS358" i="10"/>
  <c r="AT358" i="10"/>
  <c r="AS359" i="10"/>
  <c r="AT359" i="10"/>
  <c r="AS360" i="10"/>
  <c r="AT360" i="10"/>
  <c r="AS361" i="10"/>
  <c r="AT361" i="10"/>
  <c r="AS362" i="10"/>
  <c r="AT362" i="10"/>
  <c r="AS363" i="10"/>
  <c r="AT363" i="10"/>
  <c r="AS364" i="10"/>
  <c r="AT364" i="10"/>
  <c r="AS365" i="10"/>
  <c r="AT365" i="10"/>
  <c r="AS366" i="10"/>
  <c r="AT366" i="10"/>
  <c r="AS367" i="10"/>
  <c r="AT367" i="10"/>
  <c r="AS368" i="10"/>
  <c r="AT368" i="10"/>
  <c r="AS369" i="10"/>
  <c r="AT369" i="10"/>
  <c r="AS370" i="10"/>
  <c r="AT370" i="10"/>
  <c r="AS371" i="10"/>
  <c r="AT371" i="10"/>
  <c r="AS372" i="10"/>
  <c r="AT372" i="10"/>
  <c r="AS373" i="10"/>
  <c r="AT373" i="10"/>
  <c r="AS374" i="10"/>
  <c r="AT374" i="10"/>
  <c r="AS375" i="10"/>
  <c r="AT375" i="10"/>
  <c r="AS376" i="10"/>
  <c r="AT376" i="10"/>
  <c r="AS377" i="10"/>
  <c r="AT377" i="10"/>
  <c r="AS378" i="10"/>
  <c r="AT378" i="10"/>
  <c r="AS379" i="10"/>
  <c r="AT379" i="10"/>
  <c r="AS380" i="10"/>
  <c r="AT380" i="10"/>
  <c r="AS381" i="10"/>
  <c r="AT381" i="10"/>
  <c r="AS382" i="10"/>
  <c r="AT382" i="10"/>
  <c r="AS383" i="10"/>
  <c r="AT383" i="10"/>
  <c r="AS384" i="10"/>
  <c r="AT384" i="10"/>
  <c r="AS385" i="10"/>
  <c r="AT385" i="10"/>
  <c r="AS386" i="10"/>
  <c r="AT386" i="10"/>
  <c r="AS387" i="10"/>
  <c r="AT387" i="10"/>
  <c r="AS388" i="10"/>
  <c r="AT388" i="10"/>
  <c r="AS389" i="10"/>
  <c r="AT389" i="10"/>
  <c r="AS390" i="10"/>
  <c r="AT390" i="10"/>
  <c r="AS391" i="10"/>
  <c r="AT391" i="10"/>
  <c r="AS392" i="10"/>
  <c r="AT392" i="10"/>
  <c r="AS393" i="10"/>
  <c r="AT393" i="10"/>
  <c r="AS394" i="10"/>
  <c r="AT394" i="10"/>
  <c r="AS395" i="10"/>
  <c r="AT395" i="10"/>
  <c r="AS396" i="10"/>
  <c r="AT396" i="10"/>
  <c r="AS397" i="10"/>
  <c r="AT397" i="10"/>
  <c r="AS398" i="10"/>
  <c r="AT398" i="10"/>
  <c r="AS399" i="10"/>
  <c r="AT399" i="10"/>
  <c r="AS400" i="10"/>
  <c r="AT400" i="10"/>
  <c r="AS401" i="10"/>
  <c r="AT401" i="10"/>
  <c r="AS402" i="10"/>
  <c r="AT402" i="10"/>
  <c r="AS403" i="10"/>
  <c r="AT403" i="10"/>
  <c r="AS404" i="10"/>
  <c r="AT404" i="10"/>
  <c r="AS405" i="10"/>
  <c r="AT405" i="10"/>
  <c r="AS406" i="10"/>
  <c r="AT406" i="10"/>
  <c r="AS407" i="10"/>
  <c r="AT407" i="10"/>
  <c r="AS408" i="10"/>
  <c r="AT408" i="10"/>
  <c r="AS409" i="10"/>
  <c r="AT409" i="10"/>
  <c r="AS410" i="10"/>
  <c r="AT410" i="10"/>
  <c r="AS411" i="10"/>
  <c r="AT411" i="10"/>
  <c r="AS412" i="10"/>
  <c r="AT412" i="10"/>
  <c r="AS413" i="10"/>
  <c r="AT413" i="10"/>
  <c r="AS414" i="10"/>
  <c r="AT414" i="10"/>
  <c r="AS415" i="10"/>
  <c r="AT415" i="10"/>
  <c r="AS416" i="10"/>
  <c r="AT416" i="10"/>
  <c r="AS417" i="10"/>
  <c r="AT417" i="10"/>
  <c r="AS418" i="10"/>
  <c r="AT418" i="10"/>
  <c r="AS419" i="10"/>
  <c r="AT419" i="10"/>
  <c r="AS420" i="10"/>
  <c r="AT420" i="10"/>
  <c r="AS421" i="10"/>
  <c r="AT421" i="10"/>
  <c r="AS422" i="10"/>
  <c r="AT422" i="10"/>
  <c r="AS423" i="10"/>
  <c r="AT423" i="10"/>
  <c r="AS424" i="10"/>
  <c r="AT424" i="10"/>
  <c r="AS425" i="10"/>
  <c r="AT425" i="10"/>
  <c r="AS426" i="10"/>
  <c r="AT426" i="10"/>
  <c r="AS427" i="10"/>
  <c r="AT427" i="10"/>
  <c r="AS428" i="10"/>
  <c r="AT428" i="10"/>
  <c r="AS429" i="10"/>
  <c r="AT429" i="10"/>
  <c r="AS430" i="10"/>
  <c r="AT430" i="10"/>
  <c r="AS431" i="10"/>
  <c r="AT431" i="10"/>
  <c r="AS432" i="10"/>
  <c r="AT432" i="10"/>
  <c r="AS433" i="10"/>
  <c r="AT433" i="10"/>
  <c r="AS434" i="10"/>
  <c r="AT434" i="10"/>
  <c r="AS435" i="10"/>
  <c r="AT435" i="10"/>
  <c r="AS436" i="10"/>
  <c r="AT436" i="10"/>
  <c r="AS437" i="10"/>
  <c r="AT437" i="10"/>
  <c r="AS438" i="10"/>
  <c r="AT438" i="10"/>
  <c r="AS439" i="10"/>
  <c r="AT439" i="10"/>
  <c r="AS440" i="10"/>
  <c r="AT440" i="10"/>
  <c r="AS441" i="10"/>
  <c r="AT441" i="10"/>
  <c r="AS442" i="10"/>
  <c r="AT442" i="10"/>
  <c r="AS443" i="10"/>
  <c r="AT443" i="10"/>
  <c r="AS444" i="10"/>
  <c r="AT444" i="10"/>
  <c r="AS445" i="10"/>
  <c r="AT445" i="10"/>
  <c r="AS446" i="10"/>
  <c r="AT446" i="10"/>
  <c r="AS447" i="10"/>
  <c r="AT447" i="10"/>
  <c r="AS448" i="10"/>
  <c r="AT448" i="10"/>
  <c r="AS449" i="10"/>
  <c r="AT449" i="10"/>
  <c r="AS450" i="10"/>
  <c r="AT450" i="10"/>
  <c r="AS451" i="10"/>
  <c r="AT451" i="10"/>
  <c r="AS452" i="10"/>
  <c r="AT452" i="10"/>
  <c r="AS453" i="10"/>
  <c r="AT453" i="10"/>
  <c r="AS454" i="10"/>
  <c r="AT454" i="10"/>
  <c r="AS455" i="10"/>
  <c r="AT455" i="10"/>
  <c r="AS456" i="10"/>
  <c r="AT456" i="10"/>
  <c r="AS457" i="10"/>
  <c r="AT457" i="10"/>
  <c r="AS458" i="10"/>
  <c r="AT458" i="10"/>
  <c r="AS459" i="10"/>
  <c r="AT459" i="10"/>
  <c r="AS460" i="10"/>
  <c r="AT460" i="10"/>
  <c r="AS461" i="10"/>
  <c r="AT461" i="10"/>
  <c r="AS462" i="10"/>
  <c r="AT462" i="10"/>
  <c r="AS463" i="10"/>
  <c r="AT463" i="10"/>
  <c r="AS464" i="10"/>
  <c r="AT464" i="10"/>
  <c r="AS465" i="10"/>
  <c r="AT465" i="10"/>
  <c r="AS466" i="10"/>
  <c r="AT466" i="10"/>
  <c r="AS467" i="10"/>
  <c r="AT467" i="10"/>
  <c r="AS468" i="10"/>
  <c r="AT468" i="10"/>
  <c r="AS469" i="10"/>
  <c r="AT469" i="10"/>
  <c r="AS470" i="10"/>
  <c r="AT470" i="10"/>
  <c r="AS471" i="10"/>
  <c r="AT471" i="10"/>
  <c r="AS472" i="10"/>
  <c r="AT472" i="10"/>
  <c r="AS473" i="10"/>
  <c r="AT473" i="10"/>
  <c r="AS474" i="10"/>
  <c r="AT474" i="10"/>
  <c r="AS475" i="10"/>
  <c r="AT475" i="10"/>
  <c r="AS476" i="10"/>
  <c r="AT476" i="10"/>
  <c r="AS477" i="10"/>
  <c r="AT477" i="10"/>
  <c r="AS478" i="10"/>
  <c r="AT478" i="10"/>
  <c r="AS479" i="10"/>
  <c r="AT479" i="10"/>
  <c r="AS480" i="10"/>
  <c r="AT480" i="10"/>
  <c r="AS481" i="10"/>
  <c r="AT481" i="10"/>
  <c r="AS482" i="10"/>
  <c r="AT482" i="10"/>
  <c r="AS483" i="10"/>
  <c r="AT483" i="10"/>
  <c r="AS484" i="10"/>
  <c r="AT484" i="10"/>
  <c r="AS485" i="10"/>
  <c r="AT485" i="10"/>
  <c r="AS486" i="10"/>
  <c r="AT486" i="10"/>
  <c r="AS487" i="10"/>
  <c r="AT487" i="10"/>
  <c r="AS488" i="10"/>
  <c r="AT488" i="10"/>
  <c r="AS489" i="10"/>
  <c r="AT489" i="10"/>
  <c r="AS490" i="10"/>
  <c r="AT490" i="10"/>
  <c r="AS491" i="10"/>
  <c r="AT491" i="10"/>
  <c r="AS492" i="10"/>
  <c r="AT492" i="10"/>
  <c r="AS493" i="10"/>
  <c r="AT493" i="10"/>
  <c r="AS494" i="10"/>
  <c r="AT494" i="10"/>
  <c r="AS495" i="10"/>
  <c r="AT495" i="10"/>
  <c r="AS496" i="10"/>
  <c r="AT496" i="10"/>
  <c r="AS497" i="10"/>
  <c r="AT497" i="10"/>
  <c r="AS498" i="10"/>
  <c r="AT498" i="10"/>
  <c r="AS499" i="10"/>
  <c r="AT499" i="10"/>
  <c r="AS500" i="10"/>
  <c r="AT500" i="10"/>
  <c r="AS501" i="10"/>
  <c r="AT501" i="10"/>
  <c r="AS502" i="10"/>
  <c r="AT502" i="10"/>
  <c r="AS503" i="10"/>
  <c r="AT503" i="10"/>
  <c r="AS504" i="10"/>
  <c r="AT504" i="10"/>
  <c r="AS505" i="10"/>
  <c r="AT505" i="10"/>
  <c r="AS506" i="10"/>
  <c r="AT506" i="10"/>
  <c r="AS507" i="10"/>
  <c r="AT507" i="10"/>
  <c r="AS508" i="10"/>
  <c r="AT508" i="10"/>
  <c r="AS509" i="10"/>
  <c r="AT509" i="10"/>
  <c r="AS510" i="10"/>
  <c r="AT510" i="10"/>
  <c r="AS511" i="10"/>
  <c r="AT511" i="10"/>
  <c r="AS512" i="10"/>
  <c r="AT512" i="10"/>
  <c r="AS513" i="10"/>
  <c r="AT513" i="10"/>
  <c r="AS514" i="10"/>
  <c r="AT514" i="10"/>
  <c r="AS515" i="10"/>
  <c r="AT515" i="10"/>
  <c r="AS516" i="10"/>
  <c r="AT516" i="10"/>
  <c r="AS517" i="10"/>
  <c r="AT517" i="10"/>
  <c r="AS518" i="10"/>
  <c r="AT518" i="10"/>
  <c r="AS519" i="10"/>
  <c r="AT519" i="10"/>
  <c r="AS520" i="10"/>
  <c r="AT520" i="10"/>
  <c r="AS521" i="10"/>
  <c r="AT521" i="10"/>
  <c r="AS522" i="10"/>
  <c r="AT522" i="10"/>
  <c r="AS523" i="10"/>
  <c r="AT523" i="10"/>
  <c r="AS524" i="10"/>
  <c r="AT524" i="10"/>
  <c r="AS525" i="10"/>
  <c r="AT525" i="10"/>
  <c r="AS526" i="10"/>
  <c r="AT526" i="10"/>
  <c r="AS527" i="10"/>
  <c r="AT527" i="10"/>
  <c r="AS528" i="10"/>
  <c r="AT528" i="10"/>
  <c r="AS529" i="10"/>
  <c r="AT529" i="10"/>
  <c r="AS530" i="10"/>
  <c r="AT530" i="10"/>
  <c r="AS531" i="10"/>
  <c r="AT531" i="10"/>
  <c r="AS532" i="10"/>
  <c r="AT532" i="10"/>
  <c r="AS533" i="10"/>
  <c r="AT533" i="10"/>
  <c r="AS534" i="10"/>
  <c r="AT534" i="10"/>
  <c r="AS535" i="10"/>
  <c r="AT535" i="10"/>
  <c r="AS536" i="10"/>
  <c r="AT536" i="10"/>
  <c r="AS537" i="10"/>
  <c r="AT537" i="10"/>
  <c r="AS538" i="10"/>
  <c r="AT538" i="10"/>
  <c r="AS539" i="10"/>
  <c r="AT539" i="10"/>
  <c r="AS540" i="10"/>
  <c r="AT540" i="10"/>
  <c r="AS541" i="10"/>
  <c r="AT541" i="10"/>
  <c r="AS542" i="10"/>
  <c r="AT542" i="10"/>
  <c r="AS543" i="10"/>
  <c r="AT543" i="10"/>
  <c r="AS544" i="10"/>
  <c r="AT544" i="10"/>
  <c r="AS545" i="10"/>
  <c r="AT545" i="10"/>
  <c r="AS546" i="10"/>
  <c r="AT546" i="10"/>
  <c r="AS547" i="10"/>
  <c r="AT547" i="10"/>
  <c r="AS548" i="10"/>
  <c r="AT548" i="10"/>
  <c r="AS549" i="10"/>
  <c r="AT549" i="10"/>
  <c r="AS550" i="10"/>
  <c r="AT550" i="10"/>
  <c r="AS551" i="10"/>
  <c r="AT551" i="10"/>
  <c r="AS552" i="10"/>
  <c r="AT552" i="10"/>
  <c r="AS553" i="10"/>
  <c r="AT553" i="10"/>
  <c r="AS554" i="10"/>
  <c r="AT554" i="10"/>
  <c r="AS555" i="10"/>
  <c r="AT555" i="10"/>
  <c r="AS556" i="10"/>
  <c r="AT556" i="10"/>
  <c r="AS557" i="10"/>
  <c r="AT557" i="10"/>
  <c r="AS558" i="10"/>
  <c r="AT558" i="10"/>
  <c r="AS559" i="10"/>
  <c r="AT559" i="10"/>
  <c r="AS560" i="10"/>
  <c r="AT560" i="10"/>
  <c r="AS561" i="10"/>
  <c r="AT561" i="10"/>
  <c r="AS562" i="10"/>
  <c r="AT562" i="10"/>
  <c r="AS563" i="10"/>
  <c r="AT563" i="10"/>
  <c r="AS564" i="10"/>
  <c r="AT564" i="10"/>
  <c r="AS565" i="10"/>
  <c r="AT565" i="10"/>
  <c r="AS566" i="10"/>
  <c r="AT566" i="10"/>
  <c r="AS567" i="10"/>
  <c r="AT567" i="10"/>
  <c r="AS568" i="10"/>
  <c r="AT568" i="10"/>
  <c r="AS569" i="10"/>
  <c r="AT569" i="10"/>
  <c r="AS570" i="10"/>
  <c r="AT570" i="10"/>
  <c r="AS571" i="10"/>
  <c r="AT571" i="10"/>
  <c r="AS572" i="10"/>
  <c r="AT572" i="10"/>
  <c r="AS573" i="10"/>
  <c r="AT573" i="10"/>
  <c r="AS574" i="10"/>
  <c r="AT574" i="10"/>
  <c r="AS575" i="10"/>
  <c r="AT575" i="10"/>
  <c r="AS576" i="10"/>
  <c r="AT576" i="10"/>
  <c r="AS577" i="10"/>
  <c r="AT577" i="10"/>
  <c r="AS578" i="10"/>
  <c r="AT578" i="10"/>
  <c r="AS579" i="10"/>
  <c r="AT579" i="10"/>
  <c r="AS580" i="10"/>
  <c r="AT580" i="10"/>
  <c r="AS581" i="10"/>
  <c r="AT581" i="10"/>
  <c r="AS582" i="10"/>
  <c r="AT582" i="10"/>
  <c r="AS583" i="10"/>
  <c r="AT583" i="10"/>
  <c r="AS584" i="10"/>
  <c r="AT584" i="10"/>
  <c r="AS585" i="10"/>
  <c r="AT585" i="10"/>
  <c r="AS586" i="10"/>
  <c r="AT586" i="10"/>
  <c r="AS587" i="10"/>
  <c r="AT587" i="10"/>
  <c r="AS588" i="10"/>
  <c r="AT588" i="10"/>
  <c r="AS589" i="10"/>
  <c r="AT589" i="10"/>
  <c r="AS590" i="10"/>
  <c r="AT590" i="10"/>
  <c r="AS591" i="10"/>
  <c r="AT591" i="10"/>
  <c r="AS592" i="10"/>
  <c r="AT592" i="10"/>
  <c r="AS593" i="10"/>
  <c r="AT593" i="10"/>
  <c r="AS594" i="10"/>
  <c r="AT594" i="10"/>
  <c r="AS595" i="10"/>
  <c r="AT595" i="10"/>
  <c r="AS596" i="10"/>
  <c r="AT596" i="10"/>
  <c r="AS597" i="10"/>
  <c r="AT597" i="10"/>
  <c r="AS598" i="10"/>
  <c r="AT598" i="10"/>
  <c r="AS599" i="10"/>
  <c r="AT599" i="10"/>
  <c r="AS600" i="10"/>
  <c r="AT600" i="10"/>
  <c r="AS601" i="10"/>
  <c r="AT601" i="10"/>
  <c r="AS602" i="10"/>
  <c r="AT602" i="10"/>
  <c r="AS603" i="10"/>
  <c r="AT603" i="10"/>
  <c r="AS604" i="10"/>
  <c r="AT604" i="10"/>
  <c r="AS605" i="10"/>
  <c r="AT605" i="10"/>
  <c r="AS606" i="10"/>
  <c r="AT606" i="10"/>
  <c r="AS607" i="10"/>
  <c r="AT607" i="10"/>
  <c r="AS608" i="10"/>
  <c r="AT608" i="10"/>
  <c r="AS609" i="10"/>
  <c r="AT609" i="10"/>
  <c r="AS610" i="10"/>
  <c r="AT610" i="10"/>
  <c r="AS611" i="10"/>
  <c r="AT611" i="10"/>
  <c r="AS612" i="10"/>
  <c r="AT612" i="10"/>
  <c r="AS613" i="10"/>
  <c r="AT613" i="10"/>
  <c r="AS614" i="10"/>
  <c r="AT614" i="10"/>
  <c r="AS615" i="10"/>
  <c r="AT615" i="10"/>
  <c r="AS616" i="10"/>
  <c r="AT616" i="10"/>
  <c r="AS617" i="10"/>
  <c r="AT617" i="10"/>
  <c r="AS618" i="10"/>
  <c r="AT618" i="10"/>
  <c r="AS619" i="10"/>
  <c r="AT619" i="10"/>
  <c r="AS620" i="10"/>
  <c r="AT620" i="10"/>
  <c r="AS621" i="10"/>
  <c r="AT621" i="10"/>
  <c r="AS622" i="10"/>
  <c r="AT622" i="10"/>
  <c r="AS623" i="10"/>
  <c r="AT623" i="10"/>
  <c r="AS624" i="10"/>
  <c r="AT624" i="10"/>
  <c r="AS625" i="10"/>
  <c r="AT625" i="10"/>
  <c r="AS626" i="10"/>
  <c r="AT626" i="10"/>
  <c r="AS627" i="10"/>
  <c r="AT627" i="10"/>
  <c r="AS628" i="10"/>
  <c r="AT628" i="10"/>
  <c r="AS629" i="10"/>
  <c r="AT629" i="10"/>
  <c r="AS630" i="10"/>
  <c r="AT630" i="10"/>
  <c r="AS631" i="10"/>
  <c r="AT631" i="10"/>
  <c r="AS632" i="10"/>
  <c r="AT632" i="10"/>
  <c r="AS633" i="10"/>
  <c r="AT633" i="10"/>
  <c r="AS634" i="10"/>
  <c r="AT634" i="10"/>
  <c r="AS635" i="10"/>
  <c r="AT635" i="10"/>
  <c r="AS636" i="10"/>
  <c r="AT636" i="10"/>
  <c r="AS637" i="10"/>
  <c r="AT637" i="10"/>
  <c r="AS638" i="10"/>
  <c r="AT638" i="10"/>
  <c r="AS639" i="10"/>
  <c r="AT639" i="10"/>
  <c r="AS640" i="10"/>
  <c r="AT640" i="10"/>
  <c r="AS641" i="10"/>
  <c r="AT641" i="10"/>
  <c r="AS642" i="10"/>
  <c r="AT642" i="10"/>
  <c r="AS643" i="10"/>
  <c r="AT643" i="10"/>
  <c r="AS644" i="10"/>
  <c r="AT644" i="10"/>
  <c r="AS645" i="10"/>
  <c r="AT645" i="10"/>
  <c r="AS646" i="10"/>
  <c r="AT646" i="10"/>
  <c r="AS647" i="10"/>
  <c r="AT647" i="10"/>
  <c r="AS648" i="10"/>
  <c r="AT648" i="10"/>
  <c r="AS649" i="10"/>
  <c r="AT649" i="10"/>
  <c r="AS650" i="10"/>
  <c r="AT650" i="10"/>
  <c r="AS651" i="10"/>
  <c r="AT651" i="10"/>
  <c r="AS652" i="10"/>
  <c r="AT652" i="10"/>
  <c r="AS653" i="10"/>
  <c r="AT653" i="10"/>
  <c r="AS654" i="10"/>
  <c r="AT654" i="10"/>
  <c r="AS655" i="10"/>
  <c r="AT655" i="10"/>
  <c r="AS656" i="10"/>
  <c r="AT656" i="10"/>
  <c r="AS657" i="10"/>
  <c r="AT657" i="10"/>
  <c r="AS658" i="10"/>
  <c r="AT658" i="10"/>
  <c r="AS659" i="10"/>
  <c r="AT659" i="10"/>
  <c r="AS660" i="10"/>
  <c r="AT660" i="10"/>
  <c r="AS661" i="10"/>
  <c r="AT661" i="10"/>
  <c r="AS662" i="10"/>
  <c r="AT662" i="10"/>
  <c r="AS663" i="10"/>
  <c r="AT663" i="10"/>
  <c r="AS664" i="10"/>
  <c r="AT664" i="10"/>
  <c r="AS665" i="10"/>
  <c r="AT665" i="10"/>
  <c r="AS666" i="10"/>
  <c r="AT666" i="10"/>
  <c r="AS667" i="10"/>
  <c r="AT667" i="10"/>
  <c r="AS668" i="10"/>
  <c r="AT668" i="10"/>
  <c r="AS669" i="10"/>
  <c r="AT669" i="10"/>
  <c r="AS670" i="10"/>
  <c r="AT670" i="10"/>
  <c r="AS671" i="10"/>
  <c r="AT671" i="10"/>
  <c r="AS672" i="10"/>
  <c r="AT672" i="10"/>
  <c r="AS673" i="10"/>
  <c r="AT673" i="10"/>
  <c r="AS674" i="10"/>
  <c r="AT674" i="10"/>
  <c r="AS675" i="10"/>
  <c r="AT675" i="10"/>
  <c r="AS676" i="10"/>
  <c r="AT676" i="10"/>
  <c r="AS677" i="10"/>
  <c r="AT677" i="10"/>
  <c r="AS678" i="10"/>
  <c r="AT678" i="10"/>
  <c r="AS679" i="10"/>
  <c r="AT679" i="10"/>
  <c r="AS680" i="10"/>
  <c r="AT680" i="10"/>
  <c r="AS681" i="10"/>
  <c r="AT681" i="10"/>
  <c r="AS682" i="10"/>
  <c r="AT682" i="10"/>
  <c r="AS683" i="10"/>
  <c r="AT683" i="10"/>
  <c r="AS684" i="10"/>
  <c r="AT684" i="10"/>
  <c r="AS685" i="10"/>
  <c r="AT685" i="10"/>
  <c r="AS686" i="10"/>
  <c r="AT686" i="10"/>
  <c r="AS687" i="10"/>
  <c r="AT687" i="10"/>
  <c r="AS688" i="10"/>
  <c r="AT688" i="10"/>
  <c r="AS689" i="10"/>
  <c r="AT689" i="10"/>
  <c r="AS690" i="10"/>
  <c r="AT690" i="10"/>
  <c r="AS691" i="10"/>
  <c r="AT691" i="10"/>
  <c r="AS692" i="10"/>
  <c r="AT692" i="10"/>
  <c r="AS693" i="10"/>
  <c r="AT693" i="10"/>
  <c r="AS694" i="10"/>
  <c r="AT694" i="10"/>
  <c r="AS695" i="10"/>
  <c r="AT695" i="10"/>
  <c r="AS696" i="10"/>
  <c r="AT696" i="10"/>
  <c r="AS697" i="10"/>
  <c r="AT697" i="10"/>
  <c r="AS698" i="10"/>
  <c r="AT698" i="10"/>
  <c r="AS699" i="10"/>
  <c r="AT699" i="10"/>
  <c r="AS700" i="10"/>
  <c r="AT700" i="10"/>
  <c r="AS701" i="10"/>
  <c r="AT701" i="10"/>
  <c r="AS702" i="10"/>
  <c r="AT702" i="10"/>
  <c r="AS703" i="10"/>
  <c r="AT703" i="10"/>
  <c r="AS704" i="10"/>
  <c r="AT704" i="10"/>
  <c r="AS705" i="10"/>
  <c r="AT705" i="10"/>
  <c r="AS706" i="10"/>
  <c r="AT706" i="10"/>
  <c r="AS707" i="10"/>
  <c r="AT707" i="10"/>
  <c r="AS708" i="10"/>
  <c r="AT708" i="10"/>
  <c r="AS709" i="10"/>
  <c r="AT709" i="10"/>
  <c r="AS710" i="10"/>
  <c r="AT710" i="10"/>
  <c r="AS711" i="10"/>
  <c r="AT711" i="10"/>
  <c r="AS712" i="10"/>
  <c r="AT712" i="10"/>
  <c r="AS713" i="10"/>
  <c r="AT713" i="10"/>
  <c r="AS714" i="10"/>
  <c r="AT714" i="10"/>
  <c r="AS715" i="10"/>
  <c r="AT715" i="10"/>
  <c r="AS716" i="10"/>
  <c r="AT716" i="10"/>
  <c r="AS717" i="10"/>
  <c r="AT717" i="10"/>
  <c r="AS718" i="10"/>
  <c r="AT718" i="10"/>
  <c r="AS719" i="10"/>
  <c r="AT719" i="10"/>
  <c r="AS720" i="10"/>
  <c r="AT720" i="10"/>
  <c r="AS721" i="10"/>
  <c r="AT721" i="10"/>
  <c r="AS722" i="10"/>
  <c r="AT722" i="10"/>
  <c r="AS723" i="10"/>
  <c r="AT723" i="10"/>
  <c r="AS724" i="10"/>
  <c r="AT724" i="10"/>
  <c r="AS725" i="10"/>
  <c r="AT725" i="10"/>
  <c r="AS726" i="10"/>
  <c r="AT726" i="10"/>
  <c r="AS727" i="10"/>
  <c r="AT727" i="10"/>
  <c r="AS728" i="10"/>
  <c r="AT728" i="10"/>
  <c r="AS729" i="10"/>
  <c r="AT729" i="10"/>
  <c r="AS730" i="10"/>
  <c r="AT730" i="10"/>
  <c r="AS731" i="10"/>
  <c r="AT731" i="10"/>
  <c r="AS732" i="10"/>
  <c r="AT732" i="10"/>
  <c r="AS733" i="10"/>
  <c r="AT733" i="10"/>
  <c r="AS734" i="10"/>
  <c r="AT734" i="10"/>
  <c r="AS735" i="10"/>
  <c r="AT735" i="10"/>
  <c r="AS736" i="10"/>
  <c r="AT736" i="10"/>
  <c r="AS737" i="10"/>
  <c r="AT737" i="10"/>
  <c r="AS738" i="10"/>
  <c r="AT738" i="10"/>
  <c r="AS739" i="10"/>
  <c r="AT739" i="10"/>
  <c r="AS740" i="10"/>
  <c r="AT740" i="10"/>
  <c r="AS741" i="10"/>
  <c r="AT741" i="10"/>
  <c r="AS742" i="10"/>
  <c r="AT742" i="10"/>
  <c r="AS743" i="10"/>
  <c r="AT743" i="10"/>
  <c r="AS744" i="10"/>
  <c r="AT744" i="10"/>
  <c r="AS745" i="10"/>
  <c r="AT745" i="10"/>
  <c r="AS746" i="10"/>
  <c r="AT746" i="10"/>
  <c r="AS747" i="10"/>
  <c r="AT747" i="10"/>
  <c r="AS748" i="10"/>
  <c r="AT748" i="10"/>
  <c r="AS749" i="10"/>
  <c r="AT749" i="10"/>
  <c r="AS750" i="10"/>
  <c r="AT750" i="10"/>
  <c r="AS751" i="10"/>
  <c r="AT751" i="10"/>
  <c r="AS752" i="10"/>
  <c r="AT752" i="10"/>
  <c r="AS753" i="10"/>
  <c r="AT753" i="10"/>
  <c r="AS754" i="10"/>
  <c r="AT754" i="10"/>
  <c r="AS755" i="10"/>
  <c r="AT755" i="10"/>
  <c r="AS756" i="10"/>
  <c r="AT756" i="10"/>
  <c r="AS757" i="10"/>
  <c r="AT757" i="10"/>
  <c r="AS758" i="10"/>
  <c r="AT758" i="10"/>
  <c r="AS759" i="10"/>
  <c r="AT759" i="10"/>
  <c r="AS760" i="10"/>
  <c r="AT760" i="10"/>
  <c r="AS761" i="10"/>
  <c r="AT761" i="10"/>
  <c r="AS762" i="10"/>
  <c r="AT762" i="10"/>
  <c r="AS763" i="10"/>
  <c r="AT763" i="10"/>
  <c r="AS764" i="10"/>
  <c r="AT764" i="10"/>
  <c r="AS765" i="10"/>
  <c r="AT765" i="10"/>
  <c r="AS766" i="10"/>
  <c r="AT766" i="10"/>
  <c r="AS767" i="10"/>
  <c r="AT767" i="10"/>
  <c r="AS768" i="10"/>
  <c r="AT768" i="10"/>
  <c r="AS769" i="10"/>
  <c r="AT769" i="10"/>
  <c r="AS770" i="10"/>
  <c r="AT770" i="10"/>
  <c r="AS771" i="10"/>
  <c r="AT771" i="10"/>
  <c r="AS772" i="10"/>
  <c r="AT772" i="10"/>
  <c r="AS773" i="10"/>
  <c r="AT773" i="10"/>
  <c r="AS774" i="10"/>
  <c r="AT774" i="10"/>
  <c r="AS775" i="10"/>
  <c r="AT775" i="10"/>
  <c r="AS776" i="10"/>
  <c r="AT776" i="10"/>
  <c r="AS777" i="10"/>
  <c r="AT777" i="10"/>
  <c r="AS778" i="10"/>
  <c r="AT778" i="10"/>
  <c r="AS779" i="10"/>
  <c r="AT779" i="10"/>
  <c r="AS780" i="10"/>
  <c r="AT780" i="10"/>
  <c r="AS781" i="10"/>
  <c r="AT781" i="10"/>
  <c r="AS782" i="10"/>
  <c r="AT782" i="10"/>
  <c r="AS783" i="10"/>
  <c r="AT783" i="10"/>
  <c r="AS784" i="10"/>
  <c r="AT784" i="10"/>
  <c r="AS785" i="10"/>
  <c r="AT785" i="10"/>
  <c r="AS786" i="10"/>
  <c r="AT786" i="10"/>
  <c r="AS787" i="10"/>
  <c r="AT787" i="10"/>
  <c r="AS788" i="10"/>
  <c r="AT788" i="10"/>
  <c r="AS789" i="10"/>
  <c r="AT789" i="10"/>
  <c r="AS790" i="10"/>
  <c r="AT790" i="10"/>
  <c r="AS791" i="10"/>
  <c r="AT791" i="10"/>
  <c r="AS792" i="10"/>
  <c r="AT792" i="10"/>
  <c r="AS793" i="10"/>
  <c r="AT793" i="10"/>
  <c r="AS794" i="10"/>
  <c r="AT794" i="10"/>
  <c r="AS795" i="10"/>
  <c r="AT795" i="10"/>
  <c r="AS796" i="10"/>
  <c r="AT796" i="10"/>
  <c r="AS797" i="10"/>
  <c r="AT797" i="10"/>
  <c r="AS798" i="10"/>
  <c r="AT798" i="10"/>
  <c r="AS799" i="10"/>
  <c r="AT799" i="10"/>
  <c r="AS800" i="10"/>
  <c r="AT800" i="10"/>
  <c r="AS801" i="10"/>
  <c r="AT801" i="10"/>
  <c r="AS802" i="10"/>
  <c r="AT802" i="10"/>
  <c r="AS803" i="10"/>
  <c r="AT803" i="10"/>
  <c r="AS804" i="10"/>
  <c r="AT804" i="10"/>
  <c r="AS805" i="10"/>
  <c r="AT805" i="10"/>
  <c r="AS806" i="10"/>
  <c r="AT806" i="10"/>
  <c r="AS807" i="10"/>
  <c r="AT807" i="10"/>
  <c r="AS808" i="10"/>
  <c r="AT808" i="10"/>
  <c r="AS809" i="10"/>
  <c r="AT809" i="10"/>
  <c r="AS810" i="10"/>
  <c r="AT810" i="10"/>
  <c r="AS811" i="10"/>
  <c r="AT811" i="10"/>
  <c r="AS812" i="10"/>
  <c r="AT812" i="10"/>
  <c r="AS813" i="10"/>
  <c r="AT813" i="10"/>
  <c r="AS814" i="10"/>
  <c r="AT814" i="10"/>
  <c r="AS815" i="10"/>
  <c r="AT815" i="10"/>
  <c r="AS816" i="10"/>
  <c r="AT816" i="10"/>
  <c r="AS817" i="10"/>
  <c r="AT817" i="10"/>
  <c r="AS818" i="10"/>
  <c r="AT818" i="10"/>
  <c r="AS819" i="10"/>
  <c r="AT819" i="10"/>
  <c r="AS820" i="10"/>
  <c r="AT820" i="10"/>
  <c r="AS821" i="10"/>
  <c r="AT821" i="10"/>
  <c r="AS822" i="10"/>
  <c r="AT822" i="10"/>
  <c r="AS823" i="10"/>
  <c r="AT823" i="10"/>
  <c r="AS824" i="10"/>
  <c r="AT824" i="10"/>
  <c r="AS825" i="10"/>
  <c r="AT825" i="10"/>
  <c r="AS826" i="10"/>
  <c r="AT826" i="10"/>
  <c r="AS827" i="10"/>
  <c r="AT827" i="10"/>
  <c r="AS828" i="10"/>
  <c r="AT828" i="10"/>
  <c r="AS829" i="10"/>
  <c r="AT829" i="10"/>
  <c r="AS830" i="10"/>
  <c r="AT830" i="10"/>
  <c r="AS831" i="10"/>
  <c r="AT831" i="10"/>
  <c r="AS832" i="10"/>
  <c r="AT832" i="10"/>
  <c r="AS833" i="10"/>
  <c r="AT833" i="10"/>
  <c r="AS834" i="10"/>
  <c r="AT834" i="10"/>
  <c r="AS835" i="10"/>
  <c r="AT835" i="10"/>
  <c r="AS836" i="10"/>
  <c r="AT836" i="10"/>
  <c r="AS837" i="10"/>
  <c r="AT837" i="10"/>
  <c r="AS838" i="10"/>
  <c r="AT838" i="10"/>
  <c r="AS839" i="10"/>
  <c r="AT839" i="10"/>
  <c r="AS840" i="10"/>
  <c r="AT840" i="10"/>
  <c r="AS841" i="10"/>
  <c r="AT841" i="10"/>
  <c r="AS842" i="10"/>
  <c r="AT842" i="10"/>
  <c r="AS843" i="10"/>
  <c r="AT843" i="10"/>
  <c r="AS844" i="10"/>
  <c r="AT844" i="10"/>
  <c r="AS845" i="10"/>
  <c r="AT845" i="10"/>
  <c r="AS846" i="10"/>
  <c r="AT846" i="10"/>
  <c r="AS847" i="10"/>
  <c r="AT847" i="10"/>
  <c r="AS848" i="10"/>
  <c r="AT848" i="10"/>
  <c r="AS849" i="10"/>
  <c r="AT849" i="10"/>
  <c r="AS850" i="10"/>
  <c r="AT850" i="10"/>
  <c r="AS851" i="10"/>
  <c r="AT851" i="10"/>
  <c r="AS852" i="10"/>
  <c r="AT852" i="10"/>
  <c r="AS853" i="10"/>
  <c r="AT853" i="10"/>
  <c r="AS854" i="10"/>
  <c r="AT854" i="10"/>
  <c r="AS855" i="10"/>
  <c r="AT855" i="10"/>
  <c r="AS856" i="10"/>
  <c r="AT856" i="10"/>
  <c r="AS857" i="10"/>
  <c r="AT857" i="10"/>
  <c r="AS858" i="10"/>
  <c r="AT858" i="10"/>
  <c r="AS859" i="10"/>
  <c r="AT859" i="10"/>
  <c r="AS860" i="10"/>
  <c r="AT860" i="10"/>
  <c r="AS861" i="10"/>
  <c r="AT861" i="10"/>
  <c r="AS862" i="10"/>
  <c r="AT862" i="10"/>
  <c r="AS863" i="10"/>
  <c r="AT863" i="10"/>
  <c r="AS864" i="10"/>
  <c r="AT864" i="10"/>
  <c r="AS865" i="10"/>
  <c r="AT865" i="10"/>
  <c r="AS866" i="10"/>
  <c r="AT866" i="10"/>
  <c r="AS867" i="10"/>
  <c r="AT867" i="10"/>
  <c r="AS868" i="10"/>
  <c r="AT868" i="10"/>
  <c r="AS869" i="10"/>
  <c r="AT869" i="10"/>
  <c r="AS870" i="10"/>
  <c r="AT870" i="10"/>
  <c r="AS871" i="10"/>
  <c r="AT871" i="10"/>
  <c r="AS872" i="10"/>
  <c r="AT872" i="10"/>
  <c r="AS873" i="10"/>
  <c r="AT873" i="10"/>
  <c r="AS874" i="10"/>
  <c r="AT874" i="10"/>
  <c r="AS875" i="10"/>
  <c r="AT875" i="10"/>
  <c r="AS876" i="10"/>
  <c r="AT876" i="10"/>
  <c r="AS877" i="10"/>
  <c r="AT877" i="10"/>
  <c r="AS878" i="10"/>
  <c r="AT878" i="10"/>
  <c r="AS879" i="10"/>
  <c r="AT879" i="10"/>
  <c r="AS880" i="10"/>
  <c r="AT880" i="10"/>
  <c r="AS881" i="10"/>
  <c r="AT881" i="10"/>
  <c r="AS882" i="10"/>
  <c r="AT882" i="10"/>
  <c r="AS883" i="10"/>
  <c r="AT883" i="10"/>
  <c r="AS884" i="10"/>
  <c r="AT884" i="10"/>
  <c r="AS885" i="10"/>
  <c r="AT885" i="10"/>
  <c r="AS886" i="10"/>
  <c r="AT886" i="10"/>
  <c r="AS887" i="10"/>
  <c r="AT887" i="10"/>
  <c r="AS888" i="10"/>
  <c r="AT888" i="10"/>
  <c r="AS889" i="10"/>
  <c r="AT889" i="10"/>
  <c r="AS890" i="10"/>
  <c r="AT890" i="10"/>
  <c r="AS891" i="10"/>
  <c r="AT891" i="10"/>
  <c r="AS892" i="10"/>
  <c r="AT892" i="10"/>
  <c r="AS893" i="10"/>
  <c r="AT893" i="10"/>
  <c r="AS894" i="10"/>
  <c r="AT894" i="10"/>
  <c r="AS895" i="10"/>
  <c r="AT895" i="10"/>
  <c r="AS896" i="10"/>
  <c r="AT896" i="10"/>
  <c r="AS897" i="10"/>
  <c r="AT897" i="10"/>
  <c r="AS898" i="10"/>
  <c r="AT898" i="10"/>
  <c r="AS899" i="10"/>
  <c r="AT899" i="10"/>
  <c r="AS900" i="10"/>
  <c r="AT900" i="10"/>
  <c r="AS901" i="10"/>
  <c r="AT901" i="10"/>
  <c r="AS902" i="10"/>
  <c r="AT902" i="10"/>
  <c r="AS903" i="10"/>
  <c r="AT903" i="10"/>
  <c r="AS904" i="10"/>
  <c r="AT904" i="10"/>
  <c r="AS905" i="10"/>
  <c r="AT905" i="10"/>
  <c r="AS906" i="10"/>
  <c r="AT906" i="10"/>
  <c r="AS907" i="10"/>
  <c r="AT907" i="10"/>
  <c r="AS908" i="10"/>
  <c r="AT908" i="10"/>
  <c r="AS909" i="10"/>
  <c r="AT909" i="10"/>
  <c r="AS910" i="10"/>
  <c r="AT910" i="10"/>
  <c r="AS911" i="10"/>
  <c r="AT911" i="10"/>
  <c r="AS912" i="10"/>
  <c r="AT912" i="10"/>
  <c r="AS913" i="10"/>
  <c r="AT913" i="10"/>
  <c r="AS914" i="10"/>
  <c r="AT914" i="10"/>
  <c r="AS915" i="10"/>
  <c r="AT915" i="10"/>
  <c r="AS916" i="10"/>
  <c r="AT916" i="10"/>
  <c r="AS917" i="10"/>
  <c r="AT917" i="10"/>
  <c r="AS918" i="10"/>
  <c r="AT918" i="10"/>
  <c r="AS919" i="10"/>
  <c r="AT919" i="10"/>
  <c r="AS920" i="10"/>
  <c r="AT920" i="10"/>
  <c r="AS921" i="10"/>
  <c r="AT921" i="10"/>
  <c r="AS922" i="10"/>
  <c r="AT922" i="10"/>
  <c r="AS923" i="10"/>
  <c r="AT923" i="10"/>
  <c r="AS924" i="10"/>
  <c r="AT924" i="10"/>
  <c r="AS925" i="10"/>
  <c r="AT925" i="10"/>
  <c r="AS926" i="10"/>
  <c r="AT926" i="10"/>
  <c r="AS927" i="10"/>
  <c r="AT927" i="10"/>
  <c r="AS928" i="10"/>
  <c r="AT928" i="10"/>
  <c r="AS929" i="10"/>
  <c r="AT929" i="10"/>
  <c r="AS930" i="10"/>
  <c r="AT930" i="10"/>
  <c r="AS931" i="10"/>
  <c r="AT931" i="10"/>
  <c r="AS932" i="10"/>
  <c r="AT932" i="10"/>
  <c r="AS933" i="10"/>
  <c r="AT933" i="10"/>
  <c r="AS934" i="10"/>
  <c r="AT934" i="10"/>
  <c r="AS935" i="10"/>
  <c r="AT935" i="10"/>
  <c r="AS936" i="10"/>
  <c r="AT936" i="10"/>
  <c r="AS937" i="10"/>
  <c r="AT937" i="10"/>
  <c r="AS938" i="10"/>
  <c r="AT938" i="10"/>
  <c r="AS939" i="10"/>
  <c r="AT939" i="10"/>
  <c r="AS940" i="10"/>
  <c r="AT940" i="10"/>
  <c r="AS941" i="10"/>
  <c r="AT941" i="10"/>
  <c r="AS942" i="10"/>
  <c r="AT942" i="10"/>
  <c r="AS943" i="10"/>
  <c r="AT943" i="10"/>
  <c r="AS944" i="10"/>
  <c r="AT944" i="10"/>
  <c r="AS945" i="10"/>
  <c r="AT945" i="10"/>
  <c r="AS946" i="10"/>
  <c r="AT946" i="10"/>
  <c r="AS947" i="10"/>
  <c r="AT947" i="10"/>
  <c r="AS948" i="10"/>
  <c r="AT948" i="10"/>
  <c r="AS949" i="10"/>
  <c r="AT949" i="10"/>
  <c r="AS950" i="10"/>
  <c r="AT950" i="10"/>
  <c r="AS951" i="10"/>
  <c r="AT951" i="10"/>
  <c r="AS952" i="10"/>
  <c r="AT952" i="10"/>
  <c r="AS953" i="10"/>
  <c r="AT953" i="10"/>
  <c r="AS954" i="10"/>
  <c r="AT954" i="10"/>
  <c r="AS955" i="10"/>
  <c r="AT955" i="10"/>
  <c r="AS956" i="10"/>
  <c r="AT956" i="10"/>
  <c r="AS957" i="10"/>
  <c r="AT957" i="10"/>
  <c r="AS958" i="10"/>
  <c r="AT958" i="10"/>
  <c r="AS959" i="10"/>
  <c r="AT959" i="10"/>
  <c r="AS960" i="10"/>
  <c r="AT960" i="10"/>
  <c r="AS961" i="10"/>
  <c r="AT961" i="10"/>
  <c r="AS962" i="10"/>
  <c r="AT962" i="10"/>
  <c r="AS963" i="10"/>
  <c r="AT963" i="10"/>
  <c r="AS964" i="10"/>
  <c r="AT964" i="10"/>
  <c r="AS965" i="10"/>
  <c r="AT965" i="10"/>
  <c r="AS966" i="10"/>
  <c r="AT966" i="10"/>
  <c r="AS967" i="10"/>
  <c r="AT967" i="10"/>
  <c r="AS968" i="10"/>
  <c r="AT968" i="10"/>
  <c r="AS969" i="10"/>
  <c r="AT969" i="10"/>
  <c r="AS970" i="10"/>
  <c r="AT970" i="10"/>
  <c r="AS971" i="10"/>
  <c r="AT971" i="10"/>
  <c r="AS972" i="10"/>
  <c r="AT972" i="10"/>
  <c r="AS973" i="10"/>
  <c r="AT973" i="10"/>
  <c r="AS974" i="10"/>
  <c r="AT974" i="10"/>
  <c r="AS975" i="10"/>
  <c r="AT975" i="10"/>
  <c r="AS976" i="10"/>
  <c r="AT976" i="10"/>
  <c r="AS977" i="10"/>
  <c r="AT977" i="10"/>
  <c r="AS978" i="10"/>
  <c r="AT978" i="10"/>
  <c r="AS979" i="10"/>
  <c r="AT979" i="10"/>
  <c r="AS980" i="10"/>
  <c r="AT980" i="10"/>
  <c r="AS981" i="10"/>
  <c r="AT981" i="10"/>
  <c r="AS982" i="10"/>
  <c r="AT982" i="10"/>
  <c r="AS983" i="10"/>
  <c r="AT983" i="10"/>
  <c r="AS984" i="10"/>
  <c r="AT984" i="10"/>
  <c r="AS985" i="10"/>
  <c r="AT985" i="10"/>
  <c r="AS986" i="10"/>
  <c r="AT986" i="10"/>
  <c r="AS987" i="10"/>
  <c r="AT987" i="10"/>
  <c r="AS988" i="10"/>
  <c r="AT988" i="10"/>
  <c r="AS989" i="10"/>
  <c r="AT989" i="10"/>
  <c r="AS990" i="10"/>
  <c r="AT990" i="10"/>
  <c r="AS991" i="10"/>
  <c r="AT991" i="10"/>
  <c r="AS992" i="10"/>
  <c r="AT992" i="10"/>
  <c r="AS993" i="10"/>
  <c r="AT993" i="10"/>
  <c r="AS994" i="10"/>
  <c r="AT994" i="10"/>
  <c r="AS995" i="10"/>
  <c r="AT995" i="10"/>
  <c r="AS996" i="10"/>
  <c r="AT996" i="10"/>
  <c r="AS997" i="10"/>
  <c r="AT997" i="10"/>
  <c r="AS998" i="10"/>
  <c r="AT998" i="10"/>
  <c r="AS999" i="10"/>
  <c r="AT999" i="10"/>
  <c r="AS1000" i="10"/>
  <c r="AT1000" i="10"/>
  <c r="AS1001" i="10"/>
  <c r="AT1001" i="10"/>
  <c r="AS1002" i="10"/>
  <c r="AT1002" i="10"/>
  <c r="AS1003" i="10"/>
  <c r="AT1003" i="10"/>
  <c r="AS1004" i="10"/>
  <c r="AT1004" i="10"/>
  <c r="AT5" i="10"/>
  <c r="AS5" i="10"/>
  <c r="A6" i="10" l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A722" i="10" s="1"/>
  <c r="A723" i="10" s="1"/>
  <c r="A724" i="10" s="1"/>
  <c r="A725" i="10" s="1"/>
  <c r="A726" i="10" s="1"/>
  <c r="A727" i="10" s="1"/>
  <c r="A728" i="10" s="1"/>
  <c r="A729" i="10" s="1"/>
  <c r="A730" i="10" s="1"/>
  <c r="A731" i="10" s="1"/>
  <c r="A732" i="10" s="1"/>
  <c r="A733" i="10" s="1"/>
  <c r="A734" i="10" s="1"/>
  <c r="A735" i="10" s="1"/>
  <c r="A736" i="10" s="1"/>
  <c r="A737" i="10" s="1"/>
  <c r="A738" i="10" s="1"/>
  <c r="A739" i="10" s="1"/>
  <c r="A740" i="10" s="1"/>
  <c r="A741" i="10" s="1"/>
  <c r="A742" i="10" s="1"/>
  <c r="A743" i="10" s="1"/>
  <c r="A744" i="10" s="1"/>
  <c r="A745" i="10" s="1"/>
  <c r="A746" i="10" s="1"/>
  <c r="A747" i="10" s="1"/>
  <c r="A748" i="10" s="1"/>
  <c r="A749" i="10" s="1"/>
  <c r="A750" i="10" s="1"/>
  <c r="A751" i="10" s="1"/>
  <c r="A752" i="10" s="1"/>
  <c r="A753" i="10" s="1"/>
  <c r="A754" i="10" s="1"/>
  <c r="A755" i="10" s="1"/>
  <c r="A756" i="10" s="1"/>
  <c r="A757" i="10" s="1"/>
  <c r="A758" i="10" s="1"/>
  <c r="A759" i="10" s="1"/>
  <c r="A760" i="10" s="1"/>
  <c r="A761" i="10" s="1"/>
  <c r="A762" i="10" s="1"/>
  <c r="A763" i="10" s="1"/>
  <c r="A764" i="10" s="1"/>
  <c r="A765" i="10" s="1"/>
  <c r="A766" i="10" s="1"/>
  <c r="A767" i="10" s="1"/>
  <c r="A768" i="10" s="1"/>
  <c r="A769" i="10" s="1"/>
  <c r="A770" i="10" s="1"/>
  <c r="A771" i="10" s="1"/>
  <c r="A772" i="10" s="1"/>
  <c r="A773" i="10" s="1"/>
  <c r="A774" i="10" s="1"/>
  <c r="A775" i="10" s="1"/>
  <c r="A776" i="10" s="1"/>
  <c r="A777" i="10" s="1"/>
  <c r="A778" i="10" s="1"/>
  <c r="A779" i="10" s="1"/>
  <c r="A780" i="10" s="1"/>
  <c r="A781" i="10" s="1"/>
  <c r="A782" i="10" s="1"/>
  <c r="A783" i="10" s="1"/>
  <c r="A784" i="10" s="1"/>
  <c r="A785" i="10" s="1"/>
  <c r="A786" i="10" s="1"/>
  <c r="A787" i="10" s="1"/>
  <c r="A788" i="10" s="1"/>
  <c r="A789" i="10" s="1"/>
  <c r="A790" i="10" s="1"/>
  <c r="A791" i="10" s="1"/>
  <c r="A792" i="10" s="1"/>
  <c r="A793" i="10" s="1"/>
  <c r="A794" i="10" s="1"/>
  <c r="A795" i="10" s="1"/>
  <c r="A796" i="10" s="1"/>
  <c r="A797" i="10" s="1"/>
  <c r="A798" i="10" s="1"/>
  <c r="A799" i="10" s="1"/>
  <c r="A800" i="10" s="1"/>
  <c r="A801" i="10" s="1"/>
  <c r="A802" i="10" s="1"/>
  <c r="A803" i="10" s="1"/>
  <c r="A804" i="10" s="1"/>
  <c r="A805" i="10" s="1"/>
  <c r="A806" i="10" s="1"/>
  <c r="A807" i="10" s="1"/>
  <c r="A808" i="10" s="1"/>
  <c r="A809" i="10" s="1"/>
  <c r="A810" i="10" s="1"/>
  <c r="A811" i="10" s="1"/>
  <c r="A812" i="10" s="1"/>
  <c r="A813" i="10" s="1"/>
  <c r="A814" i="10" s="1"/>
  <c r="A815" i="10" s="1"/>
  <c r="A816" i="10" s="1"/>
  <c r="A817" i="10" s="1"/>
  <c r="A818" i="10" s="1"/>
  <c r="A819" i="10" s="1"/>
  <c r="A820" i="10" s="1"/>
  <c r="A821" i="10" s="1"/>
  <c r="A822" i="10" s="1"/>
  <c r="A823" i="10" s="1"/>
  <c r="A824" i="10" s="1"/>
  <c r="A825" i="10" s="1"/>
  <c r="A826" i="10" s="1"/>
  <c r="A827" i="10" s="1"/>
  <c r="A828" i="10" s="1"/>
  <c r="A829" i="10" s="1"/>
  <c r="A830" i="10" s="1"/>
  <c r="A831" i="10" s="1"/>
  <c r="A832" i="10" s="1"/>
  <c r="A833" i="10" s="1"/>
  <c r="A834" i="10" s="1"/>
  <c r="A835" i="10" s="1"/>
  <c r="A836" i="10" s="1"/>
  <c r="A837" i="10" s="1"/>
  <c r="A838" i="10" s="1"/>
  <c r="A839" i="10" s="1"/>
  <c r="A840" i="10" s="1"/>
  <c r="A841" i="10" s="1"/>
  <c r="A842" i="10" s="1"/>
  <c r="A843" i="10" s="1"/>
  <c r="A844" i="10" s="1"/>
  <c r="A845" i="10" s="1"/>
  <c r="A846" i="10" s="1"/>
  <c r="A847" i="10" s="1"/>
  <c r="A848" i="10" s="1"/>
  <c r="A849" i="10" s="1"/>
  <c r="A850" i="10" s="1"/>
  <c r="A851" i="10" s="1"/>
  <c r="A852" i="10" s="1"/>
  <c r="A853" i="10" s="1"/>
  <c r="A854" i="10" s="1"/>
  <c r="A855" i="10" s="1"/>
  <c r="A856" i="10" s="1"/>
  <c r="A857" i="10" s="1"/>
  <c r="A858" i="10" s="1"/>
  <c r="A859" i="10" s="1"/>
  <c r="A860" i="10" s="1"/>
  <c r="A861" i="10" s="1"/>
  <c r="A862" i="10" s="1"/>
  <c r="A863" i="10" s="1"/>
  <c r="A864" i="10" s="1"/>
  <c r="A865" i="10" s="1"/>
  <c r="A866" i="10" s="1"/>
  <c r="A867" i="10" s="1"/>
  <c r="A868" i="10" s="1"/>
  <c r="A869" i="10" s="1"/>
  <c r="A870" i="10" s="1"/>
  <c r="A871" i="10" s="1"/>
  <c r="A872" i="10" s="1"/>
  <c r="A873" i="10" s="1"/>
  <c r="A874" i="10" s="1"/>
  <c r="A875" i="10" s="1"/>
  <c r="A876" i="10" s="1"/>
  <c r="A877" i="10" s="1"/>
  <c r="A878" i="10" s="1"/>
  <c r="A879" i="10" s="1"/>
  <c r="A880" i="10" s="1"/>
  <c r="A881" i="10" s="1"/>
  <c r="A882" i="10" s="1"/>
  <c r="A883" i="10" s="1"/>
  <c r="A884" i="10" s="1"/>
  <c r="A885" i="10" s="1"/>
  <c r="A886" i="10" s="1"/>
  <c r="A887" i="10" s="1"/>
  <c r="A888" i="10" s="1"/>
  <c r="A889" i="10" s="1"/>
  <c r="A890" i="10" s="1"/>
  <c r="A891" i="10" s="1"/>
  <c r="A892" i="10" s="1"/>
  <c r="A893" i="10" s="1"/>
  <c r="A894" i="10" s="1"/>
  <c r="A895" i="10" s="1"/>
  <c r="A896" i="10" s="1"/>
  <c r="A897" i="10" s="1"/>
  <c r="A898" i="10" s="1"/>
  <c r="A899" i="10" s="1"/>
  <c r="A900" i="10" s="1"/>
  <c r="A901" i="10" s="1"/>
  <c r="A902" i="10" s="1"/>
  <c r="A903" i="10" s="1"/>
  <c r="A904" i="10" s="1"/>
  <c r="A905" i="10" s="1"/>
  <c r="A906" i="10" s="1"/>
  <c r="A907" i="10" s="1"/>
  <c r="A908" i="10" s="1"/>
  <c r="A909" i="10" s="1"/>
  <c r="A910" i="10" s="1"/>
  <c r="A911" i="10" s="1"/>
  <c r="A912" i="10" s="1"/>
  <c r="A913" i="10" s="1"/>
  <c r="A914" i="10" s="1"/>
  <c r="A915" i="10" s="1"/>
  <c r="A916" i="10" s="1"/>
  <c r="A917" i="10" s="1"/>
  <c r="A918" i="10" s="1"/>
  <c r="A919" i="10" s="1"/>
  <c r="A920" i="10" s="1"/>
  <c r="A921" i="10" s="1"/>
  <c r="A922" i="10" s="1"/>
  <c r="A923" i="10" s="1"/>
  <c r="A924" i="10" s="1"/>
  <c r="A925" i="10" s="1"/>
  <c r="A926" i="10" s="1"/>
  <c r="A927" i="10" s="1"/>
  <c r="A928" i="10" s="1"/>
  <c r="A929" i="10" s="1"/>
  <c r="A930" i="10" s="1"/>
  <c r="A931" i="10" s="1"/>
  <c r="A932" i="10" s="1"/>
  <c r="A933" i="10" s="1"/>
  <c r="A934" i="10" s="1"/>
  <c r="A935" i="10" s="1"/>
  <c r="A936" i="10" s="1"/>
  <c r="A937" i="10" s="1"/>
  <c r="A938" i="10" s="1"/>
  <c r="A939" i="10" s="1"/>
  <c r="A940" i="10" s="1"/>
  <c r="A941" i="10" s="1"/>
  <c r="A942" i="10" s="1"/>
  <c r="A943" i="10" s="1"/>
  <c r="A944" i="10" s="1"/>
  <c r="A945" i="10" s="1"/>
  <c r="A946" i="10" s="1"/>
  <c r="A947" i="10" s="1"/>
  <c r="A948" i="10" s="1"/>
  <c r="A949" i="10" s="1"/>
  <c r="A950" i="10" s="1"/>
  <c r="A951" i="10" s="1"/>
  <c r="A952" i="10" s="1"/>
  <c r="A953" i="10" s="1"/>
  <c r="A954" i="10" s="1"/>
  <c r="A955" i="10" s="1"/>
  <c r="A956" i="10" s="1"/>
  <c r="A957" i="10" s="1"/>
  <c r="A958" i="10" s="1"/>
  <c r="A959" i="10" s="1"/>
  <c r="A960" i="10" s="1"/>
  <c r="A961" i="10" s="1"/>
  <c r="A962" i="10" s="1"/>
  <c r="A963" i="10" s="1"/>
  <c r="A964" i="10" s="1"/>
  <c r="A965" i="10" s="1"/>
  <c r="A966" i="10" s="1"/>
  <c r="A967" i="10" s="1"/>
  <c r="A968" i="10" s="1"/>
  <c r="A969" i="10" s="1"/>
  <c r="A970" i="10" s="1"/>
  <c r="A971" i="10" s="1"/>
  <c r="A972" i="10" s="1"/>
  <c r="A973" i="10" s="1"/>
  <c r="A974" i="10" s="1"/>
  <c r="A975" i="10" s="1"/>
  <c r="A976" i="10" s="1"/>
  <c r="A977" i="10" s="1"/>
  <c r="A978" i="10" s="1"/>
  <c r="A979" i="10" s="1"/>
  <c r="A980" i="10" s="1"/>
  <c r="A981" i="10" s="1"/>
  <c r="A982" i="10" s="1"/>
  <c r="A983" i="10" s="1"/>
  <c r="A984" i="10" s="1"/>
  <c r="A985" i="10" s="1"/>
  <c r="A986" i="10" s="1"/>
  <c r="A987" i="10" s="1"/>
  <c r="A988" i="10" s="1"/>
  <c r="A989" i="10" s="1"/>
  <c r="A990" i="10" s="1"/>
  <c r="A991" i="10" s="1"/>
  <c r="A992" i="10" s="1"/>
  <c r="A993" i="10" s="1"/>
  <c r="A994" i="10" s="1"/>
  <c r="A995" i="10" s="1"/>
  <c r="A996" i="10" s="1"/>
  <c r="A997" i="10" s="1"/>
  <c r="A998" i="10" s="1"/>
  <c r="A999" i="10" s="1"/>
  <c r="A1000" i="10" s="1"/>
  <c r="A1001" i="10" s="1"/>
  <c r="A1002" i="10" s="1"/>
  <c r="A1003" i="10" s="1"/>
  <c r="A1004" i="10" s="1"/>
  <c r="AV6" i="10"/>
  <c r="AW6" i="10"/>
  <c r="AV7" i="10"/>
  <c r="AW7" i="10"/>
  <c r="AV8" i="10"/>
  <c r="AW8" i="10"/>
  <c r="AV9" i="10"/>
  <c r="AW9" i="10"/>
  <c r="AV10" i="10"/>
  <c r="AW10" i="10"/>
  <c r="AV11" i="10"/>
  <c r="AW11" i="10"/>
  <c r="AV12" i="10"/>
  <c r="AW12" i="10"/>
  <c r="AV13" i="10"/>
  <c r="AW13" i="10"/>
  <c r="AV14" i="10"/>
  <c r="AW14" i="10"/>
  <c r="AV15" i="10"/>
  <c r="AW15" i="10"/>
  <c r="AV16" i="10"/>
  <c r="AW16" i="10"/>
  <c r="AV17" i="10"/>
  <c r="AW17" i="10"/>
  <c r="AV18" i="10"/>
  <c r="AW18" i="10"/>
  <c r="AV19" i="10"/>
  <c r="AW19" i="10"/>
  <c r="AV20" i="10"/>
  <c r="AW20" i="10"/>
  <c r="AV21" i="10"/>
  <c r="AW21" i="10"/>
  <c r="AV22" i="10"/>
  <c r="AW22" i="10"/>
  <c r="AV23" i="10"/>
  <c r="AW23" i="10"/>
  <c r="AV24" i="10"/>
  <c r="AW24" i="10"/>
  <c r="AV25" i="10"/>
  <c r="AW25" i="10"/>
  <c r="AV26" i="10"/>
  <c r="AW26" i="10"/>
  <c r="AV27" i="10"/>
  <c r="AW27" i="10"/>
  <c r="AV28" i="10"/>
  <c r="AW28" i="10"/>
  <c r="AV29" i="10"/>
  <c r="AW29" i="10"/>
  <c r="AV30" i="10"/>
  <c r="AW30" i="10"/>
  <c r="AV31" i="10"/>
  <c r="AW31" i="10"/>
  <c r="AV32" i="10"/>
  <c r="AW32" i="10"/>
  <c r="AV33" i="10"/>
  <c r="AW33" i="10"/>
  <c r="AV34" i="10"/>
  <c r="AW34" i="10"/>
  <c r="AV35" i="10"/>
  <c r="AW35" i="10"/>
  <c r="AV36" i="10"/>
  <c r="AW36" i="10"/>
  <c r="AV37" i="10"/>
  <c r="AW37" i="10"/>
  <c r="AV38" i="10"/>
  <c r="AW38" i="10"/>
  <c r="AV39" i="10"/>
  <c r="AW39" i="10"/>
  <c r="AV40" i="10"/>
  <c r="AW40" i="10"/>
  <c r="AV41" i="10"/>
  <c r="AW41" i="10"/>
  <c r="AV42" i="10"/>
  <c r="AW42" i="10"/>
  <c r="AV43" i="10"/>
  <c r="AW43" i="10"/>
  <c r="AV44" i="10"/>
  <c r="AW44" i="10"/>
  <c r="AV45" i="10"/>
  <c r="AW45" i="10"/>
  <c r="AV46" i="10"/>
  <c r="AW46" i="10"/>
  <c r="AV47" i="10"/>
  <c r="AW47" i="10"/>
  <c r="AV48" i="10"/>
  <c r="AW48" i="10"/>
  <c r="AV49" i="10"/>
  <c r="AW49" i="10"/>
  <c r="AV50" i="10"/>
  <c r="AW50" i="10"/>
  <c r="AV51" i="10"/>
  <c r="AW51" i="10"/>
  <c r="AV52" i="10"/>
  <c r="AW52" i="10"/>
  <c r="AV53" i="10"/>
  <c r="AW53" i="10"/>
  <c r="AV54" i="10"/>
  <c r="AW54" i="10"/>
  <c r="AV55" i="10"/>
  <c r="AW55" i="10"/>
  <c r="AV56" i="10"/>
  <c r="AW56" i="10"/>
  <c r="AV57" i="10"/>
  <c r="AW57" i="10"/>
  <c r="AV58" i="10"/>
  <c r="AW58" i="10"/>
  <c r="AV59" i="10"/>
  <c r="AW59" i="10"/>
  <c r="AV60" i="10"/>
  <c r="AW60" i="10"/>
  <c r="AV61" i="10"/>
  <c r="AW61" i="10"/>
  <c r="AV62" i="10"/>
  <c r="AW62" i="10"/>
  <c r="AV63" i="10"/>
  <c r="AW63" i="10"/>
  <c r="AV64" i="10"/>
  <c r="AW64" i="10"/>
  <c r="AV65" i="10"/>
  <c r="AW65" i="10"/>
  <c r="AV66" i="10"/>
  <c r="AW66" i="10"/>
  <c r="AV67" i="10"/>
  <c r="AW67" i="10"/>
  <c r="AV68" i="10"/>
  <c r="AW68" i="10"/>
  <c r="AV69" i="10"/>
  <c r="AW69" i="10"/>
  <c r="AV70" i="10"/>
  <c r="AW70" i="10"/>
  <c r="AV71" i="10"/>
  <c r="AW71" i="10"/>
  <c r="AV72" i="10"/>
  <c r="AW72" i="10"/>
  <c r="AV73" i="10"/>
  <c r="AW73" i="10"/>
  <c r="AV74" i="10"/>
  <c r="AW74" i="10"/>
  <c r="AV75" i="10"/>
  <c r="AW75" i="10"/>
  <c r="AV76" i="10"/>
  <c r="AW76" i="10"/>
  <c r="AV77" i="10"/>
  <c r="AW77" i="10"/>
  <c r="AV78" i="10"/>
  <c r="AW78" i="10"/>
  <c r="AV79" i="10"/>
  <c r="AW79" i="10"/>
  <c r="AV80" i="10"/>
  <c r="AW80" i="10"/>
  <c r="AV81" i="10"/>
  <c r="AW81" i="10"/>
  <c r="AV82" i="10"/>
  <c r="AW82" i="10"/>
  <c r="AV83" i="10"/>
  <c r="AW83" i="10"/>
  <c r="AV84" i="10"/>
  <c r="AW84" i="10"/>
  <c r="AV85" i="10"/>
  <c r="AW85" i="10"/>
  <c r="AV86" i="10"/>
  <c r="AW86" i="10"/>
  <c r="AV87" i="10"/>
  <c r="AW87" i="10"/>
  <c r="AV88" i="10"/>
  <c r="AW88" i="10"/>
  <c r="AV89" i="10"/>
  <c r="AW89" i="10"/>
  <c r="AV90" i="10"/>
  <c r="AW90" i="10"/>
  <c r="AV91" i="10"/>
  <c r="AW91" i="10"/>
  <c r="AV92" i="10"/>
  <c r="AW92" i="10"/>
  <c r="AV93" i="10"/>
  <c r="AW93" i="10"/>
  <c r="AV94" i="10"/>
  <c r="AW94" i="10"/>
  <c r="AV95" i="10"/>
  <c r="AW95" i="10"/>
  <c r="AV96" i="10"/>
  <c r="AW96" i="10"/>
  <c r="AV97" i="10"/>
  <c r="AW97" i="10"/>
  <c r="AV98" i="10"/>
  <c r="AW98" i="10"/>
  <c r="AV99" i="10"/>
  <c r="AW99" i="10"/>
  <c r="AV100" i="10"/>
  <c r="AW100" i="10"/>
  <c r="AV101" i="10"/>
  <c r="AW101" i="10"/>
  <c r="AV102" i="10"/>
  <c r="AW102" i="10"/>
  <c r="AV103" i="10"/>
  <c r="AW103" i="10"/>
  <c r="AV104" i="10"/>
  <c r="AW104" i="10"/>
  <c r="AV105" i="10"/>
  <c r="AW105" i="10"/>
  <c r="AV106" i="10"/>
  <c r="AW106" i="10"/>
  <c r="AV107" i="10"/>
  <c r="AW107" i="10"/>
  <c r="AV108" i="10"/>
  <c r="AW108" i="10"/>
  <c r="AV109" i="10"/>
  <c r="AW109" i="10"/>
  <c r="AV110" i="10"/>
  <c r="AW110" i="10"/>
  <c r="AV111" i="10"/>
  <c r="AW111" i="10"/>
  <c r="AV112" i="10"/>
  <c r="AW112" i="10"/>
  <c r="AV113" i="10"/>
  <c r="AW113" i="10"/>
  <c r="AV114" i="10"/>
  <c r="AW114" i="10"/>
  <c r="AV115" i="10"/>
  <c r="AW115" i="10"/>
  <c r="AV116" i="10"/>
  <c r="AW116" i="10"/>
  <c r="AV117" i="10"/>
  <c r="AW117" i="10"/>
  <c r="AV118" i="10"/>
  <c r="AW118" i="10"/>
  <c r="AV119" i="10"/>
  <c r="AW119" i="10"/>
  <c r="AV120" i="10"/>
  <c r="AW120" i="10"/>
  <c r="AV121" i="10"/>
  <c r="AW121" i="10"/>
  <c r="AV122" i="10"/>
  <c r="AW122" i="10"/>
  <c r="AV123" i="10"/>
  <c r="AW123" i="10"/>
  <c r="AV124" i="10"/>
  <c r="AW124" i="10"/>
  <c r="AV125" i="10"/>
  <c r="AW125" i="10"/>
  <c r="AV126" i="10"/>
  <c r="AW126" i="10"/>
  <c r="AV127" i="10"/>
  <c r="AW127" i="10"/>
  <c r="AV128" i="10"/>
  <c r="AW128" i="10"/>
  <c r="AV129" i="10"/>
  <c r="AW129" i="10"/>
  <c r="AV130" i="10"/>
  <c r="AW130" i="10"/>
  <c r="AV131" i="10"/>
  <c r="AW131" i="10"/>
  <c r="AV132" i="10"/>
  <c r="AW132" i="10"/>
  <c r="AV133" i="10"/>
  <c r="AW133" i="10"/>
  <c r="AV134" i="10"/>
  <c r="AW134" i="10"/>
  <c r="AV135" i="10"/>
  <c r="AW135" i="10"/>
  <c r="AV136" i="10"/>
  <c r="AW136" i="10"/>
  <c r="AV137" i="10"/>
  <c r="AW137" i="10"/>
  <c r="AV138" i="10"/>
  <c r="AW138" i="10"/>
  <c r="AV139" i="10"/>
  <c r="AW139" i="10"/>
  <c r="AV140" i="10"/>
  <c r="AW140" i="10"/>
  <c r="AV141" i="10"/>
  <c r="AW141" i="10"/>
  <c r="AV142" i="10"/>
  <c r="AW142" i="10"/>
  <c r="AV143" i="10"/>
  <c r="AW143" i="10"/>
  <c r="AV144" i="10"/>
  <c r="AW144" i="10"/>
  <c r="AV145" i="10"/>
  <c r="AW145" i="10"/>
  <c r="AV146" i="10"/>
  <c r="AW146" i="10"/>
  <c r="AV147" i="10"/>
  <c r="AW147" i="10"/>
  <c r="AV148" i="10"/>
  <c r="AW148" i="10"/>
  <c r="AV149" i="10"/>
  <c r="AW149" i="10"/>
  <c r="AV150" i="10"/>
  <c r="AW150" i="10"/>
  <c r="AV151" i="10"/>
  <c r="AW151" i="10"/>
  <c r="AV152" i="10"/>
  <c r="AW152" i="10"/>
  <c r="AV153" i="10"/>
  <c r="AW153" i="10"/>
  <c r="AV154" i="10"/>
  <c r="AW154" i="10"/>
  <c r="AV155" i="10"/>
  <c r="AW155" i="10"/>
  <c r="AV156" i="10"/>
  <c r="AW156" i="10"/>
  <c r="AV157" i="10"/>
  <c r="AW157" i="10"/>
  <c r="AV158" i="10"/>
  <c r="AW158" i="10"/>
  <c r="AV159" i="10"/>
  <c r="AW159" i="10"/>
  <c r="AV160" i="10"/>
  <c r="AW160" i="10"/>
  <c r="AV161" i="10"/>
  <c r="AW161" i="10"/>
  <c r="AV162" i="10"/>
  <c r="AW162" i="10"/>
  <c r="AV163" i="10"/>
  <c r="AW163" i="10"/>
  <c r="AV164" i="10"/>
  <c r="AW164" i="10"/>
  <c r="AV165" i="10"/>
  <c r="AW165" i="10"/>
  <c r="AV166" i="10"/>
  <c r="AW166" i="10"/>
  <c r="AV167" i="10"/>
  <c r="AW167" i="10"/>
  <c r="AV168" i="10"/>
  <c r="AW168" i="10"/>
  <c r="AV169" i="10"/>
  <c r="AW169" i="10"/>
  <c r="AV170" i="10"/>
  <c r="AW170" i="10"/>
  <c r="AV171" i="10"/>
  <c r="AW171" i="10"/>
  <c r="AV172" i="10"/>
  <c r="AW172" i="10"/>
  <c r="AV173" i="10"/>
  <c r="AW173" i="10"/>
  <c r="AV174" i="10"/>
  <c r="AW174" i="10"/>
  <c r="AV175" i="10"/>
  <c r="AW175" i="10"/>
  <c r="AV176" i="10"/>
  <c r="AW176" i="10"/>
  <c r="AV177" i="10"/>
  <c r="AW177" i="10"/>
  <c r="AV178" i="10"/>
  <c r="AW178" i="10"/>
  <c r="AV179" i="10"/>
  <c r="AW179" i="10"/>
  <c r="AV180" i="10"/>
  <c r="AW180" i="10"/>
  <c r="AV181" i="10"/>
  <c r="AW181" i="10"/>
  <c r="AV182" i="10"/>
  <c r="AW182" i="10"/>
  <c r="AV183" i="10"/>
  <c r="AW183" i="10"/>
  <c r="AV184" i="10"/>
  <c r="AW184" i="10"/>
  <c r="AV185" i="10"/>
  <c r="AW185" i="10"/>
  <c r="AV186" i="10"/>
  <c r="AW186" i="10"/>
  <c r="AV187" i="10"/>
  <c r="AW187" i="10"/>
  <c r="AV188" i="10"/>
  <c r="AW188" i="10"/>
  <c r="AV189" i="10"/>
  <c r="AW189" i="10"/>
  <c r="AV190" i="10"/>
  <c r="AW190" i="10"/>
  <c r="AV191" i="10"/>
  <c r="AW191" i="10"/>
  <c r="AV192" i="10"/>
  <c r="AW192" i="10"/>
  <c r="AV193" i="10"/>
  <c r="AW193" i="10"/>
  <c r="AV194" i="10"/>
  <c r="AW194" i="10"/>
  <c r="AV195" i="10"/>
  <c r="AW195" i="10"/>
  <c r="AV196" i="10"/>
  <c r="AW196" i="10"/>
  <c r="AV197" i="10"/>
  <c r="AW197" i="10"/>
  <c r="AV198" i="10"/>
  <c r="AW198" i="10"/>
  <c r="AV199" i="10"/>
  <c r="AW199" i="10"/>
  <c r="AV200" i="10"/>
  <c r="AW200" i="10"/>
  <c r="AV201" i="10"/>
  <c r="AW201" i="10"/>
  <c r="AV202" i="10"/>
  <c r="AW202" i="10"/>
  <c r="AV203" i="10"/>
  <c r="AW203" i="10"/>
  <c r="AV204" i="10"/>
  <c r="AW204" i="10"/>
  <c r="AV205" i="10"/>
  <c r="AW205" i="10"/>
  <c r="AV206" i="10"/>
  <c r="AW206" i="10"/>
  <c r="AV207" i="10"/>
  <c r="AW207" i="10"/>
  <c r="AV208" i="10"/>
  <c r="AW208" i="10"/>
  <c r="AV209" i="10"/>
  <c r="AW209" i="10"/>
  <c r="AV210" i="10"/>
  <c r="AW210" i="10"/>
  <c r="AV211" i="10"/>
  <c r="AW211" i="10"/>
  <c r="AV212" i="10"/>
  <c r="AW212" i="10"/>
  <c r="AV213" i="10"/>
  <c r="AW213" i="10"/>
  <c r="AV214" i="10"/>
  <c r="AW214" i="10"/>
  <c r="AV215" i="10"/>
  <c r="AW215" i="10"/>
  <c r="AV216" i="10"/>
  <c r="AW216" i="10"/>
  <c r="AV217" i="10"/>
  <c r="AW217" i="10"/>
  <c r="AV218" i="10"/>
  <c r="AW218" i="10"/>
  <c r="AV219" i="10"/>
  <c r="AW219" i="10"/>
  <c r="AV220" i="10"/>
  <c r="AW220" i="10"/>
  <c r="AV221" i="10"/>
  <c r="AW221" i="10"/>
  <c r="AV222" i="10"/>
  <c r="AW222" i="10"/>
  <c r="AV223" i="10"/>
  <c r="AW223" i="10"/>
  <c r="AV224" i="10"/>
  <c r="AW224" i="10"/>
  <c r="AV225" i="10"/>
  <c r="AW225" i="10"/>
  <c r="AV226" i="10"/>
  <c r="AW226" i="10"/>
  <c r="AV227" i="10"/>
  <c r="AW227" i="10"/>
  <c r="AV228" i="10"/>
  <c r="AW228" i="10"/>
  <c r="AV229" i="10"/>
  <c r="AW229" i="10"/>
  <c r="AV230" i="10"/>
  <c r="AW230" i="10"/>
  <c r="AV231" i="10"/>
  <c r="AW231" i="10"/>
  <c r="AV232" i="10"/>
  <c r="AW232" i="10"/>
  <c r="AV233" i="10"/>
  <c r="AW233" i="10"/>
  <c r="AV234" i="10"/>
  <c r="AW234" i="10"/>
  <c r="AV235" i="10"/>
  <c r="AW235" i="10"/>
  <c r="AV236" i="10"/>
  <c r="AW236" i="10"/>
  <c r="AV237" i="10"/>
  <c r="AW237" i="10"/>
  <c r="AV238" i="10"/>
  <c r="AW238" i="10"/>
  <c r="AV239" i="10"/>
  <c r="AW239" i="10"/>
  <c r="AV240" i="10"/>
  <c r="AW240" i="10"/>
  <c r="AV241" i="10"/>
  <c r="AW241" i="10"/>
  <c r="AV242" i="10"/>
  <c r="AW242" i="10"/>
  <c r="AV243" i="10"/>
  <c r="AW243" i="10"/>
  <c r="AV244" i="10"/>
  <c r="AW244" i="10"/>
  <c r="AV245" i="10"/>
  <c r="AW245" i="10"/>
  <c r="AV246" i="10"/>
  <c r="AW246" i="10"/>
  <c r="AV247" i="10"/>
  <c r="AW247" i="10"/>
  <c r="AV248" i="10"/>
  <c r="AW248" i="10"/>
  <c r="AV249" i="10"/>
  <c r="AW249" i="10"/>
  <c r="AV250" i="10"/>
  <c r="AW250" i="10"/>
  <c r="AV251" i="10"/>
  <c r="AW251" i="10"/>
  <c r="AV252" i="10"/>
  <c r="AW252" i="10"/>
  <c r="AV253" i="10"/>
  <c r="AW253" i="10"/>
  <c r="AV254" i="10"/>
  <c r="AW254" i="10"/>
  <c r="AV255" i="10"/>
  <c r="AW255" i="10"/>
  <c r="AV256" i="10"/>
  <c r="AW256" i="10"/>
  <c r="AV257" i="10"/>
  <c r="AW257" i="10"/>
  <c r="AV258" i="10"/>
  <c r="AW258" i="10"/>
  <c r="AV259" i="10"/>
  <c r="AW259" i="10"/>
  <c r="AV260" i="10"/>
  <c r="AW260" i="10"/>
  <c r="AV261" i="10"/>
  <c r="AW261" i="10"/>
  <c r="AV262" i="10"/>
  <c r="AW262" i="10"/>
  <c r="AV263" i="10"/>
  <c r="AW263" i="10"/>
  <c r="AV264" i="10"/>
  <c r="AW264" i="10"/>
  <c r="AV265" i="10"/>
  <c r="AW265" i="10"/>
  <c r="AV266" i="10"/>
  <c r="AW266" i="10"/>
  <c r="AV267" i="10"/>
  <c r="AW267" i="10"/>
  <c r="AV268" i="10"/>
  <c r="AW268" i="10"/>
  <c r="AV269" i="10"/>
  <c r="AW269" i="10"/>
  <c r="AV270" i="10"/>
  <c r="AW270" i="10"/>
  <c r="AV271" i="10"/>
  <c r="AW271" i="10"/>
  <c r="AV272" i="10"/>
  <c r="AW272" i="10"/>
  <c r="AV273" i="10"/>
  <c r="AW273" i="10"/>
  <c r="AV274" i="10"/>
  <c r="AW274" i="10"/>
  <c r="AV275" i="10"/>
  <c r="AW275" i="10"/>
  <c r="AV276" i="10"/>
  <c r="AW276" i="10"/>
  <c r="AV277" i="10"/>
  <c r="AW277" i="10"/>
  <c r="AV278" i="10"/>
  <c r="AW278" i="10"/>
  <c r="AV279" i="10"/>
  <c r="AW279" i="10"/>
  <c r="AV280" i="10"/>
  <c r="AW280" i="10"/>
  <c r="AV281" i="10"/>
  <c r="AW281" i="10"/>
  <c r="AV282" i="10"/>
  <c r="AW282" i="10"/>
  <c r="AV283" i="10"/>
  <c r="AW283" i="10"/>
  <c r="AV284" i="10"/>
  <c r="AW284" i="10"/>
  <c r="AV285" i="10"/>
  <c r="AW285" i="10"/>
  <c r="AV286" i="10"/>
  <c r="AW286" i="10"/>
  <c r="AV287" i="10"/>
  <c r="AW287" i="10"/>
  <c r="AV288" i="10"/>
  <c r="AW288" i="10"/>
  <c r="AV289" i="10"/>
  <c r="AW289" i="10"/>
  <c r="AV290" i="10"/>
  <c r="AW290" i="10"/>
  <c r="AV291" i="10"/>
  <c r="AW291" i="10"/>
  <c r="AV292" i="10"/>
  <c r="AW292" i="10"/>
  <c r="AV293" i="10"/>
  <c r="AW293" i="10"/>
  <c r="AV294" i="10"/>
  <c r="AW294" i="10"/>
  <c r="AV295" i="10"/>
  <c r="AW295" i="10"/>
  <c r="AV296" i="10"/>
  <c r="AW296" i="10"/>
  <c r="AV297" i="10"/>
  <c r="AW297" i="10"/>
  <c r="AV298" i="10"/>
  <c r="AW298" i="10"/>
  <c r="AV299" i="10"/>
  <c r="AW299" i="10"/>
  <c r="AV300" i="10"/>
  <c r="AW300" i="10"/>
  <c r="AV301" i="10"/>
  <c r="AW301" i="10"/>
  <c r="AV302" i="10"/>
  <c r="AW302" i="10"/>
  <c r="AV303" i="10"/>
  <c r="AW303" i="10"/>
  <c r="AV304" i="10"/>
  <c r="AW304" i="10"/>
  <c r="AV305" i="10"/>
  <c r="AW305" i="10"/>
  <c r="AV306" i="10"/>
  <c r="AW306" i="10"/>
  <c r="AV307" i="10"/>
  <c r="AW307" i="10"/>
  <c r="AV308" i="10"/>
  <c r="AW308" i="10"/>
  <c r="AV309" i="10"/>
  <c r="AW309" i="10"/>
  <c r="AV310" i="10"/>
  <c r="AW310" i="10"/>
  <c r="AV311" i="10"/>
  <c r="AW311" i="10"/>
  <c r="AV312" i="10"/>
  <c r="AW312" i="10"/>
  <c r="AV313" i="10"/>
  <c r="AW313" i="10"/>
  <c r="AV314" i="10"/>
  <c r="AW314" i="10"/>
  <c r="AV315" i="10"/>
  <c r="AW315" i="10"/>
  <c r="AV316" i="10"/>
  <c r="AW316" i="10"/>
  <c r="AV317" i="10"/>
  <c r="AW317" i="10"/>
  <c r="AV318" i="10"/>
  <c r="AW318" i="10"/>
  <c r="AV319" i="10"/>
  <c r="AW319" i="10"/>
  <c r="AV320" i="10"/>
  <c r="AW320" i="10"/>
  <c r="AV321" i="10"/>
  <c r="AW321" i="10"/>
  <c r="AV322" i="10"/>
  <c r="AW322" i="10"/>
  <c r="AV323" i="10"/>
  <c r="AW323" i="10"/>
  <c r="AV324" i="10"/>
  <c r="AW324" i="10"/>
  <c r="AV325" i="10"/>
  <c r="AW325" i="10"/>
  <c r="AV326" i="10"/>
  <c r="AW326" i="10"/>
  <c r="AV327" i="10"/>
  <c r="AW327" i="10"/>
  <c r="AV328" i="10"/>
  <c r="AW328" i="10"/>
  <c r="AV329" i="10"/>
  <c r="AW329" i="10"/>
  <c r="AV330" i="10"/>
  <c r="AW330" i="10"/>
  <c r="AV331" i="10"/>
  <c r="AW331" i="10"/>
  <c r="AV332" i="10"/>
  <c r="AW332" i="10"/>
  <c r="AV333" i="10"/>
  <c r="AW333" i="10"/>
  <c r="AV334" i="10"/>
  <c r="AW334" i="10"/>
  <c r="AV335" i="10"/>
  <c r="AW335" i="10"/>
  <c r="AV336" i="10"/>
  <c r="AW336" i="10"/>
  <c r="AV337" i="10"/>
  <c r="AW337" i="10"/>
  <c r="AV338" i="10"/>
  <c r="AW338" i="10"/>
  <c r="AV339" i="10"/>
  <c r="AW339" i="10"/>
  <c r="AV340" i="10"/>
  <c r="AW340" i="10"/>
  <c r="AV341" i="10"/>
  <c r="AW341" i="10"/>
  <c r="AV342" i="10"/>
  <c r="AW342" i="10"/>
  <c r="AV343" i="10"/>
  <c r="AW343" i="10"/>
  <c r="AV344" i="10"/>
  <c r="AW344" i="10"/>
  <c r="AV345" i="10"/>
  <c r="AW345" i="10"/>
  <c r="AV346" i="10"/>
  <c r="AW346" i="10"/>
  <c r="AV347" i="10"/>
  <c r="AW347" i="10"/>
  <c r="AV348" i="10"/>
  <c r="AW348" i="10"/>
  <c r="AV349" i="10"/>
  <c r="AW349" i="10"/>
  <c r="AV350" i="10"/>
  <c r="AW350" i="10"/>
  <c r="AV351" i="10"/>
  <c r="AW351" i="10"/>
  <c r="AV352" i="10"/>
  <c r="AW352" i="10"/>
  <c r="AV353" i="10"/>
  <c r="AW353" i="10"/>
  <c r="AV354" i="10"/>
  <c r="AW354" i="10"/>
  <c r="AV355" i="10"/>
  <c r="AW355" i="10"/>
  <c r="AV356" i="10"/>
  <c r="AW356" i="10"/>
  <c r="AV357" i="10"/>
  <c r="AW357" i="10"/>
  <c r="AV358" i="10"/>
  <c r="AW358" i="10"/>
  <c r="AV359" i="10"/>
  <c r="AW359" i="10"/>
  <c r="AV360" i="10"/>
  <c r="AW360" i="10"/>
  <c r="AV361" i="10"/>
  <c r="AW361" i="10"/>
  <c r="AV362" i="10"/>
  <c r="AW362" i="10"/>
  <c r="AV363" i="10"/>
  <c r="AW363" i="10"/>
  <c r="AV364" i="10"/>
  <c r="AW364" i="10"/>
  <c r="AV365" i="10"/>
  <c r="AW365" i="10"/>
  <c r="AV366" i="10"/>
  <c r="AW366" i="10"/>
  <c r="AV367" i="10"/>
  <c r="AW367" i="10"/>
  <c r="AV368" i="10"/>
  <c r="AW368" i="10"/>
  <c r="AV369" i="10"/>
  <c r="AW369" i="10"/>
  <c r="AV370" i="10"/>
  <c r="AW370" i="10"/>
  <c r="AV371" i="10"/>
  <c r="AW371" i="10"/>
  <c r="AV372" i="10"/>
  <c r="AW372" i="10"/>
  <c r="AV373" i="10"/>
  <c r="AW373" i="10"/>
  <c r="AV374" i="10"/>
  <c r="AW374" i="10"/>
  <c r="AV375" i="10"/>
  <c r="AW375" i="10"/>
  <c r="AV376" i="10"/>
  <c r="AW376" i="10"/>
  <c r="AV377" i="10"/>
  <c r="AW377" i="10"/>
  <c r="AV378" i="10"/>
  <c r="AW378" i="10"/>
  <c r="AV379" i="10"/>
  <c r="AW379" i="10"/>
  <c r="AV380" i="10"/>
  <c r="AW380" i="10"/>
  <c r="AV381" i="10"/>
  <c r="AW381" i="10"/>
  <c r="AV382" i="10"/>
  <c r="AW382" i="10"/>
  <c r="AV383" i="10"/>
  <c r="AW383" i="10"/>
  <c r="AV384" i="10"/>
  <c r="AW384" i="10"/>
  <c r="AV385" i="10"/>
  <c r="AW385" i="10"/>
  <c r="AV386" i="10"/>
  <c r="AW386" i="10"/>
  <c r="AV387" i="10"/>
  <c r="AW387" i="10"/>
  <c r="AV388" i="10"/>
  <c r="AW388" i="10"/>
  <c r="AV389" i="10"/>
  <c r="AW389" i="10"/>
  <c r="AV390" i="10"/>
  <c r="AW390" i="10"/>
  <c r="AV391" i="10"/>
  <c r="AW391" i="10"/>
  <c r="AV392" i="10"/>
  <c r="AW392" i="10"/>
  <c r="AV393" i="10"/>
  <c r="AW393" i="10"/>
  <c r="AV394" i="10"/>
  <c r="AW394" i="10"/>
  <c r="AV395" i="10"/>
  <c r="AW395" i="10"/>
  <c r="AV396" i="10"/>
  <c r="AW396" i="10"/>
  <c r="AV397" i="10"/>
  <c r="AW397" i="10"/>
  <c r="AV398" i="10"/>
  <c r="AW398" i="10"/>
  <c r="AV399" i="10"/>
  <c r="AW399" i="10"/>
  <c r="AV400" i="10"/>
  <c r="AW400" i="10"/>
  <c r="AV401" i="10"/>
  <c r="AW401" i="10"/>
  <c r="AV402" i="10"/>
  <c r="AW402" i="10"/>
  <c r="AV403" i="10"/>
  <c r="AW403" i="10"/>
  <c r="AV404" i="10"/>
  <c r="AW404" i="10"/>
  <c r="AV405" i="10"/>
  <c r="AW405" i="10"/>
  <c r="AV406" i="10"/>
  <c r="AW406" i="10"/>
  <c r="AV407" i="10"/>
  <c r="AW407" i="10"/>
  <c r="AV408" i="10"/>
  <c r="AW408" i="10"/>
  <c r="AV409" i="10"/>
  <c r="AW409" i="10"/>
  <c r="AV410" i="10"/>
  <c r="AW410" i="10"/>
  <c r="AV411" i="10"/>
  <c r="AW411" i="10"/>
  <c r="AV412" i="10"/>
  <c r="AW412" i="10"/>
  <c r="AV413" i="10"/>
  <c r="AW413" i="10"/>
  <c r="AV414" i="10"/>
  <c r="AW414" i="10"/>
  <c r="AV415" i="10"/>
  <c r="AW415" i="10"/>
  <c r="AV416" i="10"/>
  <c r="AW416" i="10"/>
  <c r="AV417" i="10"/>
  <c r="AW417" i="10"/>
  <c r="AV418" i="10"/>
  <c r="AW418" i="10"/>
  <c r="AV419" i="10"/>
  <c r="AW419" i="10"/>
  <c r="AV420" i="10"/>
  <c r="AW420" i="10"/>
  <c r="AV421" i="10"/>
  <c r="AW421" i="10"/>
  <c r="AV422" i="10"/>
  <c r="AW422" i="10"/>
  <c r="AV423" i="10"/>
  <c r="AW423" i="10"/>
  <c r="AV424" i="10"/>
  <c r="AW424" i="10"/>
  <c r="AV425" i="10"/>
  <c r="AW425" i="10"/>
  <c r="AV426" i="10"/>
  <c r="AW426" i="10"/>
  <c r="AV427" i="10"/>
  <c r="AW427" i="10"/>
  <c r="AV428" i="10"/>
  <c r="AW428" i="10"/>
  <c r="AV429" i="10"/>
  <c r="AW429" i="10"/>
  <c r="AV430" i="10"/>
  <c r="AW430" i="10"/>
  <c r="AV431" i="10"/>
  <c r="AW431" i="10"/>
  <c r="AV432" i="10"/>
  <c r="AW432" i="10"/>
  <c r="AV433" i="10"/>
  <c r="AW433" i="10"/>
  <c r="AV434" i="10"/>
  <c r="AW434" i="10"/>
  <c r="AV435" i="10"/>
  <c r="AW435" i="10"/>
  <c r="AV436" i="10"/>
  <c r="AW436" i="10"/>
  <c r="AV437" i="10"/>
  <c r="AW437" i="10"/>
  <c r="AV438" i="10"/>
  <c r="AW438" i="10"/>
  <c r="AV439" i="10"/>
  <c r="AW439" i="10"/>
  <c r="AV440" i="10"/>
  <c r="AW440" i="10"/>
  <c r="AV441" i="10"/>
  <c r="AW441" i="10"/>
  <c r="AV442" i="10"/>
  <c r="AW442" i="10"/>
  <c r="AV443" i="10"/>
  <c r="AW443" i="10"/>
  <c r="AV444" i="10"/>
  <c r="AW444" i="10"/>
  <c r="AV445" i="10"/>
  <c r="AW445" i="10"/>
  <c r="AV446" i="10"/>
  <c r="AW446" i="10"/>
  <c r="AV447" i="10"/>
  <c r="AW447" i="10"/>
  <c r="AV448" i="10"/>
  <c r="AW448" i="10"/>
  <c r="AV449" i="10"/>
  <c r="AW449" i="10"/>
  <c r="AV450" i="10"/>
  <c r="AW450" i="10"/>
  <c r="AV451" i="10"/>
  <c r="AW451" i="10"/>
  <c r="AV452" i="10"/>
  <c r="AW452" i="10"/>
  <c r="AV453" i="10"/>
  <c r="AW453" i="10"/>
  <c r="AV454" i="10"/>
  <c r="AW454" i="10"/>
  <c r="AV455" i="10"/>
  <c r="AW455" i="10"/>
  <c r="AV456" i="10"/>
  <c r="AW456" i="10"/>
  <c r="AV457" i="10"/>
  <c r="AW457" i="10"/>
  <c r="AV458" i="10"/>
  <c r="AW458" i="10"/>
  <c r="AV459" i="10"/>
  <c r="AW459" i="10"/>
  <c r="AV460" i="10"/>
  <c r="AW460" i="10"/>
  <c r="AV461" i="10"/>
  <c r="AW461" i="10"/>
  <c r="AV462" i="10"/>
  <c r="AW462" i="10"/>
  <c r="AV463" i="10"/>
  <c r="AW463" i="10"/>
  <c r="AV464" i="10"/>
  <c r="AW464" i="10"/>
  <c r="AV465" i="10"/>
  <c r="AW465" i="10"/>
  <c r="AV466" i="10"/>
  <c r="AW466" i="10"/>
  <c r="AV467" i="10"/>
  <c r="AW467" i="10"/>
  <c r="AV468" i="10"/>
  <c r="AW468" i="10"/>
  <c r="AV469" i="10"/>
  <c r="AW469" i="10"/>
  <c r="AV470" i="10"/>
  <c r="AW470" i="10"/>
  <c r="AV471" i="10"/>
  <c r="AW471" i="10"/>
  <c r="AV472" i="10"/>
  <c r="AW472" i="10"/>
  <c r="AV473" i="10"/>
  <c r="AW473" i="10"/>
  <c r="AV474" i="10"/>
  <c r="AW474" i="10"/>
  <c r="AV475" i="10"/>
  <c r="AW475" i="10"/>
  <c r="AV476" i="10"/>
  <c r="AW476" i="10"/>
  <c r="AV477" i="10"/>
  <c r="AW477" i="10"/>
  <c r="AV478" i="10"/>
  <c r="AW478" i="10"/>
  <c r="AV479" i="10"/>
  <c r="AW479" i="10"/>
  <c r="AV480" i="10"/>
  <c r="AW480" i="10"/>
  <c r="AV481" i="10"/>
  <c r="AW481" i="10"/>
  <c r="AV482" i="10"/>
  <c r="AW482" i="10"/>
  <c r="AV483" i="10"/>
  <c r="AW483" i="10"/>
  <c r="AV484" i="10"/>
  <c r="AW484" i="10"/>
  <c r="AV485" i="10"/>
  <c r="AW485" i="10"/>
  <c r="AV486" i="10"/>
  <c r="AW486" i="10"/>
  <c r="AV487" i="10"/>
  <c r="AW487" i="10"/>
  <c r="AV488" i="10"/>
  <c r="AW488" i="10"/>
  <c r="AV489" i="10"/>
  <c r="AW489" i="10"/>
  <c r="AV490" i="10"/>
  <c r="AW490" i="10"/>
  <c r="AV491" i="10"/>
  <c r="AW491" i="10"/>
  <c r="AV492" i="10"/>
  <c r="AW492" i="10"/>
  <c r="AV493" i="10"/>
  <c r="AW493" i="10"/>
  <c r="AV494" i="10"/>
  <c r="AW494" i="10"/>
  <c r="AV495" i="10"/>
  <c r="AW495" i="10"/>
  <c r="AV496" i="10"/>
  <c r="AW496" i="10"/>
  <c r="AV497" i="10"/>
  <c r="AW497" i="10"/>
  <c r="AV498" i="10"/>
  <c r="AW498" i="10"/>
  <c r="AV499" i="10"/>
  <c r="AW499" i="10"/>
  <c r="AV500" i="10"/>
  <c r="AW500" i="10"/>
  <c r="AV501" i="10"/>
  <c r="AW501" i="10"/>
  <c r="AV502" i="10"/>
  <c r="AW502" i="10"/>
  <c r="AV503" i="10"/>
  <c r="AW503" i="10"/>
  <c r="AV504" i="10"/>
  <c r="AW504" i="10"/>
  <c r="AV505" i="10"/>
  <c r="AW505" i="10"/>
  <c r="AV506" i="10"/>
  <c r="AW506" i="10"/>
  <c r="AV507" i="10"/>
  <c r="AW507" i="10"/>
  <c r="AV508" i="10"/>
  <c r="AW508" i="10"/>
  <c r="AV509" i="10"/>
  <c r="AW509" i="10"/>
  <c r="AV510" i="10"/>
  <c r="AW510" i="10"/>
  <c r="AV511" i="10"/>
  <c r="AW511" i="10"/>
  <c r="AV512" i="10"/>
  <c r="AW512" i="10"/>
  <c r="AV513" i="10"/>
  <c r="AW513" i="10"/>
  <c r="AV514" i="10"/>
  <c r="AW514" i="10"/>
  <c r="AV515" i="10"/>
  <c r="AW515" i="10"/>
  <c r="AV516" i="10"/>
  <c r="AW516" i="10"/>
  <c r="AV517" i="10"/>
  <c r="AW517" i="10"/>
  <c r="AV518" i="10"/>
  <c r="AW518" i="10"/>
  <c r="AV519" i="10"/>
  <c r="AW519" i="10"/>
  <c r="AV520" i="10"/>
  <c r="AW520" i="10"/>
  <c r="AV521" i="10"/>
  <c r="AW521" i="10"/>
  <c r="AV522" i="10"/>
  <c r="AW522" i="10"/>
  <c r="AV523" i="10"/>
  <c r="AW523" i="10"/>
  <c r="AV524" i="10"/>
  <c r="AW524" i="10"/>
  <c r="AV525" i="10"/>
  <c r="AW525" i="10"/>
  <c r="AV526" i="10"/>
  <c r="AW526" i="10"/>
  <c r="AV527" i="10"/>
  <c r="AW527" i="10"/>
  <c r="AV528" i="10"/>
  <c r="AW528" i="10"/>
  <c r="AV529" i="10"/>
  <c r="AW529" i="10"/>
  <c r="AV530" i="10"/>
  <c r="AW530" i="10"/>
  <c r="AV531" i="10"/>
  <c r="AW531" i="10"/>
  <c r="AV532" i="10"/>
  <c r="AW532" i="10"/>
  <c r="AV533" i="10"/>
  <c r="AW533" i="10"/>
  <c r="AV534" i="10"/>
  <c r="AW534" i="10"/>
  <c r="AV535" i="10"/>
  <c r="AW535" i="10"/>
  <c r="AV536" i="10"/>
  <c r="AW536" i="10"/>
  <c r="AV537" i="10"/>
  <c r="AW537" i="10"/>
  <c r="AV538" i="10"/>
  <c r="AW538" i="10"/>
  <c r="AV539" i="10"/>
  <c r="AW539" i="10"/>
  <c r="AV540" i="10"/>
  <c r="AW540" i="10"/>
  <c r="AV541" i="10"/>
  <c r="AW541" i="10"/>
  <c r="AV542" i="10"/>
  <c r="AW542" i="10"/>
  <c r="AV543" i="10"/>
  <c r="AW543" i="10"/>
  <c r="AV544" i="10"/>
  <c r="AW544" i="10"/>
  <c r="AV545" i="10"/>
  <c r="AW545" i="10"/>
  <c r="AV546" i="10"/>
  <c r="AW546" i="10"/>
  <c r="AV547" i="10"/>
  <c r="AW547" i="10"/>
  <c r="AV548" i="10"/>
  <c r="AW548" i="10"/>
  <c r="AV549" i="10"/>
  <c r="AW549" i="10"/>
  <c r="AV550" i="10"/>
  <c r="AW550" i="10"/>
  <c r="AV551" i="10"/>
  <c r="AW551" i="10"/>
  <c r="AV552" i="10"/>
  <c r="AW552" i="10"/>
  <c r="AV553" i="10"/>
  <c r="AW553" i="10"/>
  <c r="AV554" i="10"/>
  <c r="AW554" i="10"/>
  <c r="AV555" i="10"/>
  <c r="AW555" i="10"/>
  <c r="AV556" i="10"/>
  <c r="AW556" i="10"/>
  <c r="AV557" i="10"/>
  <c r="AW557" i="10"/>
  <c r="AV558" i="10"/>
  <c r="AW558" i="10"/>
  <c r="AV559" i="10"/>
  <c r="AW559" i="10"/>
  <c r="AV560" i="10"/>
  <c r="AW560" i="10"/>
  <c r="AV561" i="10"/>
  <c r="AW561" i="10"/>
  <c r="AV562" i="10"/>
  <c r="AW562" i="10"/>
  <c r="AV563" i="10"/>
  <c r="AW563" i="10"/>
  <c r="AV564" i="10"/>
  <c r="AW564" i="10"/>
  <c r="AV565" i="10"/>
  <c r="AW565" i="10"/>
  <c r="AV566" i="10"/>
  <c r="AW566" i="10"/>
  <c r="AV567" i="10"/>
  <c r="AW567" i="10"/>
  <c r="AV568" i="10"/>
  <c r="AW568" i="10"/>
  <c r="AV569" i="10"/>
  <c r="AW569" i="10"/>
  <c r="AV570" i="10"/>
  <c r="AW570" i="10"/>
  <c r="AV571" i="10"/>
  <c r="AW571" i="10"/>
  <c r="AV572" i="10"/>
  <c r="AW572" i="10"/>
  <c r="AV573" i="10"/>
  <c r="AW573" i="10"/>
  <c r="AV574" i="10"/>
  <c r="AW574" i="10"/>
  <c r="AV575" i="10"/>
  <c r="AW575" i="10"/>
  <c r="AV576" i="10"/>
  <c r="AW576" i="10"/>
  <c r="AV577" i="10"/>
  <c r="AW577" i="10"/>
  <c r="AV578" i="10"/>
  <c r="AW578" i="10"/>
  <c r="AV579" i="10"/>
  <c r="AW579" i="10"/>
  <c r="AV580" i="10"/>
  <c r="AW580" i="10"/>
  <c r="AV581" i="10"/>
  <c r="AW581" i="10"/>
  <c r="AV582" i="10"/>
  <c r="AW582" i="10"/>
  <c r="AV583" i="10"/>
  <c r="AW583" i="10"/>
  <c r="AV584" i="10"/>
  <c r="AW584" i="10"/>
  <c r="AV585" i="10"/>
  <c r="AW585" i="10"/>
  <c r="AV586" i="10"/>
  <c r="AW586" i="10"/>
  <c r="AV587" i="10"/>
  <c r="AW587" i="10"/>
  <c r="AV588" i="10"/>
  <c r="AW588" i="10"/>
  <c r="AV589" i="10"/>
  <c r="AW589" i="10"/>
  <c r="AV590" i="10"/>
  <c r="AW590" i="10"/>
  <c r="AV591" i="10"/>
  <c r="AW591" i="10"/>
  <c r="AV592" i="10"/>
  <c r="AW592" i="10"/>
  <c r="AV593" i="10"/>
  <c r="AW593" i="10"/>
  <c r="AV594" i="10"/>
  <c r="AW594" i="10"/>
  <c r="AV595" i="10"/>
  <c r="AW595" i="10"/>
  <c r="AV596" i="10"/>
  <c r="AW596" i="10"/>
  <c r="AV597" i="10"/>
  <c r="AW597" i="10"/>
  <c r="AV598" i="10"/>
  <c r="AW598" i="10"/>
  <c r="AV599" i="10"/>
  <c r="AW599" i="10"/>
  <c r="AV600" i="10"/>
  <c r="AW600" i="10"/>
  <c r="AV601" i="10"/>
  <c r="AW601" i="10"/>
  <c r="AV602" i="10"/>
  <c r="AW602" i="10"/>
  <c r="AV603" i="10"/>
  <c r="AW603" i="10"/>
  <c r="AV604" i="10"/>
  <c r="AW604" i="10"/>
  <c r="AV605" i="10"/>
  <c r="AW605" i="10"/>
  <c r="AV606" i="10"/>
  <c r="AW606" i="10"/>
  <c r="AV607" i="10"/>
  <c r="AW607" i="10"/>
  <c r="AV608" i="10"/>
  <c r="AW608" i="10"/>
  <c r="AV609" i="10"/>
  <c r="AW609" i="10"/>
  <c r="AV610" i="10"/>
  <c r="AW610" i="10"/>
  <c r="AV611" i="10"/>
  <c r="AW611" i="10"/>
  <c r="AV612" i="10"/>
  <c r="AW612" i="10"/>
  <c r="AV613" i="10"/>
  <c r="AW613" i="10"/>
  <c r="AV614" i="10"/>
  <c r="AW614" i="10"/>
  <c r="AV615" i="10"/>
  <c r="AW615" i="10"/>
  <c r="AV616" i="10"/>
  <c r="AW616" i="10"/>
  <c r="AV617" i="10"/>
  <c r="AW617" i="10"/>
  <c r="AV618" i="10"/>
  <c r="AW618" i="10"/>
  <c r="AV619" i="10"/>
  <c r="AW619" i="10"/>
  <c r="AV620" i="10"/>
  <c r="AW620" i="10"/>
  <c r="AV621" i="10"/>
  <c r="AW621" i="10"/>
  <c r="AV622" i="10"/>
  <c r="AW622" i="10"/>
  <c r="AV623" i="10"/>
  <c r="AW623" i="10"/>
  <c r="AV624" i="10"/>
  <c r="AW624" i="10"/>
  <c r="AV625" i="10"/>
  <c r="AW625" i="10"/>
  <c r="AV626" i="10"/>
  <c r="AW626" i="10"/>
  <c r="AV627" i="10"/>
  <c r="AW627" i="10"/>
  <c r="AV628" i="10"/>
  <c r="AW628" i="10"/>
  <c r="AV629" i="10"/>
  <c r="AW629" i="10"/>
  <c r="AV630" i="10"/>
  <c r="AW630" i="10"/>
  <c r="AV631" i="10"/>
  <c r="AW631" i="10"/>
  <c r="AV632" i="10"/>
  <c r="AW632" i="10"/>
  <c r="AV633" i="10"/>
  <c r="AW633" i="10"/>
  <c r="AV634" i="10"/>
  <c r="AW634" i="10"/>
  <c r="AV635" i="10"/>
  <c r="AW635" i="10"/>
  <c r="AV636" i="10"/>
  <c r="AW636" i="10"/>
  <c r="AV637" i="10"/>
  <c r="AW637" i="10"/>
  <c r="AV638" i="10"/>
  <c r="AW638" i="10"/>
  <c r="AV639" i="10"/>
  <c r="AW639" i="10"/>
  <c r="AV640" i="10"/>
  <c r="AW640" i="10"/>
  <c r="AV641" i="10"/>
  <c r="AW641" i="10"/>
  <c r="AV642" i="10"/>
  <c r="AW642" i="10"/>
  <c r="AV643" i="10"/>
  <c r="AW643" i="10"/>
  <c r="AV644" i="10"/>
  <c r="AW644" i="10"/>
  <c r="AV645" i="10"/>
  <c r="AW645" i="10"/>
  <c r="AV646" i="10"/>
  <c r="AW646" i="10"/>
  <c r="AV647" i="10"/>
  <c r="AW647" i="10"/>
  <c r="AV648" i="10"/>
  <c r="AW648" i="10"/>
  <c r="AV649" i="10"/>
  <c r="AW649" i="10"/>
  <c r="AV650" i="10"/>
  <c r="AW650" i="10"/>
  <c r="AV651" i="10"/>
  <c r="AW651" i="10"/>
  <c r="AV652" i="10"/>
  <c r="AW652" i="10"/>
  <c r="AV653" i="10"/>
  <c r="AW653" i="10"/>
  <c r="AV654" i="10"/>
  <c r="AW654" i="10"/>
  <c r="AV655" i="10"/>
  <c r="AW655" i="10"/>
  <c r="AV656" i="10"/>
  <c r="AW656" i="10"/>
  <c r="AV657" i="10"/>
  <c r="AW657" i="10"/>
  <c r="AV658" i="10"/>
  <c r="AW658" i="10"/>
  <c r="AV659" i="10"/>
  <c r="AW659" i="10"/>
  <c r="AV660" i="10"/>
  <c r="AW660" i="10"/>
  <c r="AV661" i="10"/>
  <c r="AW661" i="10"/>
  <c r="AV662" i="10"/>
  <c r="AW662" i="10"/>
  <c r="AV663" i="10"/>
  <c r="AW663" i="10"/>
  <c r="AV664" i="10"/>
  <c r="AW664" i="10"/>
  <c r="AV665" i="10"/>
  <c r="AW665" i="10"/>
  <c r="AV666" i="10"/>
  <c r="AW666" i="10"/>
  <c r="AV667" i="10"/>
  <c r="AW667" i="10"/>
  <c r="AV668" i="10"/>
  <c r="AW668" i="10"/>
  <c r="AV669" i="10"/>
  <c r="AW669" i="10"/>
  <c r="AV670" i="10"/>
  <c r="AW670" i="10"/>
  <c r="AV671" i="10"/>
  <c r="AW671" i="10"/>
  <c r="AV672" i="10"/>
  <c r="AW672" i="10"/>
  <c r="AV673" i="10"/>
  <c r="AW673" i="10"/>
  <c r="AV674" i="10"/>
  <c r="AW674" i="10"/>
  <c r="AV675" i="10"/>
  <c r="AW675" i="10"/>
  <c r="AV676" i="10"/>
  <c r="AW676" i="10"/>
  <c r="AV677" i="10"/>
  <c r="AW677" i="10"/>
  <c r="AV678" i="10"/>
  <c r="AW678" i="10"/>
  <c r="AV679" i="10"/>
  <c r="AW679" i="10"/>
  <c r="AV680" i="10"/>
  <c r="AW680" i="10"/>
  <c r="AV681" i="10"/>
  <c r="AW681" i="10"/>
  <c r="AV682" i="10"/>
  <c r="AW682" i="10"/>
  <c r="AV683" i="10"/>
  <c r="AW683" i="10"/>
  <c r="AV684" i="10"/>
  <c r="AW684" i="10"/>
  <c r="AV685" i="10"/>
  <c r="AW685" i="10"/>
  <c r="AV686" i="10"/>
  <c r="AW686" i="10"/>
  <c r="AV687" i="10"/>
  <c r="AW687" i="10"/>
  <c r="AV688" i="10"/>
  <c r="AW688" i="10"/>
  <c r="AV689" i="10"/>
  <c r="AW689" i="10"/>
  <c r="AV690" i="10"/>
  <c r="AW690" i="10"/>
  <c r="AV691" i="10"/>
  <c r="AW691" i="10"/>
  <c r="AV692" i="10"/>
  <c r="AW692" i="10"/>
  <c r="AV693" i="10"/>
  <c r="AW693" i="10"/>
  <c r="AV694" i="10"/>
  <c r="AW694" i="10"/>
  <c r="AV695" i="10"/>
  <c r="AW695" i="10"/>
  <c r="AV696" i="10"/>
  <c r="AW696" i="10"/>
  <c r="AV697" i="10"/>
  <c r="AW697" i="10"/>
  <c r="AV698" i="10"/>
  <c r="AW698" i="10"/>
  <c r="AV699" i="10"/>
  <c r="AW699" i="10"/>
  <c r="AV700" i="10"/>
  <c r="AW700" i="10"/>
  <c r="AV701" i="10"/>
  <c r="AW701" i="10"/>
  <c r="AV702" i="10"/>
  <c r="AW702" i="10"/>
  <c r="AV703" i="10"/>
  <c r="AW703" i="10"/>
  <c r="AV704" i="10"/>
  <c r="AW704" i="10"/>
  <c r="AV705" i="10"/>
  <c r="AW705" i="10"/>
  <c r="AV706" i="10"/>
  <c r="AW706" i="10"/>
  <c r="AV707" i="10"/>
  <c r="AW707" i="10"/>
  <c r="AV708" i="10"/>
  <c r="AW708" i="10"/>
  <c r="AV709" i="10"/>
  <c r="AW709" i="10"/>
  <c r="AV710" i="10"/>
  <c r="AW710" i="10"/>
  <c r="AV711" i="10"/>
  <c r="AW711" i="10"/>
  <c r="AV712" i="10"/>
  <c r="AW712" i="10"/>
  <c r="AV713" i="10"/>
  <c r="AW713" i="10"/>
  <c r="AV714" i="10"/>
  <c r="AW714" i="10"/>
  <c r="AV715" i="10"/>
  <c r="AW715" i="10"/>
  <c r="AV716" i="10"/>
  <c r="AW716" i="10"/>
  <c r="AV717" i="10"/>
  <c r="AW717" i="10"/>
  <c r="AV718" i="10"/>
  <c r="AW718" i="10"/>
  <c r="AV719" i="10"/>
  <c r="AW719" i="10"/>
  <c r="AV720" i="10"/>
  <c r="AW720" i="10"/>
  <c r="AV721" i="10"/>
  <c r="AW721" i="10"/>
  <c r="AV722" i="10"/>
  <c r="AW722" i="10"/>
  <c r="AV723" i="10"/>
  <c r="AW723" i="10"/>
  <c r="AV724" i="10"/>
  <c r="AW724" i="10"/>
  <c r="AV725" i="10"/>
  <c r="AW725" i="10"/>
  <c r="AV726" i="10"/>
  <c r="AW726" i="10"/>
  <c r="AV727" i="10"/>
  <c r="AW727" i="10"/>
  <c r="AV728" i="10"/>
  <c r="AW728" i="10"/>
  <c r="AV729" i="10"/>
  <c r="AW729" i="10"/>
  <c r="AV730" i="10"/>
  <c r="AW730" i="10"/>
  <c r="AV731" i="10"/>
  <c r="AW731" i="10"/>
  <c r="AV732" i="10"/>
  <c r="AW732" i="10"/>
  <c r="AV733" i="10"/>
  <c r="AW733" i="10"/>
  <c r="AV734" i="10"/>
  <c r="AW734" i="10"/>
  <c r="AV735" i="10"/>
  <c r="AW735" i="10"/>
  <c r="AV736" i="10"/>
  <c r="AW736" i="10"/>
  <c r="AV737" i="10"/>
  <c r="AW737" i="10"/>
  <c r="AV738" i="10"/>
  <c r="AW738" i="10"/>
  <c r="AV739" i="10"/>
  <c r="AW739" i="10"/>
  <c r="AV740" i="10"/>
  <c r="AW740" i="10"/>
  <c r="AV741" i="10"/>
  <c r="AW741" i="10"/>
  <c r="AV742" i="10"/>
  <c r="AW742" i="10"/>
  <c r="AV743" i="10"/>
  <c r="AW743" i="10"/>
  <c r="AV744" i="10"/>
  <c r="AW744" i="10"/>
  <c r="AV745" i="10"/>
  <c r="AW745" i="10"/>
  <c r="AV746" i="10"/>
  <c r="AW746" i="10"/>
  <c r="AV747" i="10"/>
  <c r="AW747" i="10"/>
  <c r="AV748" i="10"/>
  <c r="AW748" i="10"/>
  <c r="AV749" i="10"/>
  <c r="AW749" i="10"/>
  <c r="AV750" i="10"/>
  <c r="AW750" i="10"/>
  <c r="AV751" i="10"/>
  <c r="AW751" i="10"/>
  <c r="AV752" i="10"/>
  <c r="AW752" i="10"/>
  <c r="AV753" i="10"/>
  <c r="AW753" i="10"/>
  <c r="AV754" i="10"/>
  <c r="AW754" i="10"/>
  <c r="AV755" i="10"/>
  <c r="AW755" i="10"/>
  <c r="AV756" i="10"/>
  <c r="AW756" i="10"/>
  <c r="AV757" i="10"/>
  <c r="AW757" i="10"/>
  <c r="AV758" i="10"/>
  <c r="AW758" i="10"/>
  <c r="AV759" i="10"/>
  <c r="AW759" i="10"/>
  <c r="AV760" i="10"/>
  <c r="AW760" i="10"/>
  <c r="AV761" i="10"/>
  <c r="AW761" i="10"/>
  <c r="AV762" i="10"/>
  <c r="AW762" i="10"/>
  <c r="AV763" i="10"/>
  <c r="AW763" i="10"/>
  <c r="AV764" i="10"/>
  <c r="AW764" i="10"/>
  <c r="AV765" i="10"/>
  <c r="AW765" i="10"/>
  <c r="AV766" i="10"/>
  <c r="AW766" i="10"/>
  <c r="AV767" i="10"/>
  <c r="AW767" i="10"/>
  <c r="AV768" i="10"/>
  <c r="AW768" i="10"/>
  <c r="AV769" i="10"/>
  <c r="AW769" i="10"/>
  <c r="AV770" i="10"/>
  <c r="AW770" i="10"/>
  <c r="AV771" i="10"/>
  <c r="AW771" i="10"/>
  <c r="AV772" i="10"/>
  <c r="AW772" i="10"/>
  <c r="AV773" i="10"/>
  <c r="AW773" i="10"/>
  <c r="AV774" i="10"/>
  <c r="AW774" i="10"/>
  <c r="AV775" i="10"/>
  <c r="AW775" i="10"/>
  <c r="AV776" i="10"/>
  <c r="AW776" i="10"/>
  <c r="AV777" i="10"/>
  <c r="AW777" i="10"/>
  <c r="AV778" i="10"/>
  <c r="AW778" i="10"/>
  <c r="AV779" i="10"/>
  <c r="AW779" i="10"/>
  <c r="AV780" i="10"/>
  <c r="AW780" i="10"/>
  <c r="AV781" i="10"/>
  <c r="AW781" i="10"/>
  <c r="AV782" i="10"/>
  <c r="AW782" i="10"/>
  <c r="AV783" i="10"/>
  <c r="AW783" i="10"/>
  <c r="AV784" i="10"/>
  <c r="AW784" i="10"/>
  <c r="AV785" i="10"/>
  <c r="AW785" i="10"/>
  <c r="AV786" i="10"/>
  <c r="AW786" i="10"/>
  <c r="AV787" i="10"/>
  <c r="AW787" i="10"/>
  <c r="AV788" i="10"/>
  <c r="AW788" i="10"/>
  <c r="AV789" i="10"/>
  <c r="AW789" i="10"/>
  <c r="AV790" i="10"/>
  <c r="AW790" i="10"/>
  <c r="AV791" i="10"/>
  <c r="AW791" i="10"/>
  <c r="AV792" i="10"/>
  <c r="AW792" i="10"/>
  <c r="AV793" i="10"/>
  <c r="AW793" i="10"/>
  <c r="AV794" i="10"/>
  <c r="AW794" i="10"/>
  <c r="AV795" i="10"/>
  <c r="AW795" i="10"/>
  <c r="AV796" i="10"/>
  <c r="AW796" i="10"/>
  <c r="AV797" i="10"/>
  <c r="AW797" i="10"/>
  <c r="AV798" i="10"/>
  <c r="AW798" i="10"/>
  <c r="AV799" i="10"/>
  <c r="AW799" i="10"/>
  <c r="AV800" i="10"/>
  <c r="AW800" i="10"/>
  <c r="AV801" i="10"/>
  <c r="AW801" i="10"/>
  <c r="AV802" i="10"/>
  <c r="AW802" i="10"/>
  <c r="AV803" i="10"/>
  <c r="AW803" i="10"/>
  <c r="AV804" i="10"/>
  <c r="AW804" i="10"/>
  <c r="AV805" i="10"/>
  <c r="AW805" i="10"/>
  <c r="AV806" i="10"/>
  <c r="AW806" i="10"/>
  <c r="AV807" i="10"/>
  <c r="AW807" i="10"/>
  <c r="AV808" i="10"/>
  <c r="AW808" i="10"/>
  <c r="AV809" i="10"/>
  <c r="AW809" i="10"/>
  <c r="AV810" i="10"/>
  <c r="AW810" i="10"/>
  <c r="AV811" i="10"/>
  <c r="AW811" i="10"/>
  <c r="AV812" i="10"/>
  <c r="AW812" i="10"/>
  <c r="AV813" i="10"/>
  <c r="AW813" i="10"/>
  <c r="AV814" i="10"/>
  <c r="AW814" i="10"/>
  <c r="AV815" i="10"/>
  <c r="AW815" i="10"/>
  <c r="AV816" i="10"/>
  <c r="AW816" i="10"/>
  <c r="AV817" i="10"/>
  <c r="AW817" i="10"/>
  <c r="AV818" i="10"/>
  <c r="AW818" i="10"/>
  <c r="AV819" i="10"/>
  <c r="AW819" i="10"/>
  <c r="AV820" i="10"/>
  <c r="AW820" i="10"/>
  <c r="AV821" i="10"/>
  <c r="AW821" i="10"/>
  <c r="AV822" i="10"/>
  <c r="AW822" i="10"/>
  <c r="AV823" i="10"/>
  <c r="AW823" i="10"/>
  <c r="AV824" i="10"/>
  <c r="AW824" i="10"/>
  <c r="AV825" i="10"/>
  <c r="AW825" i="10"/>
  <c r="AV826" i="10"/>
  <c r="AW826" i="10"/>
  <c r="AV827" i="10"/>
  <c r="AW827" i="10"/>
  <c r="AV828" i="10"/>
  <c r="AW828" i="10"/>
  <c r="AV829" i="10"/>
  <c r="AW829" i="10"/>
  <c r="AV830" i="10"/>
  <c r="AW830" i="10"/>
  <c r="AV831" i="10"/>
  <c r="AW831" i="10"/>
  <c r="AV832" i="10"/>
  <c r="AW832" i="10"/>
  <c r="AV833" i="10"/>
  <c r="AW833" i="10"/>
  <c r="AV834" i="10"/>
  <c r="AW834" i="10"/>
  <c r="AV835" i="10"/>
  <c r="AW835" i="10"/>
  <c r="AV836" i="10"/>
  <c r="AW836" i="10"/>
  <c r="AV837" i="10"/>
  <c r="AW837" i="10"/>
  <c r="AV838" i="10"/>
  <c r="AW838" i="10"/>
  <c r="AV839" i="10"/>
  <c r="AW839" i="10"/>
  <c r="AV840" i="10"/>
  <c r="AW840" i="10"/>
  <c r="AV841" i="10"/>
  <c r="AW841" i="10"/>
  <c r="AV842" i="10"/>
  <c r="AW842" i="10"/>
  <c r="AV843" i="10"/>
  <c r="AW843" i="10"/>
  <c r="AV844" i="10"/>
  <c r="AW844" i="10"/>
  <c r="AV845" i="10"/>
  <c r="AW845" i="10"/>
  <c r="AV846" i="10"/>
  <c r="AW846" i="10"/>
  <c r="AV847" i="10"/>
  <c r="AW847" i="10"/>
  <c r="AV848" i="10"/>
  <c r="AW848" i="10"/>
  <c r="AV849" i="10"/>
  <c r="AW849" i="10"/>
  <c r="AV850" i="10"/>
  <c r="AW850" i="10"/>
  <c r="AV851" i="10"/>
  <c r="AW851" i="10"/>
  <c r="AV852" i="10"/>
  <c r="AW852" i="10"/>
  <c r="AV853" i="10"/>
  <c r="AW853" i="10"/>
  <c r="AV854" i="10"/>
  <c r="AW854" i="10"/>
  <c r="AV855" i="10"/>
  <c r="AW855" i="10"/>
  <c r="AV856" i="10"/>
  <c r="AW856" i="10"/>
  <c r="AV857" i="10"/>
  <c r="AW857" i="10"/>
  <c r="AV858" i="10"/>
  <c r="AW858" i="10"/>
  <c r="AV859" i="10"/>
  <c r="AW859" i="10"/>
  <c r="AV860" i="10"/>
  <c r="AW860" i="10"/>
  <c r="AV861" i="10"/>
  <c r="AW861" i="10"/>
  <c r="AV862" i="10"/>
  <c r="AW862" i="10"/>
  <c r="AV863" i="10"/>
  <c r="AW863" i="10"/>
  <c r="AV864" i="10"/>
  <c r="AW864" i="10"/>
  <c r="AV865" i="10"/>
  <c r="AW865" i="10"/>
  <c r="AV866" i="10"/>
  <c r="AW866" i="10"/>
  <c r="AV867" i="10"/>
  <c r="AW867" i="10"/>
  <c r="AV868" i="10"/>
  <c r="AW868" i="10"/>
  <c r="AV869" i="10"/>
  <c r="AW869" i="10"/>
  <c r="AV870" i="10"/>
  <c r="AW870" i="10"/>
  <c r="AV871" i="10"/>
  <c r="AW871" i="10"/>
  <c r="AV872" i="10"/>
  <c r="AW872" i="10"/>
  <c r="AV873" i="10"/>
  <c r="AW873" i="10"/>
  <c r="AV874" i="10"/>
  <c r="AW874" i="10"/>
  <c r="AV875" i="10"/>
  <c r="AW875" i="10"/>
  <c r="AV876" i="10"/>
  <c r="AW876" i="10"/>
  <c r="AV877" i="10"/>
  <c r="AW877" i="10"/>
  <c r="AV878" i="10"/>
  <c r="AW878" i="10"/>
  <c r="AV879" i="10"/>
  <c r="AW879" i="10"/>
  <c r="AV880" i="10"/>
  <c r="AW880" i="10"/>
  <c r="AV881" i="10"/>
  <c r="AW881" i="10"/>
  <c r="AV882" i="10"/>
  <c r="AW882" i="10"/>
  <c r="AV883" i="10"/>
  <c r="AW883" i="10"/>
  <c r="AV884" i="10"/>
  <c r="AW884" i="10"/>
  <c r="AV885" i="10"/>
  <c r="AW885" i="10"/>
  <c r="AV886" i="10"/>
  <c r="AW886" i="10"/>
  <c r="AV887" i="10"/>
  <c r="AW887" i="10"/>
  <c r="AV888" i="10"/>
  <c r="AW888" i="10"/>
  <c r="AV889" i="10"/>
  <c r="AW889" i="10"/>
  <c r="AV890" i="10"/>
  <c r="AW890" i="10"/>
  <c r="AV891" i="10"/>
  <c r="AW891" i="10"/>
  <c r="AV892" i="10"/>
  <c r="AW892" i="10"/>
  <c r="AV893" i="10"/>
  <c r="AW893" i="10"/>
  <c r="AV894" i="10"/>
  <c r="AW894" i="10"/>
  <c r="AV895" i="10"/>
  <c r="AW895" i="10"/>
  <c r="AV896" i="10"/>
  <c r="AW896" i="10"/>
  <c r="AV897" i="10"/>
  <c r="AW897" i="10"/>
  <c r="AV898" i="10"/>
  <c r="AW898" i="10"/>
  <c r="AV899" i="10"/>
  <c r="AW899" i="10"/>
  <c r="AV900" i="10"/>
  <c r="AW900" i="10"/>
  <c r="AV901" i="10"/>
  <c r="AW901" i="10"/>
  <c r="AV902" i="10"/>
  <c r="AW902" i="10"/>
  <c r="AV903" i="10"/>
  <c r="AW903" i="10"/>
  <c r="AV904" i="10"/>
  <c r="AW904" i="10"/>
  <c r="AV905" i="10"/>
  <c r="AW905" i="10"/>
  <c r="AV906" i="10"/>
  <c r="AW906" i="10"/>
  <c r="AV907" i="10"/>
  <c r="AW907" i="10"/>
  <c r="AV908" i="10"/>
  <c r="AW908" i="10"/>
  <c r="AV909" i="10"/>
  <c r="AW909" i="10"/>
  <c r="AV910" i="10"/>
  <c r="AW910" i="10"/>
  <c r="AV911" i="10"/>
  <c r="AW911" i="10"/>
  <c r="AV912" i="10"/>
  <c r="AW912" i="10"/>
  <c r="AV913" i="10"/>
  <c r="AW913" i="10"/>
  <c r="AV914" i="10"/>
  <c r="AW914" i="10"/>
  <c r="AV915" i="10"/>
  <c r="AW915" i="10"/>
  <c r="AV916" i="10"/>
  <c r="AW916" i="10"/>
  <c r="AV917" i="10"/>
  <c r="AW917" i="10"/>
  <c r="AV918" i="10"/>
  <c r="AW918" i="10"/>
  <c r="AV919" i="10"/>
  <c r="AW919" i="10"/>
  <c r="AV920" i="10"/>
  <c r="AW920" i="10"/>
  <c r="AV921" i="10"/>
  <c r="AW921" i="10"/>
  <c r="AV922" i="10"/>
  <c r="AW922" i="10"/>
  <c r="AV923" i="10"/>
  <c r="AW923" i="10"/>
  <c r="AV924" i="10"/>
  <c r="AW924" i="10"/>
  <c r="AV925" i="10"/>
  <c r="AW925" i="10"/>
  <c r="AV926" i="10"/>
  <c r="AW926" i="10"/>
  <c r="AV927" i="10"/>
  <c r="AW927" i="10"/>
  <c r="AV928" i="10"/>
  <c r="AW928" i="10"/>
  <c r="AV929" i="10"/>
  <c r="AW929" i="10"/>
  <c r="AV930" i="10"/>
  <c r="AW930" i="10"/>
  <c r="AV931" i="10"/>
  <c r="AW931" i="10"/>
  <c r="AV932" i="10"/>
  <c r="AW932" i="10"/>
  <c r="AV933" i="10"/>
  <c r="AW933" i="10"/>
  <c r="AV934" i="10"/>
  <c r="AW934" i="10"/>
  <c r="AV935" i="10"/>
  <c r="AW935" i="10"/>
  <c r="AV936" i="10"/>
  <c r="AW936" i="10"/>
  <c r="AV937" i="10"/>
  <c r="AW937" i="10"/>
  <c r="AV938" i="10"/>
  <c r="AW938" i="10"/>
  <c r="AV939" i="10"/>
  <c r="AW939" i="10"/>
  <c r="AV940" i="10"/>
  <c r="AW940" i="10"/>
  <c r="AV941" i="10"/>
  <c r="AW941" i="10"/>
  <c r="AV942" i="10"/>
  <c r="AW942" i="10"/>
  <c r="AV943" i="10"/>
  <c r="AW943" i="10"/>
  <c r="AV944" i="10"/>
  <c r="AW944" i="10"/>
  <c r="AV945" i="10"/>
  <c r="AW945" i="10"/>
  <c r="AV946" i="10"/>
  <c r="AW946" i="10"/>
  <c r="AV947" i="10"/>
  <c r="AW947" i="10"/>
  <c r="AV948" i="10"/>
  <c r="AW948" i="10"/>
  <c r="AV949" i="10"/>
  <c r="AW949" i="10"/>
  <c r="AV950" i="10"/>
  <c r="AW950" i="10"/>
  <c r="AV951" i="10"/>
  <c r="AW951" i="10"/>
  <c r="AV952" i="10"/>
  <c r="AW952" i="10"/>
  <c r="AV953" i="10"/>
  <c r="AW953" i="10"/>
  <c r="AV954" i="10"/>
  <c r="AW954" i="10"/>
  <c r="AV955" i="10"/>
  <c r="AW955" i="10"/>
  <c r="AV956" i="10"/>
  <c r="AW956" i="10"/>
  <c r="AV957" i="10"/>
  <c r="AW957" i="10"/>
  <c r="AV958" i="10"/>
  <c r="AW958" i="10"/>
  <c r="AV959" i="10"/>
  <c r="AW959" i="10"/>
  <c r="AV960" i="10"/>
  <c r="AW960" i="10"/>
  <c r="AV961" i="10"/>
  <c r="AW961" i="10"/>
  <c r="AV962" i="10"/>
  <c r="AW962" i="10"/>
  <c r="AV963" i="10"/>
  <c r="AW963" i="10"/>
  <c r="AV964" i="10"/>
  <c r="AW964" i="10"/>
  <c r="AV965" i="10"/>
  <c r="AW965" i="10"/>
  <c r="AV966" i="10"/>
  <c r="AW966" i="10"/>
  <c r="AV967" i="10"/>
  <c r="AW967" i="10"/>
  <c r="AV968" i="10"/>
  <c r="AW968" i="10"/>
  <c r="AV969" i="10"/>
  <c r="AW969" i="10"/>
  <c r="AV970" i="10"/>
  <c r="AW970" i="10"/>
  <c r="AV971" i="10"/>
  <c r="AW971" i="10"/>
  <c r="AV972" i="10"/>
  <c r="AW972" i="10"/>
  <c r="AV973" i="10"/>
  <c r="AW973" i="10"/>
  <c r="AV974" i="10"/>
  <c r="AW974" i="10"/>
  <c r="AV975" i="10"/>
  <c r="AW975" i="10"/>
  <c r="AV976" i="10"/>
  <c r="AW976" i="10"/>
  <c r="AV977" i="10"/>
  <c r="AW977" i="10"/>
  <c r="AV978" i="10"/>
  <c r="AW978" i="10"/>
  <c r="AV979" i="10"/>
  <c r="AW979" i="10"/>
  <c r="AV980" i="10"/>
  <c r="AW980" i="10"/>
  <c r="AV981" i="10"/>
  <c r="AW981" i="10"/>
  <c r="AV982" i="10"/>
  <c r="AW982" i="10"/>
  <c r="AV983" i="10"/>
  <c r="AW983" i="10"/>
  <c r="AV984" i="10"/>
  <c r="AW984" i="10"/>
  <c r="AV985" i="10"/>
  <c r="AW985" i="10"/>
  <c r="AV986" i="10"/>
  <c r="AW986" i="10"/>
  <c r="AV987" i="10"/>
  <c r="AW987" i="10"/>
  <c r="AV988" i="10"/>
  <c r="AW988" i="10"/>
  <c r="AV989" i="10"/>
  <c r="AW989" i="10"/>
  <c r="AV990" i="10"/>
  <c r="AW990" i="10"/>
  <c r="AV991" i="10"/>
  <c r="AW991" i="10"/>
  <c r="AV992" i="10"/>
  <c r="AW992" i="10"/>
  <c r="AV993" i="10"/>
  <c r="AW993" i="10"/>
  <c r="AV994" i="10"/>
  <c r="AW994" i="10"/>
  <c r="AV995" i="10"/>
  <c r="AW995" i="10"/>
  <c r="AV996" i="10"/>
  <c r="AW996" i="10"/>
  <c r="AV997" i="10"/>
  <c r="AW997" i="10"/>
  <c r="AV998" i="10"/>
  <c r="AW998" i="10"/>
  <c r="AV999" i="10"/>
  <c r="AW999" i="10"/>
  <c r="AV1000" i="10"/>
  <c r="AW1000" i="10"/>
  <c r="AV1001" i="10"/>
  <c r="AW1001" i="10"/>
  <c r="AV1002" i="10"/>
  <c r="AW1002" i="10"/>
  <c r="AV1003" i="10"/>
  <c r="AW1003" i="10"/>
  <c r="AV1004" i="10"/>
  <c r="AW1004" i="10"/>
  <c r="AW5" i="10"/>
  <c r="AV5" i="10"/>
  <c r="AZ1002" i="10" l="1"/>
  <c r="AZ1000" i="10"/>
  <c r="AZ998" i="10"/>
  <c r="AZ990" i="10"/>
  <c r="AZ988" i="10"/>
  <c r="AZ986" i="10"/>
  <c r="AZ982" i="10"/>
  <c r="AZ980" i="10"/>
  <c r="AZ978" i="10"/>
  <c r="AZ976" i="10"/>
  <c r="AZ974" i="10"/>
  <c r="AZ972" i="10"/>
  <c r="AZ970" i="10"/>
  <c r="AZ968" i="10"/>
  <c r="AZ966" i="10"/>
  <c r="AZ962" i="10"/>
  <c r="AZ960" i="10"/>
  <c r="AZ958" i="10"/>
  <c r="AZ954" i="10"/>
  <c r="AZ952" i="10"/>
  <c r="AZ950" i="10"/>
  <c r="AZ854" i="10"/>
  <c r="AZ850" i="10"/>
  <c r="AZ846" i="10"/>
  <c r="AZ842" i="10"/>
  <c r="AZ838" i="10"/>
  <c r="AZ834" i="10"/>
  <c r="AZ830" i="10"/>
  <c r="AZ826" i="10"/>
  <c r="AZ822" i="10"/>
  <c r="AZ814" i="10"/>
  <c r="AZ810" i="10"/>
  <c r="AZ806" i="10"/>
  <c r="AZ802" i="10"/>
  <c r="AZ798" i="10"/>
  <c r="AZ794" i="10"/>
  <c r="AZ580" i="10"/>
  <c r="AZ578" i="10"/>
  <c r="AZ576" i="10"/>
  <c r="AZ574" i="10"/>
  <c r="AZ572" i="10"/>
  <c r="AZ570" i="10"/>
  <c r="AZ568" i="10"/>
  <c r="AZ564" i="10"/>
  <c r="AZ562" i="10"/>
  <c r="AZ560" i="10"/>
  <c r="AZ558" i="10"/>
  <c r="AZ556" i="10"/>
  <c r="AZ554" i="10"/>
  <c r="AZ552" i="10"/>
  <c r="AZ550" i="10"/>
  <c r="AZ548" i="10"/>
  <c r="AZ546" i="10"/>
  <c r="AZ544" i="10"/>
  <c r="AZ542" i="10"/>
  <c r="AZ540" i="10"/>
  <c r="AZ538" i="10"/>
  <c r="AZ536" i="10"/>
  <c r="AZ534" i="10"/>
  <c r="AZ532" i="10"/>
  <c r="AZ528" i="10"/>
  <c r="AZ526" i="10"/>
  <c r="AZ524" i="10"/>
  <c r="AZ522" i="10"/>
  <c r="AZ520" i="10"/>
  <c r="AZ512" i="10"/>
  <c r="AZ510" i="10"/>
  <c r="AZ508" i="10"/>
  <c r="AZ506" i="10"/>
  <c r="AZ502" i="10"/>
  <c r="AZ500" i="10"/>
  <c r="AZ498" i="10"/>
  <c r="AZ496" i="10"/>
  <c r="AZ494" i="10"/>
  <c r="AZ492" i="10"/>
  <c r="AZ488" i="10"/>
  <c r="AZ486" i="10"/>
  <c r="AZ484" i="10"/>
  <c r="AZ482" i="10"/>
  <c r="AZ480" i="10"/>
  <c r="AZ478" i="10"/>
  <c r="AZ476" i="10"/>
  <c r="AZ474" i="10"/>
  <c r="AZ472" i="10"/>
  <c r="AZ470" i="10"/>
  <c r="AZ468" i="10"/>
  <c r="AZ466" i="10"/>
  <c r="AZ464" i="10"/>
  <c r="AZ462" i="10"/>
  <c r="AZ460" i="10"/>
  <c r="AZ458" i="10"/>
  <c r="AZ456" i="10"/>
  <c r="AZ454" i="10"/>
  <c r="AZ452" i="10"/>
  <c r="AZ450" i="10"/>
  <c r="AZ446" i="10"/>
  <c r="AZ444" i="10"/>
  <c r="AZ440" i="10"/>
  <c r="AZ438" i="10"/>
  <c r="AZ436" i="10"/>
  <c r="AZ434" i="10"/>
  <c r="AZ432" i="10"/>
  <c r="AZ430" i="10"/>
  <c r="AZ428" i="10"/>
  <c r="AZ426" i="10"/>
  <c r="AZ424" i="10"/>
  <c r="AZ422" i="10"/>
  <c r="AZ420" i="10"/>
  <c r="AZ418" i="10"/>
  <c r="AZ416" i="10"/>
  <c r="AZ414" i="10"/>
  <c r="AZ973" i="10"/>
  <c r="AZ965" i="10"/>
  <c r="AZ961" i="10"/>
  <c r="AZ957" i="10"/>
  <c r="AZ949" i="10"/>
  <c r="AZ941" i="10"/>
  <c r="AZ933" i="10"/>
  <c r="AZ901" i="10"/>
  <c r="AZ412" i="10"/>
  <c r="AZ410" i="10"/>
  <c r="AZ408" i="10"/>
  <c r="AZ404" i="10"/>
  <c r="AZ402" i="10"/>
  <c r="AZ400" i="10"/>
  <c r="AZ398" i="10"/>
  <c r="AZ396" i="10"/>
  <c r="AZ394" i="10"/>
  <c r="AZ392" i="10"/>
  <c r="AZ390" i="10"/>
  <c r="AZ388" i="10"/>
  <c r="AZ386" i="10"/>
  <c r="AZ384" i="10"/>
  <c r="AZ382" i="10"/>
  <c r="AZ380" i="10"/>
  <c r="AZ378" i="10"/>
  <c r="AZ376" i="10"/>
  <c r="AZ374" i="10"/>
  <c r="AZ372" i="10"/>
  <c r="AZ368" i="10"/>
  <c r="AZ366" i="10"/>
  <c r="AZ364" i="10"/>
  <c r="AZ360" i="10"/>
  <c r="AZ356" i="10"/>
  <c r="AZ354" i="10"/>
  <c r="AZ352" i="10"/>
  <c r="AZ350" i="10"/>
  <c r="AZ348" i="10"/>
  <c r="AZ346" i="10"/>
  <c r="AZ342" i="10"/>
  <c r="AZ340" i="10"/>
  <c r="AZ336" i="10"/>
  <c r="AZ334" i="10"/>
  <c r="AZ332" i="10"/>
  <c r="AZ330" i="10"/>
  <c r="AZ328" i="10"/>
  <c r="AZ326" i="10"/>
  <c r="AZ322" i="10"/>
  <c r="AZ320" i="10"/>
  <c r="AZ318" i="10"/>
  <c r="AZ316" i="10"/>
  <c r="AZ314" i="10"/>
  <c r="AZ310" i="10"/>
  <c r="AZ308" i="10"/>
  <c r="AZ306" i="10"/>
  <c r="AZ302" i="10"/>
  <c r="AZ300" i="10"/>
  <c r="AZ298" i="10"/>
  <c r="AZ294" i="10"/>
  <c r="AZ292" i="10"/>
  <c r="AZ290" i="10"/>
  <c r="AZ288" i="10"/>
  <c r="AZ286" i="10"/>
  <c r="AZ284" i="10"/>
  <c r="AZ282" i="10"/>
  <c r="AZ280" i="10"/>
  <c r="AZ278" i="10"/>
  <c r="AZ274" i="10"/>
  <c r="AZ272" i="10"/>
  <c r="AZ270" i="10"/>
  <c r="AZ268" i="10"/>
  <c r="AZ266" i="10"/>
  <c r="AZ264" i="10"/>
  <c r="AZ262" i="10"/>
  <c r="AZ260" i="10"/>
  <c r="AZ258" i="10"/>
  <c r="AZ256" i="10"/>
  <c r="AZ252" i="10"/>
  <c r="AZ250" i="10"/>
  <c r="AZ248" i="10"/>
  <c r="AZ246" i="10"/>
  <c r="AZ244" i="10"/>
  <c r="AZ240" i="10"/>
  <c r="AZ238" i="10"/>
  <c r="AZ236" i="10"/>
  <c r="AZ234" i="10"/>
  <c r="AZ232" i="10"/>
  <c r="AZ230" i="10"/>
  <c r="AZ228" i="10"/>
  <c r="AZ226" i="10"/>
  <c r="AZ222" i="10"/>
  <c r="AZ220" i="10"/>
  <c r="AZ218" i="10"/>
  <c r="AZ216" i="10"/>
  <c r="AZ885" i="10"/>
  <c r="AZ753" i="10"/>
  <c r="AZ749" i="10"/>
  <c r="AZ747" i="10"/>
  <c r="AZ745" i="10"/>
  <c r="AZ741" i="10"/>
  <c r="AZ739" i="10"/>
  <c r="AZ733" i="10"/>
  <c r="AZ729" i="10"/>
  <c r="AZ727" i="10"/>
  <c r="AZ725" i="10"/>
  <c r="AZ719" i="10"/>
  <c r="AZ717" i="10"/>
  <c r="AZ715" i="10"/>
  <c r="AZ711" i="10"/>
  <c r="AZ707" i="10"/>
  <c r="AZ701" i="10"/>
  <c r="AZ699" i="10"/>
  <c r="AZ695" i="10"/>
  <c r="AZ693" i="10"/>
  <c r="AZ689" i="10"/>
  <c r="AZ687" i="10"/>
  <c r="AZ685" i="10"/>
  <c r="AZ683" i="10"/>
  <c r="AZ677" i="10"/>
  <c r="AZ675" i="10"/>
  <c r="AZ673" i="10"/>
  <c r="AZ663" i="10"/>
  <c r="AZ661" i="10"/>
  <c r="AZ655" i="10"/>
  <c r="AZ653" i="10"/>
  <c r="AZ651" i="10"/>
  <c r="AZ647" i="10"/>
  <c r="AZ645" i="10"/>
  <c r="AZ643" i="10"/>
  <c r="AZ641" i="10"/>
  <c r="AZ637" i="10"/>
  <c r="AZ629" i="10"/>
  <c r="AZ625" i="10"/>
  <c r="AZ623" i="10"/>
  <c r="AZ621" i="10"/>
  <c r="AZ619" i="10"/>
  <c r="AZ615" i="10"/>
  <c r="AZ611" i="10"/>
  <c r="AZ609" i="10"/>
  <c r="AZ607" i="10"/>
  <c r="AZ605" i="10"/>
  <c r="AZ601" i="10"/>
  <c r="AZ599" i="10"/>
  <c r="AZ597" i="10"/>
  <c r="AZ595" i="10"/>
  <c r="AZ593" i="10"/>
  <c r="AZ591" i="10"/>
  <c r="AZ587" i="10"/>
  <c r="AZ585" i="10"/>
  <c r="AZ583" i="10"/>
  <c r="AZ581" i="10"/>
  <c r="AZ579" i="10"/>
  <c r="AZ573" i="10"/>
  <c r="AZ571" i="10"/>
  <c r="AZ565" i="10"/>
  <c r="AZ561" i="10"/>
  <c r="AZ559" i="10"/>
  <c r="AZ557" i="10"/>
  <c r="AZ553" i="10"/>
  <c r="AZ551" i="10"/>
  <c r="AZ549" i="10"/>
  <c r="AZ547" i="10"/>
  <c r="AZ545" i="10"/>
  <c r="AZ543" i="10"/>
  <c r="AZ541" i="10"/>
  <c r="AZ537" i="10"/>
  <c r="AZ535" i="10"/>
  <c r="AZ533" i="10"/>
  <c r="AZ529" i="10"/>
  <c r="AZ525" i="10"/>
  <c r="AZ521" i="10"/>
  <c r="AZ519" i="10"/>
  <c r="AZ517" i="10"/>
  <c r="AZ509" i="10"/>
  <c r="AZ507" i="10"/>
  <c r="AZ503" i="10"/>
  <c r="AZ499" i="10"/>
  <c r="AZ495" i="10"/>
  <c r="AZ493" i="10"/>
  <c r="AZ489" i="10"/>
  <c r="AZ487" i="10"/>
  <c r="AZ483" i="10"/>
  <c r="AZ481" i="10"/>
  <c r="AZ479" i="10"/>
  <c r="AZ477" i="10"/>
  <c r="AZ475" i="10"/>
  <c r="AZ473" i="10"/>
  <c r="AZ471" i="10"/>
  <c r="AZ467" i="10"/>
  <c r="AZ465" i="10"/>
  <c r="AZ461" i="10"/>
  <c r="AZ455" i="10"/>
  <c r="AZ453" i="10"/>
  <c r="AZ451" i="10"/>
  <c r="AZ449" i="10"/>
  <c r="AZ447" i="10"/>
  <c r="AZ445" i="10"/>
  <c r="AZ439" i="10"/>
  <c r="AZ437" i="10"/>
  <c r="AZ431" i="10"/>
  <c r="AZ425" i="10"/>
  <c r="AZ423" i="10"/>
  <c r="AZ421" i="10"/>
  <c r="AZ419" i="10"/>
  <c r="AZ417" i="10"/>
  <c r="AZ415" i="10"/>
  <c r="AZ413" i="10"/>
  <c r="AZ411" i="10"/>
  <c r="AZ409" i="10"/>
  <c r="AZ405" i="10"/>
  <c r="AZ403" i="10"/>
  <c r="AZ401" i="10"/>
  <c r="AZ395" i="10"/>
  <c r="AZ393" i="10"/>
  <c r="AZ391" i="10"/>
  <c r="AZ389" i="10"/>
  <c r="AZ387" i="10"/>
  <c r="AZ385" i="10"/>
  <c r="AZ383" i="10"/>
  <c r="AZ379" i="10"/>
  <c r="AZ377" i="10"/>
  <c r="AZ373" i="10"/>
  <c r="AZ371" i="10"/>
  <c r="AZ369" i="10"/>
  <c r="AZ367" i="10"/>
  <c r="AZ365" i="10"/>
  <c r="AZ363" i="10"/>
  <c r="AZ361" i="10"/>
  <c r="AZ359" i="10"/>
  <c r="AZ357" i="10"/>
  <c r="AZ353" i="10"/>
  <c r="AZ349" i="10"/>
  <c r="AZ347" i="10"/>
  <c r="AZ345" i="10"/>
  <c r="AZ341" i="10"/>
  <c r="AZ337" i="10"/>
  <c r="AZ335" i="10"/>
  <c r="AZ331" i="10"/>
  <c r="AZ329" i="10"/>
  <c r="AZ327" i="10"/>
  <c r="AZ325" i="10"/>
  <c r="AZ323" i="10"/>
  <c r="AZ321" i="10"/>
  <c r="AZ319" i="10"/>
  <c r="AZ315" i="10"/>
  <c r="AZ311" i="10"/>
  <c r="AZ309" i="10"/>
  <c r="AZ307" i="10"/>
  <c r="AZ305" i="10"/>
  <c r="AZ303" i="10"/>
  <c r="AZ301" i="10"/>
  <c r="AZ297" i="10"/>
  <c r="AZ295" i="10"/>
  <c r="AZ291" i="10"/>
  <c r="AZ289" i="10"/>
  <c r="AZ287" i="10"/>
  <c r="AZ285" i="10"/>
  <c r="AZ283" i="10"/>
  <c r="AZ281" i="10"/>
  <c r="AZ279" i="10"/>
  <c r="AZ275" i="10"/>
  <c r="AZ273" i="10"/>
  <c r="AZ269" i="10"/>
  <c r="AZ267" i="10"/>
  <c r="AZ261" i="10"/>
  <c r="AZ257" i="10"/>
  <c r="AZ255" i="10"/>
  <c r="AZ253" i="10"/>
  <c r="AZ251" i="10"/>
  <c r="AZ247" i="10"/>
  <c r="AZ241" i="10"/>
  <c r="AZ239" i="10"/>
  <c r="AZ237" i="10"/>
  <c r="AZ235" i="10"/>
  <c r="AZ233" i="10"/>
  <c r="AZ229" i="10"/>
  <c r="AZ227" i="10"/>
  <c r="AZ223" i="10"/>
  <c r="AZ219" i="10"/>
  <c r="AZ217" i="10"/>
  <c r="AZ215" i="10"/>
  <c r="AZ209" i="10"/>
  <c r="AZ207" i="10"/>
  <c r="AZ205" i="10"/>
  <c r="AZ203" i="10"/>
  <c r="AZ197" i="10"/>
  <c r="AZ195" i="10"/>
  <c r="AZ193" i="10"/>
  <c r="AZ191" i="10"/>
  <c r="AZ189" i="10"/>
  <c r="AZ187" i="10"/>
  <c r="AZ181" i="10"/>
  <c r="AZ179" i="10"/>
  <c r="AZ177" i="10"/>
  <c r="AZ175" i="10"/>
  <c r="AZ173" i="10"/>
  <c r="AZ171" i="10"/>
  <c r="AZ169" i="10"/>
  <c r="AZ165" i="10"/>
  <c r="AZ163" i="10"/>
  <c r="AZ161" i="10"/>
  <c r="AZ159" i="10"/>
  <c r="AZ157" i="10"/>
  <c r="AZ155" i="10"/>
  <c r="AZ151" i="10"/>
  <c r="AZ147" i="10"/>
  <c r="AZ145" i="10"/>
  <c r="AZ143" i="10"/>
  <c r="AZ141" i="10"/>
  <c r="AZ139" i="10"/>
  <c r="AZ137" i="10"/>
  <c r="AZ135" i="10"/>
  <c r="AZ133" i="10"/>
  <c r="AZ131" i="10"/>
  <c r="AZ129" i="10"/>
  <c r="AZ125" i="10"/>
  <c r="AZ123" i="10"/>
  <c r="AZ121" i="10"/>
  <c r="AZ119" i="10"/>
  <c r="AZ117" i="10"/>
  <c r="AZ113" i="10"/>
  <c r="AZ111" i="10"/>
  <c r="AZ107" i="10"/>
  <c r="AZ105" i="10"/>
  <c r="AZ103" i="10"/>
  <c r="AZ101" i="10"/>
  <c r="AZ99" i="10"/>
  <c r="AZ97" i="10"/>
  <c r="AZ95" i="10"/>
  <c r="AZ93" i="10"/>
  <c r="AZ91" i="10"/>
  <c r="AZ89" i="10"/>
  <c r="AZ87" i="10"/>
  <c r="AZ83" i="10"/>
  <c r="AZ81" i="10"/>
  <c r="AZ77" i="10"/>
  <c r="AZ73" i="10"/>
  <c r="AZ71" i="10"/>
  <c r="AZ69" i="10"/>
  <c r="AZ67" i="10"/>
  <c r="AZ65" i="10"/>
  <c r="AZ63" i="10"/>
  <c r="AZ59" i="10"/>
  <c r="AZ57" i="10"/>
  <c r="AZ53" i="10"/>
  <c r="AZ45" i="10"/>
  <c r="AZ41" i="10"/>
  <c r="AZ39" i="10"/>
  <c r="AZ37" i="10"/>
  <c r="AZ31" i="10"/>
  <c r="AZ29" i="10"/>
  <c r="AZ27" i="10"/>
  <c r="AZ25" i="10"/>
  <c r="AZ11" i="10"/>
  <c r="AZ7" i="10"/>
  <c r="AZ1001" i="10"/>
  <c r="AZ984" i="10"/>
  <c r="AZ790" i="10"/>
  <c r="AZ743" i="10"/>
  <c r="AZ735" i="10"/>
  <c r="AZ731" i="10"/>
  <c r="AZ723" i="10"/>
  <c r="AZ721" i="10"/>
  <c r="AZ697" i="10"/>
  <c r="AZ635" i="10"/>
  <c r="AZ589" i="10"/>
  <c r="AZ569" i="10"/>
  <c r="AZ555" i="10"/>
  <c r="AZ518" i="10"/>
  <c r="AZ516" i="10"/>
  <c r="AZ513" i="10"/>
  <c r="AZ511" i="10"/>
  <c r="AZ504" i="10"/>
  <c r="AZ490" i="10"/>
  <c r="AZ485" i="10"/>
  <c r="AZ435" i="10"/>
  <c r="AZ433" i="10"/>
  <c r="AZ397" i="10"/>
  <c r="AZ358" i="10"/>
  <c r="AZ344" i="10"/>
  <c r="AZ339" i="10"/>
  <c r="AZ338" i="10"/>
  <c r="AZ333" i="10"/>
  <c r="AZ313" i="10"/>
  <c r="AZ304" i="10"/>
  <c r="AZ277" i="10"/>
  <c r="AZ276" i="10"/>
  <c r="AZ263" i="10"/>
  <c r="AZ231" i="10"/>
  <c r="AZ213" i="10"/>
  <c r="AZ183" i="10"/>
  <c r="AZ115" i="10"/>
  <c r="AZ85" i="10"/>
  <c r="AZ79" i="10"/>
  <c r="AZ75" i="10"/>
  <c r="AZ13" i="10"/>
  <c r="AZ956" i="10"/>
  <c r="AZ917" i="10"/>
  <c r="AZ818" i="10"/>
  <c r="AZ713" i="10"/>
  <c r="AZ705" i="10"/>
  <c r="AZ691" i="10"/>
  <c r="AZ681" i="10"/>
  <c r="AZ679" i="10"/>
  <c r="AZ669" i="10"/>
  <c r="AZ665" i="10"/>
  <c r="AZ657" i="10"/>
  <c r="AZ633" i="10"/>
  <c r="AZ575" i="10"/>
  <c r="AZ566" i="10"/>
  <c r="AZ531" i="10"/>
  <c r="AZ527" i="10"/>
  <c r="AZ515" i="10"/>
  <c r="AZ514" i="10"/>
  <c r="AZ505" i="10"/>
  <c r="AZ497" i="10"/>
  <c r="AZ469" i="10"/>
  <c r="AZ463" i="10"/>
  <c r="AZ459" i="10"/>
  <c r="AZ448" i="10"/>
  <c r="AZ443" i="10"/>
  <c r="AZ441" i="10"/>
  <c r="AZ407" i="10"/>
  <c r="AZ406" i="10"/>
  <c r="AZ381" i="10"/>
  <c r="AZ375" i="10"/>
  <c r="AZ355" i="10"/>
  <c r="AZ324" i="10"/>
  <c r="AZ296" i="10"/>
  <c r="AZ265" i="10"/>
  <c r="AZ259" i="10"/>
  <c r="AZ254" i="10"/>
  <c r="AZ249" i="10"/>
  <c r="AZ245" i="10"/>
  <c r="AZ242" i="10"/>
  <c r="AZ225" i="10"/>
  <c r="AZ224" i="10"/>
  <c r="AZ201" i="10"/>
  <c r="AZ167" i="10"/>
  <c r="AZ49" i="10"/>
  <c r="AZ47" i="10"/>
  <c r="AZ33" i="10"/>
  <c r="AZ19" i="10"/>
  <c r="AZ17" i="10"/>
  <c r="AZ1004" i="10"/>
  <c r="AZ997" i="10"/>
  <c r="AZ996" i="10"/>
  <c r="AZ994" i="10"/>
  <c r="AZ993" i="10"/>
  <c r="AZ992" i="10"/>
  <c r="AZ989" i="10"/>
  <c r="AZ981" i="10"/>
  <c r="AZ977" i="10"/>
  <c r="AZ964" i="10"/>
  <c r="AZ909" i="10"/>
  <c r="AZ877" i="10"/>
  <c r="AZ869" i="10"/>
  <c r="AZ751" i="10"/>
  <c r="AZ737" i="10"/>
  <c r="AZ709" i="10"/>
  <c r="AZ703" i="10"/>
  <c r="AZ671" i="10"/>
  <c r="AZ667" i="10"/>
  <c r="AZ659" i="10"/>
  <c r="AZ649" i="10"/>
  <c r="AZ639" i="10"/>
  <c r="AZ631" i="10"/>
  <c r="AZ627" i="10"/>
  <c r="AZ617" i="10"/>
  <c r="AZ613" i="10"/>
  <c r="AZ603" i="10"/>
  <c r="AZ577" i="10"/>
  <c r="AZ567" i="10"/>
  <c r="AZ563" i="10"/>
  <c r="AZ539" i="10"/>
  <c r="AZ530" i="10"/>
  <c r="AZ523" i="10"/>
  <c r="AZ501" i="10"/>
  <c r="AZ491" i="10"/>
  <c r="AZ457" i="10"/>
  <c r="AZ442" i="10"/>
  <c r="AZ429" i="10"/>
  <c r="AZ427" i="10"/>
  <c r="AZ399" i="10"/>
  <c r="AZ370" i="10"/>
  <c r="AZ362" i="10"/>
  <c r="AZ351" i="10"/>
  <c r="AZ343" i="10"/>
  <c r="AZ317" i="10"/>
  <c r="AZ312" i="10"/>
  <c r="AZ299" i="10"/>
  <c r="AZ293" i="10"/>
  <c r="AZ271" i="10"/>
  <c r="AZ243" i="10"/>
  <c r="AZ221" i="10"/>
  <c r="AZ211" i="10"/>
  <c r="AZ199" i="10"/>
  <c r="AZ185" i="10"/>
  <c r="AZ153" i="10"/>
  <c r="AZ149" i="10"/>
  <c r="AZ127" i="10"/>
  <c r="AZ109" i="10"/>
  <c r="AZ61" i="10"/>
  <c r="AZ55" i="10"/>
  <c r="AZ51" i="10"/>
  <c r="AZ43" i="10"/>
  <c r="AZ35" i="10"/>
  <c r="AZ23" i="10"/>
  <c r="AZ21" i="10"/>
  <c r="AZ15" i="10"/>
  <c r="AV4" i="10"/>
  <c r="AZ9" i="10"/>
  <c r="AZ214" i="10"/>
  <c r="AZ212" i="10"/>
  <c r="AZ210" i="10"/>
  <c r="AZ208" i="10"/>
  <c r="AZ206" i="10"/>
  <c r="AZ204" i="10"/>
  <c r="AZ202" i="10"/>
  <c r="AZ200" i="10"/>
  <c r="AZ198" i="10"/>
  <c r="AZ196" i="10"/>
  <c r="AZ194" i="10"/>
  <c r="AZ192" i="10"/>
  <c r="AZ190" i="10"/>
  <c r="AZ188" i="10"/>
  <c r="AZ186" i="10"/>
  <c r="AZ184" i="10"/>
  <c r="AZ182" i="10"/>
  <c r="AZ180" i="10"/>
  <c r="AZ178" i="10"/>
  <c r="AZ176" i="10"/>
  <c r="AZ174" i="10"/>
  <c r="AZ172" i="10"/>
  <c r="AZ170" i="10"/>
  <c r="AZ168" i="10"/>
  <c r="AZ166" i="10"/>
  <c r="AZ164" i="10"/>
  <c r="AZ162" i="10"/>
  <c r="AZ160" i="10"/>
  <c r="AZ158" i="10"/>
  <c r="AZ156" i="10"/>
  <c r="AZ154" i="10"/>
  <c r="AZ152" i="10"/>
  <c r="AZ150" i="10"/>
  <c r="AZ148" i="10"/>
  <c r="AZ146" i="10"/>
  <c r="AZ144" i="10"/>
  <c r="AZ142" i="10"/>
  <c r="AZ140" i="10"/>
  <c r="AZ622" i="10"/>
  <c r="AZ620" i="10"/>
  <c r="AZ618" i="10"/>
  <c r="AZ616" i="10"/>
  <c r="AZ614" i="10"/>
  <c r="AZ612" i="10"/>
  <c r="AZ610" i="10"/>
  <c r="AZ608" i="10"/>
  <c r="AZ606" i="10"/>
  <c r="AZ604" i="10"/>
  <c r="AZ602" i="10"/>
  <c r="AZ600" i="10"/>
  <c r="AZ598" i="10"/>
  <c r="AZ596" i="10"/>
  <c r="AZ594" i="10"/>
  <c r="AZ592" i="10"/>
  <c r="AZ590" i="10"/>
  <c r="AZ588" i="10"/>
  <c r="AZ586" i="10"/>
  <c r="AZ584" i="10"/>
  <c r="AZ582" i="10"/>
  <c r="AZ138" i="10"/>
  <c r="AZ136" i="10"/>
  <c r="AZ134" i="10"/>
  <c r="AZ132" i="10"/>
  <c r="AZ130" i="10"/>
  <c r="AZ128" i="10"/>
  <c r="AZ126" i="10"/>
  <c r="AZ124" i="10"/>
  <c r="AZ122" i="10"/>
  <c r="AZ120" i="10"/>
  <c r="AZ118" i="10"/>
  <c r="AZ116" i="10"/>
  <c r="AZ114" i="10"/>
  <c r="AZ112" i="10"/>
  <c r="AZ110" i="10"/>
  <c r="AZ108" i="10"/>
  <c r="AZ106" i="10"/>
  <c r="AZ104" i="10"/>
  <c r="AZ102" i="10"/>
  <c r="AZ100" i="10"/>
  <c r="AZ98" i="10"/>
  <c r="AZ96" i="10"/>
  <c r="AZ94" i="10"/>
  <c r="AZ92" i="10"/>
  <c r="AZ90" i="10"/>
  <c r="AZ88" i="10"/>
  <c r="AZ86" i="10"/>
  <c r="AZ84" i="10"/>
  <c r="AZ82" i="10"/>
  <c r="AZ80" i="10"/>
  <c r="AZ78" i="10"/>
  <c r="AZ76" i="10"/>
  <c r="AZ74" i="10"/>
  <c r="AZ72" i="10"/>
  <c r="AZ70" i="10"/>
  <c r="AZ68" i="10"/>
  <c r="AZ66" i="10"/>
  <c r="AZ64" i="10"/>
  <c r="AZ62" i="10"/>
  <c r="AZ60" i="10"/>
  <c r="AZ58" i="10"/>
  <c r="AZ56" i="10"/>
  <c r="AZ54" i="10"/>
  <c r="AZ52" i="10"/>
  <c r="AZ50" i="10"/>
  <c r="AZ48" i="10"/>
  <c r="AZ46" i="10"/>
  <c r="AZ44" i="10"/>
  <c r="AZ42" i="10"/>
  <c r="AZ40" i="10"/>
  <c r="AZ38" i="10"/>
  <c r="AZ36" i="10"/>
  <c r="AZ34" i="10"/>
  <c r="AZ32" i="10"/>
  <c r="AZ30" i="10"/>
  <c r="AZ28" i="10"/>
  <c r="AZ26" i="10"/>
  <c r="AZ24" i="10"/>
  <c r="AZ22" i="10"/>
  <c r="AZ20" i="10"/>
  <c r="AZ18" i="10"/>
  <c r="AZ16" i="10"/>
  <c r="AZ14" i="10"/>
  <c r="AZ12" i="10"/>
  <c r="AZ10" i="10"/>
  <c r="AZ8" i="10"/>
  <c r="AZ6" i="10"/>
  <c r="AY1004" i="10"/>
  <c r="AY1002" i="10"/>
  <c r="AY1000" i="10"/>
  <c r="AY998" i="10"/>
  <c r="AY996" i="10"/>
  <c r="AY994" i="10"/>
  <c r="AY992" i="10"/>
  <c r="AY990" i="10"/>
  <c r="AY988" i="10"/>
  <c r="AY986" i="10"/>
  <c r="AY984" i="10"/>
  <c r="AY982" i="10"/>
  <c r="AY980" i="10"/>
  <c r="AY978" i="10"/>
  <c r="AY976" i="10"/>
  <c r="AY974" i="10"/>
  <c r="AY972" i="10"/>
  <c r="AY970" i="10"/>
  <c r="AY968" i="10"/>
  <c r="AY966" i="10"/>
  <c r="AY964" i="10"/>
  <c r="AY962" i="10"/>
  <c r="AY960" i="10"/>
  <c r="AZ5" i="10"/>
  <c r="AY1003" i="10"/>
  <c r="AY1001" i="10"/>
  <c r="AY999" i="10"/>
  <c r="AY997" i="10"/>
  <c r="AY995" i="10"/>
  <c r="AY993" i="10"/>
  <c r="AY991" i="10"/>
  <c r="AY989" i="10"/>
  <c r="AY987" i="10"/>
  <c r="AY985" i="10"/>
  <c r="AY983" i="10"/>
  <c r="AY981" i="10"/>
  <c r="AY979" i="10"/>
  <c r="AY977" i="10"/>
  <c r="AY975" i="10"/>
  <c r="AY973" i="10"/>
  <c r="AY971" i="10"/>
  <c r="AY969" i="10"/>
  <c r="AY967" i="10"/>
  <c r="AY965" i="10"/>
  <c r="AY963" i="10"/>
  <c r="AY961" i="10"/>
  <c r="AY959" i="10"/>
  <c r="AY957" i="10"/>
  <c r="AY955" i="10"/>
  <c r="AY953" i="10"/>
  <c r="AY951" i="10"/>
  <c r="AY949" i="10"/>
  <c r="AY947" i="10"/>
  <c r="AY945" i="10"/>
  <c r="AY943" i="10"/>
  <c r="AY941" i="10"/>
  <c r="AY939" i="10"/>
  <c r="AY937" i="10"/>
  <c r="AY935" i="10"/>
  <c r="AY933" i="10"/>
  <c r="AY931" i="10"/>
  <c r="AY929" i="10"/>
  <c r="AY927" i="10"/>
  <c r="AY925" i="10"/>
  <c r="AY923" i="10"/>
  <c r="AY921" i="10"/>
  <c r="AY919" i="10"/>
  <c r="AY917" i="10"/>
  <c r="AY915" i="10"/>
  <c r="AY913" i="10"/>
  <c r="AY911" i="10"/>
  <c r="AY909" i="10"/>
  <c r="AY907" i="10"/>
  <c r="AY905" i="10"/>
  <c r="AY903" i="10"/>
  <c r="AY901" i="10"/>
  <c r="AY899" i="10"/>
  <c r="AY897" i="10"/>
  <c r="AY895" i="10"/>
  <c r="AY893" i="10"/>
  <c r="AY891" i="10"/>
  <c r="AY889" i="10"/>
  <c r="AY887" i="10"/>
  <c r="AY885" i="10"/>
  <c r="AY883" i="10"/>
  <c r="AY881" i="10"/>
  <c r="AY879" i="10"/>
  <c r="AY877" i="10"/>
  <c r="AY875" i="10"/>
  <c r="AY873" i="10"/>
  <c r="AY871" i="10"/>
  <c r="AY869" i="10"/>
  <c r="AY867" i="10"/>
  <c r="AY958" i="10"/>
  <c r="AY956" i="10"/>
  <c r="AY954" i="10"/>
  <c r="AY952" i="10"/>
  <c r="AY950" i="10"/>
  <c r="AY948" i="10"/>
  <c r="AY946" i="10"/>
  <c r="AY944" i="10"/>
  <c r="AY942" i="10"/>
  <c r="AY940" i="10"/>
  <c r="AY938" i="10"/>
  <c r="AY936" i="10"/>
  <c r="AY934" i="10"/>
  <c r="AY932" i="10"/>
  <c r="AY930" i="10"/>
  <c r="AY928" i="10"/>
  <c r="AY926" i="10"/>
  <c r="AY924" i="10"/>
  <c r="AY922" i="10"/>
  <c r="AY920" i="10"/>
  <c r="AY918" i="10"/>
  <c r="AY916" i="10"/>
  <c r="AY914" i="10"/>
  <c r="AY912" i="10"/>
  <c r="AY910" i="10"/>
  <c r="AY908" i="10"/>
  <c r="AY906" i="10"/>
  <c r="AY904" i="10"/>
  <c r="AY902" i="10"/>
  <c r="AY900" i="10"/>
  <c r="AY898" i="10"/>
  <c r="AY896" i="10"/>
  <c r="AY894" i="10"/>
  <c r="AY892" i="10"/>
  <c r="AY890" i="10"/>
  <c r="AY888" i="10"/>
  <c r="AY886" i="10"/>
  <c r="AY884" i="10"/>
  <c r="AY882" i="10"/>
  <c r="AY880" i="10"/>
  <c r="AY878" i="10"/>
  <c r="AY876" i="10"/>
  <c r="AY874" i="10"/>
  <c r="AY872" i="10"/>
  <c r="AY870" i="10"/>
  <c r="AY868" i="10"/>
  <c r="AY866" i="10"/>
  <c r="AY864" i="10"/>
  <c r="AY862" i="10"/>
  <c r="AY860" i="10"/>
  <c r="AY858" i="10"/>
  <c r="AY856" i="10"/>
  <c r="AY854" i="10"/>
  <c r="AY852" i="10"/>
  <c r="AY850" i="10"/>
  <c r="AY848" i="10"/>
  <c r="AY846" i="10"/>
  <c r="AY844" i="10"/>
  <c r="AY842" i="10"/>
  <c r="AY840" i="10"/>
  <c r="AY838" i="10"/>
  <c r="AY836" i="10"/>
  <c r="AY834" i="10"/>
  <c r="AY832" i="10"/>
  <c r="AY830" i="10"/>
  <c r="AY828" i="10"/>
  <c r="AY826" i="10"/>
  <c r="AY824" i="10"/>
  <c r="AY822" i="10"/>
  <c r="AY820" i="10"/>
  <c r="AY818" i="10"/>
  <c r="AY816" i="10"/>
  <c r="AY814" i="10"/>
  <c r="AY812" i="10"/>
  <c r="AY810" i="10"/>
  <c r="AY808" i="10"/>
  <c r="AY806" i="10"/>
  <c r="AY804" i="10"/>
  <c r="AY802" i="10"/>
  <c r="AY800" i="10"/>
  <c r="AY798" i="10"/>
  <c r="AY796" i="10"/>
  <c r="AY794" i="10"/>
  <c r="AY786" i="10"/>
  <c r="AY726" i="10"/>
  <c r="AY792" i="10"/>
  <c r="AY790" i="10"/>
  <c r="AY788" i="10"/>
  <c r="AY784" i="10"/>
  <c r="AY782" i="10"/>
  <c r="AY780" i="10"/>
  <c r="AY778" i="10"/>
  <c r="AY776" i="10"/>
  <c r="AY774" i="10"/>
  <c r="AY772" i="10"/>
  <c r="AY770" i="10"/>
  <c r="AY768" i="10"/>
  <c r="AY766" i="10"/>
  <c r="AY764" i="10"/>
  <c r="AY762" i="10"/>
  <c r="AY760" i="10"/>
  <c r="AY758" i="10"/>
  <c r="AY756" i="10"/>
  <c r="AY754" i="10"/>
  <c r="AY752" i="10"/>
  <c r="AY750" i="10"/>
  <c r="AY748" i="10"/>
  <c r="AY746" i="10"/>
  <c r="AY744" i="10"/>
  <c r="AY742" i="10"/>
  <c r="AY740" i="10"/>
  <c r="AY738" i="10"/>
  <c r="AY736" i="10"/>
  <c r="AY734" i="10"/>
  <c r="AY732" i="10"/>
  <c r="AY730" i="10"/>
  <c r="AY728" i="10"/>
  <c r="AY724" i="10"/>
  <c r="AY722" i="10"/>
  <c r="AY720" i="10"/>
  <c r="AY718" i="10"/>
  <c r="AY716" i="10"/>
  <c r="AY714" i="10"/>
  <c r="AY712" i="10"/>
  <c r="AY710" i="10"/>
  <c r="AY708" i="10"/>
  <c r="AY706" i="10"/>
  <c r="AY704" i="10"/>
  <c r="AY702" i="10"/>
  <c r="AY700" i="10"/>
  <c r="AY698" i="10"/>
  <c r="AY696" i="10"/>
  <c r="AY694" i="10"/>
  <c r="AY692" i="10"/>
  <c r="AY690" i="10"/>
  <c r="AY688" i="10"/>
  <c r="AY686" i="10"/>
  <c r="AY684" i="10"/>
  <c r="AY682" i="10"/>
  <c r="AY680" i="10"/>
  <c r="AY678" i="10"/>
  <c r="AY676" i="10"/>
  <c r="AY674" i="10"/>
  <c r="AY672" i="10"/>
  <c r="AY670" i="10"/>
  <c r="AY668" i="10"/>
  <c r="AY666" i="10"/>
  <c r="AY664" i="10"/>
  <c r="AY662" i="10"/>
  <c r="AY660" i="10"/>
  <c r="AY658" i="10"/>
  <c r="AY656" i="10"/>
  <c r="AY654" i="10"/>
  <c r="AY652" i="10"/>
  <c r="AY650" i="10"/>
  <c r="AY648" i="10"/>
  <c r="AY646" i="10"/>
  <c r="AY644" i="10"/>
  <c r="AY642" i="10"/>
  <c r="AY640" i="10"/>
  <c r="AY638" i="10"/>
  <c r="AY636" i="10"/>
  <c r="AY634" i="10"/>
  <c r="AY632" i="10"/>
  <c r="AY630" i="10"/>
  <c r="AY628" i="10"/>
  <c r="AY626" i="10"/>
  <c r="AY624" i="10"/>
  <c r="AY622" i="10"/>
  <c r="AY865" i="10"/>
  <c r="AY863" i="10"/>
  <c r="AY861" i="10"/>
  <c r="AY859" i="10"/>
  <c r="AY857" i="10"/>
  <c r="AY855" i="10"/>
  <c r="AY853" i="10"/>
  <c r="AY851" i="10"/>
  <c r="AY849" i="10"/>
  <c r="AY847" i="10"/>
  <c r="AY845" i="10"/>
  <c r="AY843" i="10"/>
  <c r="AY841" i="10"/>
  <c r="AY839" i="10"/>
  <c r="AY837" i="10"/>
  <c r="AY835" i="10"/>
  <c r="AY833" i="10"/>
  <c r="AY831" i="10"/>
  <c r="AY829" i="10"/>
  <c r="AY827" i="10"/>
  <c r="AY825" i="10"/>
  <c r="AY823" i="10"/>
  <c r="AY821" i="10"/>
  <c r="AY819" i="10"/>
  <c r="AY817" i="10"/>
  <c r="AY815" i="10"/>
  <c r="AY813" i="10"/>
  <c r="AY811" i="10"/>
  <c r="AY809" i="10"/>
  <c r="AY807" i="10"/>
  <c r="AY805" i="10"/>
  <c r="AY803" i="10"/>
  <c r="AY801" i="10"/>
  <c r="AY799" i="10"/>
  <c r="AY797" i="10"/>
  <c r="AY795" i="10"/>
  <c r="AY793" i="10"/>
  <c r="AY791" i="10"/>
  <c r="AY789" i="10"/>
  <c r="AY787" i="10"/>
  <c r="AY785" i="10"/>
  <c r="AY783" i="10"/>
  <c r="AY781" i="10"/>
  <c r="AY779" i="10"/>
  <c r="AY777" i="10"/>
  <c r="AY775" i="10"/>
  <c r="AY773" i="10"/>
  <c r="AY771" i="10"/>
  <c r="AY769" i="10"/>
  <c r="AY767" i="10"/>
  <c r="AY765" i="10"/>
  <c r="AY763" i="10"/>
  <c r="AY761" i="10"/>
  <c r="AY759" i="10"/>
  <c r="AY757" i="10"/>
  <c r="AY755" i="10"/>
  <c r="AZ985" i="10"/>
  <c r="AZ969" i="10"/>
  <c r="AZ953" i="10"/>
  <c r="AZ925" i="10"/>
  <c r="AZ893" i="10"/>
  <c r="AZ861" i="10"/>
  <c r="AW4" i="10"/>
  <c r="AZ1003" i="10"/>
  <c r="AZ999" i="10"/>
  <c r="AZ995" i="10"/>
  <c r="AZ991" i="10"/>
  <c r="AZ987" i="10"/>
  <c r="AZ983" i="10"/>
  <c r="AZ979" i="10"/>
  <c r="AZ975" i="10"/>
  <c r="AZ971" i="10"/>
  <c r="AZ967" i="10"/>
  <c r="AZ963" i="10"/>
  <c r="AZ959" i="10"/>
  <c r="AZ955" i="10"/>
  <c r="AZ951" i="10"/>
  <c r="AZ947" i="10"/>
  <c r="AZ945" i="10"/>
  <c r="AZ943" i="10"/>
  <c r="AZ939" i="10"/>
  <c r="AZ937" i="10"/>
  <c r="AZ935" i="10"/>
  <c r="AZ931" i="10"/>
  <c r="AZ929" i="10"/>
  <c r="AZ927" i="10"/>
  <c r="AZ923" i="10"/>
  <c r="AZ921" i="10"/>
  <c r="AZ919" i="10"/>
  <c r="AZ915" i="10"/>
  <c r="AZ913" i="10"/>
  <c r="AZ911" i="10"/>
  <c r="AZ907" i="10"/>
  <c r="AZ905" i="10"/>
  <c r="AZ903" i="10"/>
  <c r="AZ899" i="10"/>
  <c r="AZ897" i="10"/>
  <c r="AZ895" i="10"/>
  <c r="AZ891" i="10"/>
  <c r="AZ889" i="10"/>
  <c r="AZ887" i="10"/>
  <c r="AZ883" i="10"/>
  <c r="AZ881" i="10"/>
  <c r="AZ879" i="10"/>
  <c r="AZ875" i="10"/>
  <c r="AZ873" i="10"/>
  <c r="AZ871" i="10"/>
  <c r="AZ867" i="10"/>
  <c r="AZ865" i="10"/>
  <c r="AZ863" i="10"/>
  <c r="AZ859" i="10"/>
  <c r="AZ857" i="10"/>
  <c r="AZ855" i="10"/>
  <c r="AZ853" i="10"/>
  <c r="AZ851" i="10"/>
  <c r="AZ849" i="10"/>
  <c r="AZ847" i="10"/>
  <c r="AZ845" i="10"/>
  <c r="AZ843" i="10"/>
  <c r="AZ841" i="10"/>
  <c r="AZ839" i="10"/>
  <c r="AZ837" i="10"/>
  <c r="AZ835" i="10"/>
  <c r="AZ833" i="10"/>
  <c r="AZ831" i="10"/>
  <c r="AZ829" i="10"/>
  <c r="AZ827" i="10"/>
  <c r="AZ825" i="10"/>
  <c r="AZ823" i="10"/>
  <c r="AZ821" i="10"/>
  <c r="AZ819" i="10"/>
  <c r="AZ817" i="10"/>
  <c r="AZ815" i="10"/>
  <c r="AZ813" i="10"/>
  <c r="AZ811" i="10"/>
  <c r="AZ809" i="10"/>
  <c r="AZ807" i="10"/>
  <c r="AZ805" i="10"/>
  <c r="AZ803" i="10"/>
  <c r="AZ801" i="10"/>
  <c r="AZ799" i="10"/>
  <c r="AZ797" i="10"/>
  <c r="AZ795" i="10"/>
  <c r="AZ793" i="10"/>
  <c r="AZ791" i="10"/>
  <c r="AZ789" i="10"/>
  <c r="AZ787" i="10"/>
  <c r="AZ785" i="10"/>
  <c r="AZ783" i="10"/>
  <c r="AZ781" i="10"/>
  <c r="AZ779" i="10"/>
  <c r="AZ777" i="10"/>
  <c r="AZ775" i="10"/>
  <c r="AZ773" i="10"/>
  <c r="AZ771" i="10"/>
  <c r="AZ769" i="10"/>
  <c r="AZ767" i="10"/>
  <c r="AZ765" i="10"/>
  <c r="AZ763" i="10"/>
  <c r="AZ761" i="10"/>
  <c r="AZ759" i="10"/>
  <c r="AZ757" i="10"/>
  <c r="AZ755" i="10"/>
  <c r="AY5" i="10"/>
  <c r="AY753" i="10"/>
  <c r="AY751" i="10"/>
  <c r="AY749" i="10"/>
  <c r="AY747" i="10"/>
  <c r="AY745" i="10"/>
  <c r="AY743" i="10"/>
  <c r="AY741" i="10"/>
  <c r="AY739" i="10"/>
  <c r="AY737" i="10"/>
  <c r="AY735" i="10"/>
  <c r="AY733" i="10"/>
  <c r="AY731" i="10"/>
  <c r="AY729" i="10"/>
  <c r="AY727" i="10"/>
  <c r="AY725" i="10"/>
  <c r="AY723" i="10"/>
  <c r="AY721" i="10"/>
  <c r="AY719" i="10"/>
  <c r="AY717" i="10"/>
  <c r="AY715" i="10"/>
  <c r="AY713" i="10"/>
  <c r="AY711" i="10"/>
  <c r="AY709" i="10"/>
  <c r="AY707" i="10"/>
  <c r="AY705" i="10"/>
  <c r="AY703" i="10"/>
  <c r="AY701" i="10"/>
  <c r="AY699" i="10"/>
  <c r="AY697" i="10"/>
  <c r="AY695" i="10"/>
  <c r="AY693" i="10"/>
  <c r="AY691" i="10"/>
  <c r="AY689" i="10"/>
  <c r="AY687" i="10"/>
  <c r="AY685" i="10"/>
  <c r="AY683" i="10"/>
  <c r="AY681" i="10"/>
  <c r="AY679" i="10"/>
  <c r="AY677" i="10"/>
  <c r="AY675" i="10"/>
  <c r="AY673" i="10"/>
  <c r="AY671" i="10"/>
  <c r="AY669" i="10"/>
  <c r="AY667" i="10"/>
  <c r="AY665" i="10"/>
  <c r="AY663" i="10"/>
  <c r="AY661" i="10"/>
  <c r="AY659" i="10"/>
  <c r="AY657" i="10"/>
  <c r="AY655" i="10"/>
  <c r="AY653" i="10"/>
  <c r="AY651" i="10"/>
  <c r="AY649" i="10"/>
  <c r="AY647" i="10"/>
  <c r="AY645" i="10"/>
  <c r="AY643" i="10"/>
  <c r="AY641" i="10"/>
  <c r="AY639" i="10"/>
  <c r="AY637" i="10"/>
  <c r="AY635" i="10"/>
  <c r="AY633" i="10"/>
  <c r="AY631" i="10"/>
  <c r="AY629" i="10"/>
  <c r="AY627" i="10"/>
  <c r="AY625" i="10"/>
  <c r="AY623" i="10"/>
  <c r="AY621" i="10"/>
  <c r="AY619" i="10"/>
  <c r="AY617" i="10"/>
  <c r="AY615" i="10"/>
  <c r="AY613" i="10"/>
  <c r="AY611" i="10"/>
  <c r="AY609" i="10"/>
  <c r="AY607" i="10"/>
  <c r="AY605" i="10"/>
  <c r="AY603" i="10"/>
  <c r="AY601" i="10"/>
  <c r="AY599" i="10"/>
  <c r="AY597" i="10"/>
  <c r="AY595" i="10"/>
  <c r="AY593" i="10"/>
  <c r="AY591" i="10"/>
  <c r="AY589" i="10"/>
  <c r="AY587" i="10"/>
  <c r="AY585" i="10"/>
  <c r="AY583" i="10"/>
  <c r="AY581" i="10"/>
  <c r="AY579" i="10"/>
  <c r="AY577" i="10"/>
  <c r="AY575" i="10"/>
  <c r="AY573" i="10"/>
  <c r="AY571" i="10"/>
  <c r="AY569" i="10"/>
  <c r="AY567" i="10"/>
  <c r="AY565" i="10"/>
  <c r="AY563" i="10"/>
  <c r="AY561" i="10"/>
  <c r="AY559" i="10"/>
  <c r="AY557" i="10"/>
  <c r="AY555" i="10"/>
  <c r="AY553" i="10"/>
  <c r="AY551" i="10"/>
  <c r="AY549" i="10"/>
  <c r="AY547" i="10"/>
  <c r="AY545" i="10"/>
  <c r="AY543" i="10"/>
  <c r="AY541" i="10"/>
  <c r="AY539" i="10"/>
  <c r="AY537" i="10"/>
  <c r="AY535" i="10"/>
  <c r="AY533" i="10"/>
  <c r="AY531" i="10"/>
  <c r="AY529" i="10"/>
  <c r="AY527" i="10"/>
  <c r="AY525" i="10"/>
  <c r="AY523" i="10"/>
  <c r="AY521" i="10"/>
  <c r="AY519" i="10"/>
  <c r="AY517" i="10"/>
  <c r="AY515" i="10"/>
  <c r="AY513" i="10"/>
  <c r="AY511" i="10"/>
  <c r="AY509" i="10"/>
  <c r="AY507" i="10"/>
  <c r="AY505" i="10"/>
  <c r="AY503" i="10"/>
  <c r="AY501" i="10"/>
  <c r="AY499" i="10"/>
  <c r="AY497" i="10"/>
  <c r="AY495" i="10"/>
  <c r="AY493" i="10"/>
  <c r="AY491" i="10"/>
  <c r="AY489" i="10"/>
  <c r="AY487" i="10"/>
  <c r="AY485" i="10"/>
  <c r="AY483" i="10"/>
  <c r="AY481" i="10"/>
  <c r="AY479" i="10"/>
  <c r="AY477" i="10"/>
  <c r="AY475" i="10"/>
  <c r="AY473" i="10"/>
  <c r="AY471" i="10"/>
  <c r="AY469" i="10"/>
  <c r="AY467" i="10"/>
  <c r="AY465" i="10"/>
  <c r="AY463" i="10"/>
  <c r="AY461" i="10"/>
  <c r="AY459" i="10"/>
  <c r="AY457" i="10"/>
  <c r="AY455" i="10"/>
  <c r="AY453" i="10"/>
  <c r="AY451" i="10"/>
  <c r="AY449" i="10"/>
  <c r="AY447" i="10"/>
  <c r="AY445" i="10"/>
  <c r="AY443" i="10"/>
  <c r="AY441" i="10"/>
  <c r="AY439" i="10"/>
  <c r="AY437" i="10"/>
  <c r="AY435" i="10"/>
  <c r="AY433" i="10"/>
  <c r="AY431" i="10"/>
  <c r="AY429" i="10"/>
  <c r="AY427" i="10"/>
  <c r="AY425" i="10"/>
  <c r="AY423" i="10"/>
  <c r="AY421" i="10"/>
  <c r="AY419" i="10"/>
  <c r="AY417" i="10"/>
  <c r="AY415" i="10"/>
  <c r="AY413" i="10"/>
  <c r="AY411" i="10"/>
  <c r="AY409" i="10"/>
  <c r="AY407" i="10"/>
  <c r="AY405" i="10"/>
  <c r="AY403" i="10"/>
  <c r="AY401" i="10"/>
  <c r="AY399" i="10"/>
  <c r="AY397" i="10"/>
  <c r="AY395" i="10"/>
  <c r="AY393" i="10"/>
  <c r="AY391" i="10"/>
  <c r="AY389" i="10"/>
  <c r="AY387" i="10"/>
  <c r="AY385" i="10"/>
  <c r="AY383" i="10"/>
  <c r="AY381" i="10"/>
  <c r="AY379" i="10"/>
  <c r="AY377" i="10"/>
  <c r="AY375" i="10"/>
  <c r="AY373" i="10"/>
  <c r="AY371" i="10"/>
  <c r="AY369" i="10"/>
  <c r="AY367" i="10"/>
  <c r="AY365" i="10"/>
  <c r="AY363" i="10"/>
  <c r="AY361" i="10"/>
  <c r="AY359" i="10"/>
  <c r="AY357" i="10"/>
  <c r="AY355" i="10"/>
  <c r="AY353" i="10"/>
  <c r="AY351" i="10"/>
  <c r="AY349" i="10"/>
  <c r="AY347" i="10"/>
  <c r="AY345" i="10"/>
  <c r="AY343" i="10"/>
  <c r="AY341" i="10"/>
  <c r="AY339" i="10"/>
  <c r="AY337" i="10"/>
  <c r="AY335" i="10"/>
  <c r="AY333" i="10"/>
  <c r="AY331" i="10"/>
  <c r="AY329" i="10"/>
  <c r="AY327" i="10"/>
  <c r="AY325" i="10"/>
  <c r="AY323" i="10"/>
  <c r="AY321" i="10"/>
  <c r="AY319" i="10"/>
  <c r="AY317" i="10"/>
  <c r="AY315" i="10"/>
  <c r="AY313" i="10"/>
  <c r="AY311" i="10"/>
  <c r="AY309" i="10"/>
  <c r="AY307" i="10"/>
  <c r="AY305" i="10"/>
  <c r="AY303" i="10"/>
  <c r="AY301" i="10"/>
  <c r="AY299" i="10"/>
  <c r="AY297" i="10"/>
  <c r="AY295" i="10"/>
  <c r="AY293" i="10"/>
  <c r="AY291" i="10"/>
  <c r="AY289" i="10"/>
  <c r="AY287" i="10"/>
  <c r="AY285" i="10"/>
  <c r="AY283" i="10"/>
  <c r="AY281" i="10"/>
  <c r="AY279" i="10"/>
  <c r="AY277" i="10"/>
  <c r="AY275" i="10"/>
  <c r="AY273" i="10"/>
  <c r="AY271" i="10"/>
  <c r="AY269" i="10"/>
  <c r="AY267" i="10"/>
  <c r="AY265" i="10"/>
  <c r="AY263" i="10"/>
  <c r="AY261" i="10"/>
  <c r="AY259" i="10"/>
  <c r="AY257" i="10"/>
  <c r="AY255" i="10"/>
  <c r="AY253" i="10"/>
  <c r="AY251" i="10"/>
  <c r="AY249" i="10"/>
  <c r="AY247" i="10"/>
  <c r="AY245" i="10"/>
  <c r="AY243" i="10"/>
  <c r="AY241" i="10"/>
  <c r="AY239" i="10"/>
  <c r="AY237" i="10"/>
  <c r="AY235" i="10"/>
  <c r="AY233" i="10"/>
  <c r="AY231" i="10"/>
  <c r="AY229" i="10"/>
  <c r="AY227" i="10"/>
  <c r="AY225" i="10"/>
  <c r="AY223" i="10"/>
  <c r="AY221" i="10"/>
  <c r="AY219" i="10"/>
  <c r="AY217" i="10"/>
  <c r="AY215" i="10"/>
  <c r="AY213" i="10"/>
  <c r="AY211" i="10"/>
  <c r="AY209" i="10"/>
  <c r="AY207" i="10"/>
  <c r="AY205" i="10"/>
  <c r="AY203" i="10"/>
  <c r="AY201" i="10"/>
  <c r="AY199" i="10"/>
  <c r="AY197" i="10"/>
  <c r="AY195" i="10"/>
  <c r="AY193" i="10"/>
  <c r="AY191" i="10"/>
  <c r="AY189" i="10"/>
  <c r="AY187" i="10"/>
  <c r="AY185" i="10"/>
  <c r="AY183" i="10"/>
  <c r="AY181" i="10"/>
  <c r="AY179" i="10"/>
  <c r="AY177" i="10"/>
  <c r="AY175" i="10"/>
  <c r="AY173" i="10"/>
  <c r="AY171" i="10"/>
  <c r="AY169" i="10"/>
  <c r="AY167" i="10"/>
  <c r="AY165" i="10"/>
  <c r="AY163" i="10"/>
  <c r="AY161" i="10"/>
  <c r="AY159" i="10"/>
  <c r="AY157" i="10"/>
  <c r="AY155" i="10"/>
  <c r="AY153" i="10"/>
  <c r="AY151" i="10"/>
  <c r="AY149" i="10"/>
  <c r="AY147" i="10"/>
  <c r="AY145" i="10"/>
  <c r="AY143" i="10"/>
  <c r="AY141" i="10"/>
  <c r="AY139" i="10"/>
  <c r="AZ948" i="10"/>
  <c r="AZ946" i="10"/>
  <c r="AZ944" i="10"/>
  <c r="AZ942" i="10"/>
  <c r="AZ940" i="10"/>
  <c r="AZ938" i="10"/>
  <c r="AZ936" i="10"/>
  <c r="AZ934" i="10"/>
  <c r="AZ932" i="10"/>
  <c r="AZ930" i="10"/>
  <c r="AZ928" i="10"/>
  <c r="AZ926" i="10"/>
  <c r="AZ924" i="10"/>
  <c r="AZ922" i="10"/>
  <c r="AZ920" i="10"/>
  <c r="AZ918" i="10"/>
  <c r="AZ916" i="10"/>
  <c r="AZ914" i="10"/>
  <c r="AZ912" i="10"/>
  <c r="AZ910" i="10"/>
  <c r="AZ908" i="10"/>
  <c r="AZ906" i="10"/>
  <c r="AZ904" i="10"/>
  <c r="AZ902" i="10"/>
  <c r="AZ900" i="10"/>
  <c r="AZ898" i="10"/>
  <c r="AZ896" i="10"/>
  <c r="AZ894" i="10"/>
  <c r="AZ892" i="10"/>
  <c r="AZ890" i="10"/>
  <c r="AZ888" i="10"/>
  <c r="AZ886" i="10"/>
  <c r="AZ884" i="10"/>
  <c r="AZ882" i="10"/>
  <c r="AZ880" i="10"/>
  <c r="AZ878" i="10"/>
  <c r="AZ876" i="10"/>
  <c r="AZ874" i="10"/>
  <c r="AZ872" i="10"/>
  <c r="AZ870" i="10"/>
  <c r="AZ868" i="10"/>
  <c r="AZ866" i="10"/>
  <c r="AZ864" i="10"/>
  <c r="AZ862" i="10"/>
  <c r="AZ860" i="10"/>
  <c r="AZ858" i="10"/>
  <c r="AZ856" i="10"/>
  <c r="AZ852" i="10"/>
  <c r="AZ848" i="10"/>
  <c r="AZ844" i="10"/>
  <c r="AZ840" i="10"/>
  <c r="AZ836" i="10"/>
  <c r="AZ832" i="10"/>
  <c r="AZ828" i="10"/>
  <c r="AZ824" i="10"/>
  <c r="AZ820" i="10"/>
  <c r="AZ816" i="10"/>
  <c r="AZ812" i="10"/>
  <c r="AZ808" i="10"/>
  <c r="AZ804" i="10"/>
  <c r="AZ800" i="10"/>
  <c r="AZ796" i="10"/>
  <c r="AZ792" i="10"/>
  <c r="AZ788" i="10"/>
  <c r="AZ786" i="10"/>
  <c r="AZ784" i="10"/>
  <c r="AZ782" i="10"/>
  <c r="AZ780" i="10"/>
  <c r="AZ778" i="10"/>
  <c r="AZ776" i="10"/>
  <c r="AZ774" i="10"/>
  <c r="AZ772" i="10"/>
  <c r="AZ770" i="10"/>
  <c r="AZ768" i="10"/>
  <c r="AZ766" i="10"/>
  <c r="AZ764" i="10"/>
  <c r="AZ762" i="10"/>
  <c r="AZ760" i="10"/>
  <c r="AZ758" i="10"/>
  <c r="AZ756" i="10"/>
  <c r="AZ754" i="10"/>
  <c r="AZ752" i="10"/>
  <c r="AZ750" i="10"/>
  <c r="AZ748" i="10"/>
  <c r="AZ746" i="10"/>
  <c r="AZ744" i="10"/>
  <c r="AZ742" i="10"/>
  <c r="AZ740" i="10"/>
  <c r="AZ738" i="10"/>
  <c r="AZ736" i="10"/>
  <c r="AZ734" i="10"/>
  <c r="AZ732" i="10"/>
  <c r="AZ730" i="10"/>
  <c r="AZ728" i="10"/>
  <c r="AZ726" i="10"/>
  <c r="AZ724" i="10"/>
  <c r="AZ722" i="10"/>
  <c r="AZ720" i="10"/>
  <c r="AZ718" i="10"/>
  <c r="AZ716" i="10"/>
  <c r="AZ714" i="10"/>
  <c r="AZ712" i="10"/>
  <c r="AZ710" i="10"/>
  <c r="AZ708" i="10"/>
  <c r="AZ706" i="10"/>
  <c r="AZ704" i="10"/>
  <c r="AZ702" i="10"/>
  <c r="AZ700" i="10"/>
  <c r="AZ698" i="10"/>
  <c r="AZ696" i="10"/>
  <c r="AZ694" i="10"/>
  <c r="AZ692" i="10"/>
  <c r="AZ690" i="10"/>
  <c r="AZ688" i="10"/>
  <c r="AZ686" i="10"/>
  <c r="AZ684" i="10"/>
  <c r="AZ682" i="10"/>
  <c r="AZ680" i="10"/>
  <c r="AZ678" i="10"/>
  <c r="AZ676" i="10"/>
  <c r="AZ674" i="10"/>
  <c r="AZ672" i="10"/>
  <c r="AZ670" i="10"/>
  <c r="AZ668" i="10"/>
  <c r="AZ666" i="10"/>
  <c r="AZ664" i="10"/>
  <c r="AZ662" i="10"/>
  <c r="AZ660" i="10"/>
  <c r="AZ658" i="10"/>
  <c r="AZ656" i="10"/>
  <c r="AZ654" i="10"/>
  <c r="AZ652" i="10"/>
  <c r="AZ650" i="10"/>
  <c r="AZ648" i="10"/>
  <c r="AZ646" i="10"/>
  <c r="AZ644" i="10"/>
  <c r="AZ642" i="10"/>
  <c r="AZ640" i="10"/>
  <c r="AZ638" i="10"/>
  <c r="AZ636" i="10"/>
  <c r="AZ634" i="10"/>
  <c r="AZ632" i="10"/>
  <c r="AZ630" i="10"/>
  <c r="AZ628" i="10"/>
  <c r="AZ626" i="10"/>
  <c r="AZ624" i="10"/>
  <c r="AY620" i="10"/>
  <c r="AY618" i="10"/>
  <c r="AY616" i="10"/>
  <c r="AY614" i="10"/>
  <c r="AY612" i="10"/>
  <c r="AY610" i="10"/>
  <c r="AY608" i="10"/>
  <c r="AY606" i="10"/>
  <c r="AY604" i="10"/>
  <c r="AY602" i="10"/>
  <c r="AY600" i="10"/>
  <c r="AY598" i="10"/>
  <c r="AY596" i="10"/>
  <c r="AY594" i="10"/>
  <c r="AY592" i="10"/>
  <c r="AY590" i="10"/>
  <c r="AY588" i="10"/>
  <c r="AY586" i="10"/>
  <c r="AY584" i="10"/>
  <c r="AY582" i="10"/>
  <c r="AY580" i="10"/>
  <c r="AY578" i="10"/>
  <c r="AY576" i="10"/>
  <c r="AY574" i="10"/>
  <c r="AY572" i="10"/>
  <c r="AY570" i="10"/>
  <c r="AY568" i="10"/>
  <c r="AY566" i="10"/>
  <c r="AY564" i="10"/>
  <c r="AY562" i="10"/>
  <c r="AY560" i="10"/>
  <c r="AY558" i="10"/>
  <c r="AY556" i="10"/>
  <c r="AY554" i="10"/>
  <c r="AY552" i="10"/>
  <c r="AY550" i="10"/>
  <c r="AY548" i="10"/>
  <c r="AY546" i="10"/>
  <c r="AY544" i="10"/>
  <c r="AY542" i="10"/>
  <c r="AY540" i="10"/>
  <c r="AY538" i="10"/>
  <c r="AY536" i="10"/>
  <c r="AY534" i="10"/>
  <c r="AY532" i="10"/>
  <c r="AY530" i="10"/>
  <c r="AY528" i="10"/>
  <c r="AY526" i="10"/>
  <c r="AY524" i="10"/>
  <c r="AY522" i="10"/>
  <c r="AY520" i="10"/>
  <c r="AY518" i="10"/>
  <c r="AY516" i="10"/>
  <c r="AY514" i="10"/>
  <c r="AY512" i="10"/>
  <c r="AY510" i="10"/>
  <c r="AY508" i="10"/>
  <c r="AY506" i="10"/>
  <c r="AY504" i="10"/>
  <c r="AY502" i="10"/>
  <c r="AY500" i="10"/>
  <c r="AY498" i="10"/>
  <c r="AY496" i="10"/>
  <c r="AY494" i="10"/>
  <c r="AY492" i="10"/>
  <c r="AY490" i="10"/>
  <c r="AY488" i="10"/>
  <c r="AY486" i="10"/>
  <c r="AY484" i="10"/>
  <c r="AY482" i="10"/>
  <c r="AY480" i="10"/>
  <c r="AY478" i="10"/>
  <c r="AY476" i="10"/>
  <c r="AY474" i="10"/>
  <c r="AY472" i="10"/>
  <c r="AY470" i="10"/>
  <c r="AY468" i="10"/>
  <c r="AY466" i="10"/>
  <c r="AY464" i="10"/>
  <c r="AY462" i="10"/>
  <c r="AY460" i="10"/>
  <c r="AY458" i="10"/>
  <c r="AY456" i="10"/>
  <c r="AY454" i="10"/>
  <c r="AY452" i="10"/>
  <c r="AY450" i="10"/>
  <c r="AY448" i="10"/>
  <c r="AY446" i="10"/>
  <c r="AY444" i="10"/>
  <c r="AY442" i="10"/>
  <c r="AY440" i="10"/>
  <c r="AY438" i="10"/>
  <c r="AY436" i="10"/>
  <c r="AY434" i="10"/>
  <c r="AY432" i="10"/>
  <c r="AY430" i="10"/>
  <c r="AY428" i="10"/>
  <c r="AY426" i="10"/>
  <c r="AY424" i="10"/>
  <c r="AY422" i="10"/>
  <c r="AY420" i="10"/>
  <c r="AY418" i="10"/>
  <c r="AY416" i="10"/>
  <c r="AY414" i="10"/>
  <c r="AY412" i="10"/>
  <c r="AY410" i="10"/>
  <c r="AY408" i="10"/>
  <c r="AY406" i="10"/>
  <c r="AY404" i="10"/>
  <c r="AY402" i="10"/>
  <c r="AY400" i="10"/>
  <c r="AY398" i="10"/>
  <c r="AY396" i="10"/>
  <c r="AY394" i="10"/>
  <c r="AY392" i="10"/>
  <c r="AY390" i="10"/>
  <c r="AY388" i="10"/>
  <c r="AY386" i="10"/>
  <c r="AY384" i="10"/>
  <c r="AY382" i="10"/>
  <c r="AY380" i="10"/>
  <c r="AY378" i="10"/>
  <c r="AY376" i="10"/>
  <c r="AY374" i="10"/>
  <c r="AY372" i="10"/>
  <c r="AY370" i="10"/>
  <c r="AY368" i="10"/>
  <c r="AY366" i="10"/>
  <c r="AY364" i="10"/>
  <c r="AY362" i="10"/>
  <c r="AY360" i="10"/>
  <c r="AY358" i="10"/>
  <c r="AY356" i="10"/>
  <c r="AY354" i="10"/>
  <c r="AY352" i="10"/>
  <c r="AY350" i="10"/>
  <c r="AY348" i="10"/>
  <c r="AY346" i="10"/>
  <c r="AY344" i="10"/>
  <c r="AY342" i="10"/>
  <c r="AY340" i="10"/>
  <c r="AY338" i="10"/>
  <c r="AY336" i="10"/>
  <c r="AY334" i="10"/>
  <c r="AY332" i="10"/>
  <c r="AY330" i="10"/>
  <c r="AY328" i="10"/>
  <c r="AY326" i="10"/>
  <c r="AY324" i="10"/>
  <c r="AY322" i="10"/>
  <c r="AY320" i="10"/>
  <c r="AY318" i="10"/>
  <c r="AY316" i="10"/>
  <c r="AY314" i="10"/>
  <c r="AY312" i="10"/>
  <c r="AY310" i="10"/>
  <c r="AY308" i="10"/>
  <c r="AY306" i="10"/>
  <c r="AY304" i="10"/>
  <c r="AY302" i="10"/>
  <c r="AY300" i="10"/>
  <c r="AY298" i="10"/>
  <c r="AY296" i="10"/>
  <c r="AY294" i="10"/>
  <c r="AY292" i="10"/>
  <c r="AY290" i="10"/>
  <c r="AY288" i="10"/>
  <c r="AY286" i="10"/>
  <c r="AY284" i="10"/>
  <c r="AY282" i="10"/>
  <c r="AY280" i="10"/>
  <c r="AY278" i="10"/>
  <c r="AY276" i="10"/>
  <c r="AY274" i="10"/>
  <c r="AY272" i="10"/>
  <c r="AY270" i="10"/>
  <c r="AY268" i="10"/>
  <c r="AY266" i="10"/>
  <c r="AY264" i="10"/>
  <c r="AY262" i="10"/>
  <c r="AY260" i="10"/>
  <c r="AY258" i="10"/>
  <c r="AY256" i="10"/>
  <c r="AY254" i="10"/>
  <c r="AY252" i="10"/>
  <c r="AY250" i="10"/>
  <c r="AY248" i="10"/>
  <c r="AY246" i="10"/>
  <c r="AY244" i="10"/>
  <c r="AY242" i="10"/>
  <c r="AY240" i="10"/>
  <c r="AY238" i="10"/>
  <c r="AY236" i="10"/>
  <c r="AY234" i="10"/>
  <c r="AY232" i="10"/>
  <c r="AY230" i="10"/>
  <c r="AY228" i="10"/>
  <c r="AY226" i="10"/>
  <c r="AY224" i="10"/>
  <c r="AY222" i="10"/>
  <c r="AY220" i="10"/>
  <c r="AY218" i="10"/>
  <c r="AY216" i="10"/>
  <c r="AY214" i="10"/>
  <c r="AY212" i="10"/>
  <c r="AY210" i="10"/>
  <c r="AY208" i="10"/>
  <c r="AY206" i="10"/>
  <c r="AY204" i="10"/>
  <c r="AY202" i="10"/>
  <c r="AY200" i="10"/>
  <c r="AY198" i="10"/>
  <c r="AY196" i="10"/>
  <c r="AY194" i="10"/>
  <c r="AY192" i="10"/>
  <c r="AY190" i="10"/>
  <c r="AY188" i="10"/>
  <c r="AY186" i="10"/>
  <c r="AY184" i="10"/>
  <c r="AY182" i="10"/>
  <c r="AY180" i="10"/>
  <c r="AY178" i="10"/>
  <c r="AY176" i="10"/>
  <c r="AY174" i="10"/>
  <c r="AY172" i="10"/>
  <c r="AY170" i="10"/>
  <c r="AY168" i="10"/>
  <c r="AY166" i="10"/>
  <c r="AY164" i="10"/>
  <c r="AY162" i="10"/>
  <c r="AY160" i="10"/>
  <c r="AY158" i="10"/>
  <c r="AY156" i="10"/>
  <c r="AY154" i="10"/>
  <c r="AY152" i="10"/>
  <c r="AY150" i="10"/>
  <c r="AY148" i="10"/>
  <c r="AY146" i="10"/>
  <c r="AY144" i="10"/>
  <c r="AY142" i="10"/>
  <c r="AY140" i="10"/>
  <c r="AY137" i="10"/>
  <c r="AY135" i="10"/>
  <c r="AY133" i="10"/>
  <c r="AY131" i="10"/>
  <c r="AY129" i="10"/>
  <c r="AY127" i="10"/>
  <c r="AY125" i="10"/>
  <c r="AY123" i="10"/>
  <c r="AY121" i="10"/>
  <c r="AY119" i="10"/>
  <c r="AY117" i="10"/>
  <c r="AY115" i="10"/>
  <c r="AY113" i="10"/>
  <c r="AY111" i="10"/>
  <c r="AY109" i="10"/>
  <c r="AY107" i="10"/>
  <c r="AY105" i="10"/>
  <c r="AY103" i="10"/>
  <c r="AY101" i="10"/>
  <c r="AY99" i="10"/>
  <c r="AY97" i="10"/>
  <c r="AY95" i="10"/>
  <c r="AY93" i="10"/>
  <c r="AY91" i="10"/>
  <c r="AY89" i="10"/>
  <c r="AY87" i="10"/>
  <c r="AY85" i="10"/>
  <c r="AY83" i="10"/>
  <c r="AY81" i="10"/>
  <c r="AY79" i="10"/>
  <c r="AY77" i="10"/>
  <c r="AY75" i="10"/>
  <c r="AY73" i="10"/>
  <c r="AY71" i="10"/>
  <c r="AY69" i="10"/>
  <c r="AY67" i="10"/>
  <c r="AY65" i="10"/>
  <c r="AY63" i="10"/>
  <c r="AY61" i="10"/>
  <c r="AY59" i="10"/>
  <c r="AY57" i="10"/>
  <c r="AY55" i="10"/>
  <c r="AY53" i="10"/>
  <c r="AY51" i="10"/>
  <c r="AY49" i="10"/>
  <c r="AY47" i="10"/>
  <c r="AY45" i="10"/>
  <c r="AY43" i="10"/>
  <c r="AY41" i="10"/>
  <c r="AY39" i="10"/>
  <c r="AY37" i="10"/>
  <c r="AY35" i="10"/>
  <c r="AY33" i="10"/>
  <c r="AY31" i="10"/>
  <c r="AY29" i="10"/>
  <c r="AY27" i="10"/>
  <c r="AY25" i="10"/>
  <c r="AY23" i="10"/>
  <c r="AY21" i="10"/>
  <c r="AY19" i="10"/>
  <c r="AY17" i="10"/>
  <c r="AY15" i="10"/>
  <c r="AY13" i="10"/>
  <c r="AY11" i="10"/>
  <c r="AY9" i="10"/>
  <c r="AY7" i="10"/>
  <c r="AY138" i="10"/>
  <c r="AY136" i="10"/>
  <c r="AY134" i="10"/>
  <c r="AY132" i="10"/>
  <c r="AY130" i="10"/>
  <c r="AY128" i="10"/>
  <c r="AY126" i="10"/>
  <c r="AY124" i="10"/>
  <c r="AY122" i="10"/>
  <c r="AY120" i="10"/>
  <c r="AY118" i="10"/>
  <c r="AY116" i="10"/>
  <c r="AY114" i="10"/>
  <c r="AY112" i="10"/>
  <c r="AY110" i="10"/>
  <c r="AY108" i="10"/>
  <c r="AY106" i="10"/>
  <c r="AY104" i="10"/>
  <c r="AY102" i="10"/>
  <c r="AY100" i="10"/>
  <c r="AY98" i="10"/>
  <c r="AY96" i="10"/>
  <c r="AY94" i="10"/>
  <c r="AY92" i="10"/>
  <c r="AY90" i="10"/>
  <c r="AY88" i="10"/>
  <c r="AY86" i="10"/>
  <c r="AY84" i="10"/>
  <c r="AY82" i="10"/>
  <c r="AY80" i="10"/>
  <c r="AY78" i="10"/>
  <c r="AY76" i="10"/>
  <c r="AY74" i="10"/>
  <c r="AY72" i="10"/>
  <c r="AY70" i="10"/>
  <c r="AY68" i="10"/>
  <c r="AY66" i="10"/>
  <c r="AY64" i="10"/>
  <c r="AY62" i="10"/>
  <c r="AY60" i="10"/>
  <c r="AY58" i="10"/>
  <c r="AY56" i="10"/>
  <c r="AY54" i="10"/>
  <c r="AY52" i="10"/>
  <c r="AY50" i="10"/>
  <c r="AY48" i="10"/>
  <c r="AY46" i="10"/>
  <c r="AY44" i="10"/>
  <c r="AY42" i="10"/>
  <c r="AY40" i="10"/>
  <c r="AY38" i="10"/>
  <c r="AY36" i="10"/>
  <c r="AY34" i="10"/>
  <c r="AY32" i="10"/>
  <c r="AY30" i="10"/>
  <c r="AY28" i="10"/>
  <c r="AY26" i="10"/>
  <c r="AY24" i="10"/>
  <c r="AY22" i="10"/>
  <c r="AY20" i="10"/>
  <c r="AY18" i="10"/>
  <c r="AY16" i="10"/>
  <c r="AY14" i="10"/>
  <c r="AY12" i="10"/>
  <c r="AY10" i="10"/>
  <c r="AY8" i="10"/>
  <c r="AY6" i="10"/>
  <c r="AZ4" i="10" l="1"/>
  <c r="AY4" i="10"/>
  <c r="AP1007" i="10" l="1"/>
  <c r="F9" i="11" s="1"/>
  <c r="AQ1007" i="10"/>
  <c r="E10" i="11" s="1"/>
  <c r="AR1007" i="10"/>
  <c r="F10" i="11" s="1"/>
  <c r="AO1007" i="10"/>
  <c r="E9" i="11" s="1"/>
  <c r="E42" i="2"/>
  <c r="E43" i="2"/>
  <c r="E41" i="2"/>
  <c r="E36" i="2"/>
  <c r="E37" i="2"/>
  <c r="E35" i="2"/>
  <c r="H42" i="2"/>
  <c r="H43" i="2"/>
  <c r="H41" i="2"/>
  <c r="E78" i="2"/>
  <c r="C78" i="2" s="1"/>
  <c r="AF4" i="10" s="1"/>
  <c r="E79" i="2"/>
  <c r="C79" i="2" s="1"/>
  <c r="AG4" i="10" s="1"/>
  <c r="E80" i="2"/>
  <c r="C80" i="2" s="1"/>
  <c r="AH4" i="10" s="1"/>
  <c r="E81" i="2"/>
  <c r="C81" i="2" s="1"/>
  <c r="AI4" i="10" s="1"/>
  <c r="E82" i="2"/>
  <c r="C82" i="2" s="1"/>
  <c r="AJ4" i="10" s="1"/>
  <c r="E83" i="2"/>
  <c r="C83" i="2" s="1"/>
  <c r="AK4" i="10" s="1"/>
  <c r="E84" i="2"/>
  <c r="C84" i="2" s="1"/>
  <c r="AL4" i="10" s="1"/>
  <c r="E85" i="2"/>
  <c r="C85" i="2" s="1"/>
  <c r="AM4" i="10" s="1"/>
  <c r="F11" i="11" l="1"/>
  <c r="E11" i="11"/>
  <c r="D49" i="2"/>
  <c r="B49" i="2" s="1"/>
  <c r="D50" i="2"/>
  <c r="B50" i="2" s="1"/>
  <c r="D51" i="2"/>
  <c r="B51" i="2" s="1"/>
  <c r="D52" i="2"/>
  <c r="B52" i="2" s="1"/>
  <c r="D53" i="2"/>
  <c r="B53" i="2" s="1"/>
  <c r="D54" i="2"/>
  <c r="B54" i="2" s="1"/>
  <c r="D55" i="2"/>
  <c r="B55" i="2" s="1"/>
  <c r="D56" i="2"/>
  <c r="B56" i="2" s="1"/>
  <c r="D57" i="2"/>
  <c r="B57" i="2" s="1"/>
  <c r="E77" i="2"/>
  <c r="D78" i="2"/>
  <c r="D79" i="2"/>
  <c r="D80" i="2"/>
  <c r="D81" i="2"/>
  <c r="D82" i="2"/>
  <c r="D83" i="2"/>
  <c r="D84" i="2"/>
  <c r="D85" i="2"/>
  <c r="D77" i="2"/>
  <c r="D48" i="2"/>
  <c r="B48" i="2" s="1"/>
  <c r="D42" i="2"/>
  <c r="F23" i="2"/>
  <c r="F21" i="2"/>
  <c r="D21" i="2" s="1"/>
  <c r="F25" i="2"/>
  <c r="F26" i="2" s="1"/>
  <c r="F27" i="2"/>
  <c r="D27" i="2" s="1"/>
  <c r="D23" i="2"/>
  <c r="F31" i="7"/>
  <c r="G31" i="7"/>
  <c r="D31" i="7"/>
  <c r="G30" i="7"/>
  <c r="F30" i="7"/>
  <c r="D30" i="7"/>
  <c r="D29" i="7"/>
  <c r="G29" i="7" s="1"/>
  <c r="D43" i="2"/>
  <c r="D41" i="2"/>
  <c r="G25" i="7"/>
  <c r="F25" i="7"/>
  <c r="F24" i="7"/>
  <c r="G24" i="7"/>
  <c r="G23" i="7"/>
  <c r="F23" i="7"/>
  <c r="B57" i="7"/>
  <c r="B53" i="7"/>
  <c r="B54" i="7"/>
  <c r="B55" i="7"/>
  <c r="B56" i="7"/>
  <c r="B58" i="7"/>
  <c r="B59" i="7"/>
  <c r="B52" i="7"/>
  <c r="B51" i="7"/>
  <c r="I77" i="2"/>
  <c r="I9" i="7"/>
  <c r="J9" i="7" s="1"/>
  <c r="G9" i="7" s="1"/>
  <c r="H9" i="7" s="1"/>
  <c r="D12" i="7"/>
  <c r="E12" i="7" s="1"/>
  <c r="F12" i="7" s="1"/>
  <c r="G12" i="7" s="1"/>
  <c r="H12" i="7" s="1"/>
  <c r="E6" i="7"/>
  <c r="F6" i="7" s="1"/>
  <c r="D6" i="7"/>
  <c r="D7" i="7"/>
  <c r="E7" i="7" s="1"/>
  <c r="F7" i="7" s="1"/>
  <c r="D8" i="7"/>
  <c r="E8" i="7" s="1"/>
  <c r="F8" i="7" s="1"/>
  <c r="D10" i="7"/>
  <c r="E10" i="7" s="1"/>
  <c r="F10" i="7" s="1"/>
  <c r="G10" i="7" s="1"/>
  <c r="H10" i="7" s="1"/>
  <c r="D14" i="7"/>
  <c r="E14" i="7" s="1"/>
  <c r="F14" i="7" s="1"/>
  <c r="D5" i="7"/>
  <c r="E5" i="7" s="1"/>
  <c r="F5" i="7" s="1"/>
  <c r="B16" i="7"/>
  <c r="B8" i="2"/>
  <c r="J7" i="5" l="1"/>
  <c r="E14" i="11"/>
  <c r="J4" i="10"/>
  <c r="B44" i="7"/>
  <c r="B40" i="7"/>
  <c r="B41" i="7"/>
  <c r="AA4" i="10"/>
  <c r="W4" i="10"/>
  <c r="H4" i="10"/>
  <c r="C43" i="2"/>
  <c r="N4" i="10"/>
  <c r="X4" i="10"/>
  <c r="B47" i="7"/>
  <c r="AD4" i="10"/>
  <c r="B42" i="7"/>
  <c r="Y4" i="10"/>
  <c r="B38" i="7"/>
  <c r="U4" i="10"/>
  <c r="B46" i="7"/>
  <c r="AC4" i="10"/>
  <c r="B45" i="7"/>
  <c r="AB4" i="10"/>
  <c r="B43" i="7"/>
  <c r="Z4" i="10"/>
  <c r="B39" i="7"/>
  <c r="V4" i="10"/>
  <c r="C41" i="2"/>
  <c r="C77" i="2"/>
  <c r="C42" i="2"/>
  <c r="D25" i="2"/>
  <c r="F22" i="2"/>
  <c r="D22" i="2" s="1"/>
  <c r="F20" i="2"/>
  <c r="D20" i="2" s="1"/>
  <c r="F19" i="2"/>
  <c r="D19" i="2" s="1"/>
  <c r="F29" i="7"/>
  <c r="G6" i="7"/>
  <c r="H6" i="7"/>
  <c r="G14" i="7"/>
  <c r="G7" i="7"/>
  <c r="G8" i="7"/>
  <c r="G5" i="7"/>
  <c r="H37" i="2"/>
  <c r="D37" i="2" s="1"/>
  <c r="C37" i="2" s="1"/>
  <c r="H36" i="2"/>
  <c r="D36" i="2" s="1"/>
  <c r="C36" i="2" s="1"/>
  <c r="H35" i="2"/>
  <c r="D35" i="2" s="1"/>
  <c r="C35" i="2" s="1"/>
  <c r="Q6" i="5"/>
  <c r="Q6" i="4"/>
  <c r="F64" i="2"/>
  <c r="B64" i="2" s="1"/>
  <c r="C67" i="2"/>
  <c r="B67" i="2" s="1"/>
  <c r="B68" i="2" s="1"/>
  <c r="F71" i="2"/>
  <c r="B71" i="2" s="1"/>
  <c r="J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T6" i="4" l="1"/>
  <c r="T6" i="5"/>
  <c r="P7" i="5"/>
  <c r="N7" i="4"/>
  <c r="N7" i="5"/>
  <c r="L7" i="5"/>
  <c r="O7" i="5"/>
  <c r="F4" i="10"/>
  <c r="S4" i="10"/>
  <c r="G4" i="10"/>
  <c r="AE4" i="10"/>
  <c r="T4" i="10"/>
  <c r="I4" i="10"/>
  <c r="R4" i="10"/>
  <c r="Q4" i="10"/>
  <c r="P4" i="10"/>
  <c r="O4" i="10"/>
  <c r="E26" i="2"/>
  <c r="D26" i="2" s="1"/>
  <c r="K7" i="5" s="1"/>
  <c r="K8" i="5" s="1"/>
  <c r="L4" i="10"/>
  <c r="R6" i="5"/>
  <c r="R6" i="4"/>
  <c r="H14" i="7"/>
  <c r="F24" i="2" s="1"/>
  <c r="D24" i="2" s="1"/>
  <c r="H5" i="7"/>
  <c r="F15" i="2"/>
  <c r="D15" i="2" s="1"/>
  <c r="E7" i="5" s="1"/>
  <c r="E8" i="5" s="1"/>
  <c r="H8" i="7"/>
  <c r="F18" i="2" s="1"/>
  <c r="D18" i="2" s="1"/>
  <c r="F16" i="2"/>
  <c r="D16" i="2" s="1"/>
  <c r="H7" i="7"/>
  <c r="F17" i="2" s="1"/>
  <c r="D17" i="2" s="1"/>
  <c r="H7" i="5" s="1"/>
  <c r="P7" i="4"/>
  <c r="L7" i="4"/>
  <c r="O7" i="4"/>
  <c r="F7" i="4" l="1"/>
  <c r="P8" i="4" s="1"/>
  <c r="G7" i="5"/>
  <c r="H8" i="5" s="1"/>
  <c r="I7" i="4"/>
  <c r="I7" i="5"/>
  <c r="J8" i="5" s="1"/>
  <c r="K9" i="5" s="1"/>
  <c r="E7" i="4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G7" i="4"/>
  <c r="L8" i="4" s="1"/>
  <c r="H7" i="4"/>
  <c r="F7" i="5"/>
  <c r="F8" i="5" s="1"/>
  <c r="M7" i="5"/>
  <c r="E9" i="5"/>
  <c r="O8" i="5"/>
  <c r="O9" i="5" s="1"/>
  <c r="E4" i="10"/>
  <c r="B4" i="10"/>
  <c r="C4" i="10"/>
  <c r="D4" i="10"/>
  <c r="M7" i="4"/>
  <c r="K4" i="10"/>
  <c r="M4" i="10"/>
  <c r="K7" i="4"/>
  <c r="K8" i="4" s="1"/>
  <c r="J8" i="4" l="1"/>
  <c r="K9" i="4" s="1"/>
  <c r="N8" i="4"/>
  <c r="O8" i="4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P8" i="5"/>
  <c r="P9" i="5" s="1"/>
  <c r="M8" i="4"/>
  <c r="G8" i="4"/>
  <c r="L9" i="4" s="1"/>
  <c r="G8" i="5"/>
  <c r="I8" i="4"/>
  <c r="M8" i="5"/>
  <c r="H8" i="4"/>
  <c r="L8" i="5"/>
  <c r="N8" i="5"/>
  <c r="I8" i="5"/>
  <c r="M9" i="5" s="1"/>
  <c r="F8" i="4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O10" i="5"/>
  <c r="F9" i="5"/>
  <c r="F10" i="5" s="1"/>
  <c r="E10" i="5"/>
  <c r="U7" i="5"/>
  <c r="T7" i="5"/>
  <c r="U7" i="4"/>
  <c r="T7" i="4"/>
  <c r="Q7" i="4"/>
  <c r="S7" i="4"/>
  <c r="R7" i="4"/>
  <c r="R7" i="5"/>
  <c r="S7" i="5"/>
  <c r="Q7" i="5"/>
  <c r="I9" i="4" l="1"/>
  <c r="M9" i="4"/>
  <c r="H9" i="4"/>
  <c r="H9" i="5"/>
  <c r="P10" i="5"/>
  <c r="P11" i="5" s="1"/>
  <c r="N9" i="4"/>
  <c r="G9" i="5"/>
  <c r="L9" i="5"/>
  <c r="O11" i="5"/>
  <c r="I9" i="5"/>
  <c r="N9" i="5"/>
  <c r="J9" i="4"/>
  <c r="K10" i="4" s="1"/>
  <c r="J9" i="5"/>
  <c r="K10" i="5" s="1"/>
  <c r="Q8" i="5"/>
  <c r="G9" i="4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P9" i="4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E11" i="5"/>
  <c r="F11" i="5"/>
  <c r="T8" i="4"/>
  <c r="U8" i="4"/>
  <c r="U8" i="5"/>
  <c r="T8" i="5"/>
  <c r="S8" i="4"/>
  <c r="Q8" i="4"/>
  <c r="R8" i="4"/>
  <c r="S8" i="5"/>
  <c r="R8" i="5"/>
  <c r="J10" i="5" l="1"/>
  <c r="K11" i="5" s="1"/>
  <c r="J10" i="4"/>
  <c r="K11" i="4" s="1"/>
  <c r="M10" i="5"/>
  <c r="I10" i="5"/>
  <c r="N10" i="5"/>
  <c r="L10" i="5"/>
  <c r="H10" i="5"/>
  <c r="Q9" i="5"/>
  <c r="M10" i="4"/>
  <c r="G10" i="5"/>
  <c r="G11" i="5" s="1"/>
  <c r="G12" i="5" s="1"/>
  <c r="F12" i="5"/>
  <c r="I10" i="4"/>
  <c r="H10" i="4"/>
  <c r="L10" i="4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N10" i="4"/>
  <c r="E12" i="5"/>
  <c r="O12" i="5"/>
  <c r="P12" i="5"/>
  <c r="U9" i="5"/>
  <c r="T9" i="5"/>
  <c r="T9" i="4"/>
  <c r="U9" i="4"/>
  <c r="S9" i="4"/>
  <c r="Q9" i="4"/>
  <c r="R9" i="4"/>
  <c r="R9" i="5"/>
  <c r="S9" i="5"/>
  <c r="H11" i="4" l="1"/>
  <c r="H12" i="4" s="1"/>
  <c r="J11" i="5"/>
  <c r="K12" i="5" s="1"/>
  <c r="P13" i="5"/>
  <c r="J11" i="4"/>
  <c r="K12" i="4" s="1"/>
  <c r="M11" i="5"/>
  <c r="F13" i="5"/>
  <c r="M11" i="4"/>
  <c r="O13" i="5"/>
  <c r="N11" i="4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H11" i="5"/>
  <c r="Q10" i="5"/>
  <c r="L11" i="5"/>
  <c r="L12" i="5" s="1"/>
  <c r="L13" i="5" s="1"/>
  <c r="N11" i="5"/>
  <c r="I11" i="5"/>
  <c r="I11" i="4"/>
  <c r="G13" i="5"/>
  <c r="E13" i="5"/>
  <c r="T10" i="5"/>
  <c r="U10" i="4"/>
  <c r="T10" i="4"/>
  <c r="U10" i="5"/>
  <c r="R10" i="4"/>
  <c r="Q10" i="4"/>
  <c r="S10" i="4"/>
  <c r="S10" i="5"/>
  <c r="R10" i="5"/>
  <c r="I12" i="5" l="1"/>
  <c r="N12" i="5"/>
  <c r="N13" i="5" s="1"/>
  <c r="N14" i="5" s="1"/>
  <c r="J12" i="4"/>
  <c r="K13" i="4" s="1"/>
  <c r="H12" i="5"/>
  <c r="I12" i="4"/>
  <c r="I13" i="4" s="1"/>
  <c r="J12" i="5"/>
  <c r="K13" i="5" s="1"/>
  <c r="M12" i="5"/>
  <c r="G14" i="5"/>
  <c r="P14" i="5"/>
  <c r="M12" i="4"/>
  <c r="Q11" i="5"/>
  <c r="F14" i="5"/>
  <c r="O14" i="5"/>
  <c r="E14" i="5"/>
  <c r="H13" i="4"/>
  <c r="L14" i="5"/>
  <c r="U11" i="5"/>
  <c r="T11" i="5"/>
  <c r="U11" i="4"/>
  <c r="T11" i="4"/>
  <c r="Q11" i="4"/>
  <c r="R11" i="4"/>
  <c r="S11" i="4"/>
  <c r="S11" i="5"/>
  <c r="R11" i="5"/>
  <c r="I13" i="5" l="1"/>
  <c r="J13" i="5"/>
  <c r="K14" i="5" s="1"/>
  <c r="H13" i="5"/>
  <c r="H14" i="5" s="1"/>
  <c r="Q12" i="5"/>
  <c r="J13" i="4"/>
  <c r="K14" i="4" s="1"/>
  <c r="M13" i="5"/>
  <c r="M13" i="4"/>
  <c r="L15" i="5"/>
  <c r="I14" i="4"/>
  <c r="E15" i="5"/>
  <c r="O15" i="5"/>
  <c r="N15" i="5"/>
  <c r="F15" i="5"/>
  <c r="P15" i="5"/>
  <c r="H14" i="4"/>
  <c r="J14" i="4"/>
  <c r="G15" i="5"/>
  <c r="T12" i="4"/>
  <c r="U12" i="5"/>
  <c r="U12" i="4"/>
  <c r="T12" i="5"/>
  <c r="R12" i="5"/>
  <c r="Q12" i="4"/>
  <c r="S12" i="5"/>
  <c r="S12" i="4"/>
  <c r="R12" i="4"/>
  <c r="M14" i="4" l="1"/>
  <c r="M15" i="4" s="1"/>
  <c r="J14" i="5"/>
  <c r="K15" i="5" s="1"/>
  <c r="I14" i="5"/>
  <c r="J15" i="5" s="1"/>
  <c r="M14" i="5"/>
  <c r="Q13" i="5"/>
  <c r="I15" i="4"/>
  <c r="K15" i="4"/>
  <c r="F16" i="5"/>
  <c r="P16" i="5"/>
  <c r="L16" i="5"/>
  <c r="G16" i="5"/>
  <c r="H15" i="5"/>
  <c r="N16" i="5"/>
  <c r="J15" i="4"/>
  <c r="H15" i="4"/>
  <c r="O16" i="5"/>
  <c r="E16" i="5"/>
  <c r="T13" i="4"/>
  <c r="U13" i="4"/>
  <c r="U13" i="5"/>
  <c r="T13" i="5"/>
  <c r="R13" i="4"/>
  <c r="S13" i="4"/>
  <c r="T14" i="4"/>
  <c r="Q13" i="4"/>
  <c r="S13" i="5"/>
  <c r="R13" i="5"/>
  <c r="I15" i="5" l="1"/>
  <c r="I16" i="5" s="1"/>
  <c r="G17" i="5"/>
  <c r="K16" i="5"/>
  <c r="Q14" i="5"/>
  <c r="K16" i="4"/>
  <c r="M15" i="5"/>
  <c r="M16" i="4"/>
  <c r="L17" i="5"/>
  <c r="P17" i="5"/>
  <c r="F17" i="5"/>
  <c r="O17" i="5"/>
  <c r="E17" i="5"/>
  <c r="N17" i="5"/>
  <c r="H16" i="5"/>
  <c r="H16" i="4"/>
  <c r="J16" i="4"/>
  <c r="I16" i="4"/>
  <c r="U14" i="5"/>
  <c r="T14" i="5"/>
  <c r="U14" i="4"/>
  <c r="R14" i="4"/>
  <c r="S14" i="4"/>
  <c r="Q14" i="4"/>
  <c r="S14" i="5"/>
  <c r="R14" i="5"/>
  <c r="K17" i="4" l="1"/>
  <c r="J16" i="5"/>
  <c r="K17" i="5" s="1"/>
  <c r="M16" i="5"/>
  <c r="L18" i="5"/>
  <c r="P18" i="5"/>
  <c r="Q15" i="5"/>
  <c r="G18" i="5"/>
  <c r="F18" i="5"/>
  <c r="O18" i="5"/>
  <c r="N18" i="5"/>
  <c r="J17" i="4"/>
  <c r="H17" i="4"/>
  <c r="J17" i="5"/>
  <c r="H17" i="5"/>
  <c r="E18" i="5"/>
  <c r="I17" i="4"/>
  <c r="I17" i="5"/>
  <c r="M17" i="4"/>
  <c r="U15" i="4"/>
  <c r="U15" i="5"/>
  <c r="T15" i="4"/>
  <c r="T15" i="5"/>
  <c r="S15" i="5"/>
  <c r="S15" i="4"/>
  <c r="Q15" i="4"/>
  <c r="R15" i="4"/>
  <c r="R15" i="5"/>
  <c r="R16" i="5" l="1"/>
  <c r="M17" i="5"/>
  <c r="Q17" i="5" s="1"/>
  <c r="Q16" i="5"/>
  <c r="K18" i="5"/>
  <c r="K18" i="4"/>
  <c r="L19" i="5"/>
  <c r="G19" i="5"/>
  <c r="I18" i="5"/>
  <c r="F19" i="5"/>
  <c r="P19" i="5"/>
  <c r="I18" i="4"/>
  <c r="M18" i="4"/>
  <c r="O19" i="5"/>
  <c r="J18" i="4"/>
  <c r="H18" i="4"/>
  <c r="E19" i="5"/>
  <c r="N19" i="5"/>
  <c r="J18" i="5"/>
  <c r="H18" i="5"/>
  <c r="T16" i="5"/>
  <c r="U16" i="5"/>
  <c r="U16" i="4"/>
  <c r="T16" i="4"/>
  <c r="S16" i="5"/>
  <c r="R16" i="4"/>
  <c r="Q16" i="4"/>
  <c r="S16" i="4"/>
  <c r="K19" i="5" l="1"/>
  <c r="M18" i="5"/>
  <c r="Q18" i="5" s="1"/>
  <c r="K19" i="4"/>
  <c r="L20" i="5"/>
  <c r="G20" i="5"/>
  <c r="P20" i="5"/>
  <c r="N20" i="5"/>
  <c r="O20" i="5"/>
  <c r="H19" i="5"/>
  <c r="J19" i="5"/>
  <c r="I19" i="5"/>
  <c r="M19" i="4"/>
  <c r="J19" i="4"/>
  <c r="H19" i="4"/>
  <c r="I19" i="4"/>
  <c r="E20" i="5"/>
  <c r="F20" i="5"/>
  <c r="T17" i="5"/>
  <c r="T17" i="4"/>
  <c r="U17" i="4"/>
  <c r="T18" i="4"/>
  <c r="U18" i="4"/>
  <c r="U17" i="5"/>
  <c r="R17" i="5"/>
  <c r="Q17" i="4"/>
  <c r="R17" i="4"/>
  <c r="S17" i="4"/>
  <c r="S17" i="5"/>
  <c r="R18" i="4"/>
  <c r="S18" i="4"/>
  <c r="K20" i="5" l="1"/>
  <c r="K20" i="4"/>
  <c r="M19" i="5"/>
  <c r="M20" i="5" s="1"/>
  <c r="L21" i="5"/>
  <c r="F21" i="5"/>
  <c r="I20" i="4"/>
  <c r="N21" i="5"/>
  <c r="J20" i="4"/>
  <c r="H20" i="4"/>
  <c r="I20" i="5"/>
  <c r="E21" i="5"/>
  <c r="O21" i="5"/>
  <c r="M20" i="4"/>
  <c r="P21" i="5"/>
  <c r="G21" i="5"/>
  <c r="J20" i="5"/>
  <c r="H20" i="5"/>
  <c r="U18" i="5"/>
  <c r="T19" i="5"/>
  <c r="U19" i="5"/>
  <c r="T18" i="5"/>
  <c r="T19" i="4"/>
  <c r="U19" i="4"/>
  <c r="Q18" i="4"/>
  <c r="S18" i="5"/>
  <c r="R18" i="5"/>
  <c r="R19" i="5"/>
  <c r="R19" i="4"/>
  <c r="S19" i="4"/>
  <c r="S19" i="5"/>
  <c r="Q19" i="4"/>
  <c r="K21" i="5" l="1"/>
  <c r="I21" i="4"/>
  <c r="Q19" i="5"/>
  <c r="G22" i="5"/>
  <c r="K21" i="4"/>
  <c r="P22" i="5"/>
  <c r="F22" i="5"/>
  <c r="M21" i="4"/>
  <c r="Q20" i="5"/>
  <c r="O22" i="5"/>
  <c r="M21" i="5"/>
  <c r="I21" i="5"/>
  <c r="J21" i="4"/>
  <c r="K22" i="4" s="1"/>
  <c r="H21" i="4"/>
  <c r="H21" i="5"/>
  <c r="J21" i="5"/>
  <c r="L22" i="5"/>
  <c r="E22" i="5"/>
  <c r="N22" i="5"/>
  <c r="T20" i="4"/>
  <c r="U20" i="4"/>
  <c r="U20" i="5"/>
  <c r="T20" i="5"/>
  <c r="R20" i="4"/>
  <c r="R20" i="5"/>
  <c r="S20" i="4"/>
  <c r="S20" i="5"/>
  <c r="Q20" i="4"/>
  <c r="K22" i="5" l="1"/>
  <c r="I22" i="4"/>
  <c r="G23" i="5"/>
  <c r="L23" i="5"/>
  <c r="F23" i="5"/>
  <c r="P23" i="5"/>
  <c r="Q21" i="5"/>
  <c r="N23" i="5"/>
  <c r="J22" i="4"/>
  <c r="K23" i="4" s="1"/>
  <c r="H22" i="4"/>
  <c r="I22" i="5"/>
  <c r="E23" i="5"/>
  <c r="H22" i="5"/>
  <c r="J22" i="5"/>
  <c r="M22" i="5"/>
  <c r="M22" i="4"/>
  <c r="O23" i="5"/>
  <c r="T21" i="5"/>
  <c r="U21" i="5"/>
  <c r="U21" i="4"/>
  <c r="T21" i="4"/>
  <c r="R21" i="5"/>
  <c r="R21" i="4"/>
  <c r="S21" i="4"/>
  <c r="S21" i="5"/>
  <c r="Q21" i="4"/>
  <c r="K23" i="5" l="1"/>
  <c r="L24" i="5"/>
  <c r="G24" i="5"/>
  <c r="P24" i="5"/>
  <c r="O24" i="5"/>
  <c r="M23" i="4"/>
  <c r="M23" i="5"/>
  <c r="E24" i="5"/>
  <c r="N24" i="5"/>
  <c r="I23" i="5"/>
  <c r="H23" i="5"/>
  <c r="J23" i="5"/>
  <c r="I23" i="4"/>
  <c r="J23" i="4"/>
  <c r="K24" i="4" s="1"/>
  <c r="H23" i="4"/>
  <c r="Q22" i="5"/>
  <c r="F24" i="5"/>
  <c r="T22" i="4"/>
  <c r="U22" i="4"/>
  <c r="T22" i="5"/>
  <c r="U22" i="5"/>
  <c r="R22" i="4"/>
  <c r="R22" i="5"/>
  <c r="S22" i="4"/>
  <c r="S22" i="5"/>
  <c r="Q22" i="4"/>
  <c r="K24" i="5" l="1"/>
  <c r="L25" i="5"/>
  <c r="F25" i="5"/>
  <c r="M24" i="4"/>
  <c r="Q23" i="5"/>
  <c r="I24" i="4"/>
  <c r="N25" i="5"/>
  <c r="P25" i="5"/>
  <c r="G25" i="5"/>
  <c r="J24" i="4"/>
  <c r="K25" i="4" s="1"/>
  <c r="H24" i="4"/>
  <c r="J24" i="5"/>
  <c r="H24" i="5"/>
  <c r="E25" i="5"/>
  <c r="I24" i="5"/>
  <c r="O25" i="5"/>
  <c r="M24" i="5"/>
  <c r="T23" i="4"/>
  <c r="U23" i="4"/>
  <c r="T23" i="5"/>
  <c r="U23" i="5"/>
  <c r="R23" i="5"/>
  <c r="R23" i="4"/>
  <c r="S23" i="4"/>
  <c r="S23" i="5"/>
  <c r="Q23" i="4"/>
  <c r="K25" i="5" l="1"/>
  <c r="P26" i="5"/>
  <c r="I25" i="5"/>
  <c r="M25" i="5"/>
  <c r="E26" i="5"/>
  <c r="H25" i="4"/>
  <c r="J25" i="4"/>
  <c r="K26" i="4" s="1"/>
  <c r="O26" i="5"/>
  <c r="N26" i="5"/>
  <c r="H25" i="5"/>
  <c r="J25" i="5"/>
  <c r="F26" i="5"/>
  <c r="I25" i="4"/>
  <c r="Q24" i="5"/>
  <c r="G26" i="5"/>
  <c r="L26" i="5"/>
  <c r="M25" i="4"/>
  <c r="T24" i="4"/>
  <c r="U24" i="4"/>
  <c r="U24" i="5"/>
  <c r="T24" i="5"/>
  <c r="R24" i="5"/>
  <c r="R24" i="4"/>
  <c r="S24" i="4"/>
  <c r="S24" i="5"/>
  <c r="Q24" i="4"/>
  <c r="K26" i="5" l="1"/>
  <c r="G27" i="5"/>
  <c r="I26" i="4"/>
  <c r="F27" i="5"/>
  <c r="M26" i="4"/>
  <c r="L27" i="5"/>
  <c r="H26" i="4"/>
  <c r="J26" i="4"/>
  <c r="K27" i="4" s="1"/>
  <c r="H26" i="5"/>
  <c r="J26" i="5"/>
  <c r="Q25" i="5"/>
  <c r="I26" i="5"/>
  <c r="P27" i="5"/>
  <c r="O27" i="5"/>
  <c r="E27" i="5"/>
  <c r="N27" i="5"/>
  <c r="M26" i="5"/>
  <c r="U25" i="4"/>
  <c r="T25" i="4"/>
  <c r="T25" i="5"/>
  <c r="U25" i="5"/>
  <c r="R25" i="5"/>
  <c r="R25" i="4"/>
  <c r="S25" i="4"/>
  <c r="S25" i="5"/>
  <c r="Q25" i="4"/>
  <c r="K27" i="5" l="1"/>
  <c r="L28" i="5"/>
  <c r="P28" i="5"/>
  <c r="G28" i="5"/>
  <c r="I27" i="4"/>
  <c r="M27" i="4"/>
  <c r="I27" i="5"/>
  <c r="Q26" i="5"/>
  <c r="N28" i="5"/>
  <c r="O28" i="5"/>
  <c r="M27" i="5"/>
  <c r="E28" i="5"/>
  <c r="H27" i="5"/>
  <c r="J27" i="5"/>
  <c r="F28" i="5"/>
  <c r="H27" i="4"/>
  <c r="J27" i="4"/>
  <c r="K28" i="4" s="1"/>
  <c r="T26" i="5"/>
  <c r="U26" i="5"/>
  <c r="T26" i="4"/>
  <c r="U26" i="4"/>
  <c r="R26" i="4"/>
  <c r="R26" i="5"/>
  <c r="S26" i="4"/>
  <c r="S26" i="5"/>
  <c r="Q26" i="4"/>
  <c r="K28" i="5" l="1"/>
  <c r="L29" i="5"/>
  <c r="I28" i="5"/>
  <c r="M28" i="4"/>
  <c r="O29" i="5"/>
  <c r="N29" i="5"/>
  <c r="F29" i="5"/>
  <c r="G29" i="5"/>
  <c r="J28" i="5"/>
  <c r="H28" i="5"/>
  <c r="Q27" i="5"/>
  <c r="I28" i="4"/>
  <c r="H28" i="4"/>
  <c r="J28" i="4"/>
  <c r="K29" i="4" s="1"/>
  <c r="E29" i="5"/>
  <c r="P29" i="5"/>
  <c r="M28" i="5"/>
  <c r="T27" i="5"/>
  <c r="U27" i="5"/>
  <c r="T27" i="4"/>
  <c r="U27" i="4"/>
  <c r="R27" i="4"/>
  <c r="R27" i="5"/>
  <c r="S27" i="4"/>
  <c r="S27" i="5"/>
  <c r="Q27" i="4"/>
  <c r="K29" i="5" l="1"/>
  <c r="M29" i="5"/>
  <c r="P30" i="5"/>
  <c r="O30" i="5"/>
  <c r="Q28" i="5"/>
  <c r="F30" i="5"/>
  <c r="J29" i="5"/>
  <c r="H29" i="5"/>
  <c r="N30" i="5"/>
  <c r="J29" i="4"/>
  <c r="K30" i="4" s="1"/>
  <c r="H29" i="4"/>
  <c r="I29" i="5"/>
  <c r="E30" i="5"/>
  <c r="I29" i="4"/>
  <c r="L30" i="5"/>
  <c r="G30" i="5"/>
  <c r="M29" i="4"/>
  <c r="T28" i="4"/>
  <c r="U28" i="4"/>
  <c r="U28" i="5"/>
  <c r="T28" i="5"/>
  <c r="R28" i="5"/>
  <c r="R28" i="4"/>
  <c r="S28" i="4"/>
  <c r="S28" i="5"/>
  <c r="Q28" i="4"/>
  <c r="K30" i="5" l="1"/>
  <c r="P31" i="5"/>
  <c r="I30" i="4"/>
  <c r="Q29" i="5"/>
  <c r="M30" i="4"/>
  <c r="L31" i="5"/>
  <c r="G31" i="5"/>
  <c r="E31" i="5"/>
  <c r="N31" i="5"/>
  <c r="F31" i="5"/>
  <c r="I30" i="5"/>
  <c r="J30" i="5"/>
  <c r="H30" i="5"/>
  <c r="M30" i="5"/>
  <c r="J30" i="4"/>
  <c r="K31" i="4" s="1"/>
  <c r="H30" i="4"/>
  <c r="O31" i="5"/>
  <c r="T29" i="5"/>
  <c r="U29" i="5"/>
  <c r="U29" i="4"/>
  <c r="T29" i="4"/>
  <c r="R29" i="4"/>
  <c r="R29" i="5"/>
  <c r="S29" i="4"/>
  <c r="S29" i="5"/>
  <c r="Q29" i="4"/>
  <c r="K31" i="5" l="1"/>
  <c r="I31" i="4"/>
  <c r="I31" i="5"/>
  <c r="O32" i="5"/>
  <c r="M31" i="5"/>
  <c r="F32" i="5"/>
  <c r="G32" i="5"/>
  <c r="J31" i="4"/>
  <c r="K32" i="4" s="1"/>
  <c r="H31" i="4"/>
  <c r="J31" i="5"/>
  <c r="H31" i="5"/>
  <c r="N32" i="5"/>
  <c r="L32" i="5"/>
  <c r="Q30" i="5"/>
  <c r="M31" i="4"/>
  <c r="E32" i="5"/>
  <c r="P32" i="5"/>
  <c r="T30" i="5"/>
  <c r="U30" i="5"/>
  <c r="T30" i="4"/>
  <c r="U30" i="4"/>
  <c r="R30" i="5"/>
  <c r="R30" i="4"/>
  <c r="S30" i="4"/>
  <c r="S30" i="5"/>
  <c r="Q30" i="4"/>
  <c r="K32" i="5" l="1"/>
  <c r="I32" i="4"/>
  <c r="P33" i="5"/>
  <c r="Q31" i="5"/>
  <c r="G33" i="5"/>
  <c r="M32" i="4"/>
  <c r="M32" i="5"/>
  <c r="E33" i="5"/>
  <c r="F33" i="5"/>
  <c r="I32" i="5"/>
  <c r="L33" i="5"/>
  <c r="J32" i="4"/>
  <c r="K33" i="4" s="1"/>
  <c r="H32" i="4"/>
  <c r="N33" i="5"/>
  <c r="J32" i="5"/>
  <c r="H32" i="5"/>
  <c r="O33" i="5"/>
  <c r="T31" i="5"/>
  <c r="U31" i="5"/>
  <c r="T31" i="4"/>
  <c r="U31" i="4"/>
  <c r="R31" i="5"/>
  <c r="R31" i="4"/>
  <c r="S31" i="4"/>
  <c r="S31" i="5"/>
  <c r="Q31" i="4"/>
  <c r="K33" i="5" l="1"/>
  <c r="G34" i="5"/>
  <c r="L34" i="5"/>
  <c r="M33" i="4"/>
  <c r="F34" i="5"/>
  <c r="Q32" i="5"/>
  <c r="I33" i="4"/>
  <c r="N34" i="5"/>
  <c r="P34" i="5"/>
  <c r="O34" i="5"/>
  <c r="E34" i="5"/>
  <c r="H33" i="5"/>
  <c r="J33" i="5"/>
  <c r="I33" i="5"/>
  <c r="J33" i="4"/>
  <c r="K34" i="4" s="1"/>
  <c r="H33" i="4"/>
  <c r="M33" i="5"/>
  <c r="T32" i="4"/>
  <c r="U32" i="4"/>
  <c r="U32" i="5"/>
  <c r="T32" i="5"/>
  <c r="R32" i="4"/>
  <c r="R32" i="5"/>
  <c r="S32" i="4"/>
  <c r="S32" i="5"/>
  <c r="Q32" i="4"/>
  <c r="K34" i="5" l="1"/>
  <c r="G35" i="5"/>
  <c r="L35" i="5"/>
  <c r="P35" i="5"/>
  <c r="F35" i="5"/>
  <c r="M34" i="5"/>
  <c r="N35" i="5"/>
  <c r="J34" i="5"/>
  <c r="H34" i="5"/>
  <c r="I34" i="5"/>
  <c r="Q33" i="5"/>
  <c r="H34" i="4"/>
  <c r="J34" i="4"/>
  <c r="K35" i="4" s="1"/>
  <c r="I34" i="4"/>
  <c r="O35" i="5"/>
  <c r="E35" i="5"/>
  <c r="M34" i="4"/>
  <c r="T33" i="5"/>
  <c r="U33" i="5"/>
  <c r="U33" i="4"/>
  <c r="T33" i="4"/>
  <c r="R33" i="5"/>
  <c r="R33" i="4"/>
  <c r="S33" i="4"/>
  <c r="S33" i="5"/>
  <c r="Q33" i="4"/>
  <c r="K35" i="5" l="1"/>
  <c r="L36" i="5"/>
  <c r="P36" i="5"/>
  <c r="G36" i="5"/>
  <c r="Q34" i="5"/>
  <c r="M35" i="4"/>
  <c r="E36" i="5"/>
  <c r="J35" i="4"/>
  <c r="K36" i="4" s="1"/>
  <c r="H35" i="4"/>
  <c r="H35" i="5"/>
  <c r="J35" i="5"/>
  <c r="O36" i="5"/>
  <c r="I35" i="4"/>
  <c r="I35" i="5"/>
  <c r="M35" i="5"/>
  <c r="F36" i="5"/>
  <c r="N36" i="5"/>
  <c r="T34" i="4"/>
  <c r="U34" i="4"/>
  <c r="T34" i="5"/>
  <c r="U34" i="5"/>
  <c r="R34" i="4"/>
  <c r="R34" i="5"/>
  <c r="S34" i="4"/>
  <c r="S34" i="5"/>
  <c r="Q34" i="4"/>
  <c r="K36" i="5" l="1"/>
  <c r="I36" i="5"/>
  <c r="Q35" i="5"/>
  <c r="M36" i="5"/>
  <c r="J36" i="5"/>
  <c r="H36" i="5"/>
  <c r="I36" i="4"/>
  <c r="J36" i="4"/>
  <c r="H36" i="4"/>
  <c r="M36" i="4"/>
  <c r="T35" i="4"/>
  <c r="U35" i="4"/>
  <c r="T35" i="5"/>
  <c r="U35" i="5"/>
  <c r="R35" i="5"/>
  <c r="R35" i="4"/>
  <c r="S35" i="4"/>
  <c r="S35" i="5"/>
  <c r="Q35" i="4"/>
  <c r="Q36" i="5" l="1"/>
  <c r="U36" i="5"/>
  <c r="U38" i="5" s="1"/>
  <c r="L21" i="6" s="1"/>
  <c r="T36" i="5"/>
  <c r="T38" i="5" s="1"/>
  <c r="K21" i="6" s="1"/>
  <c r="T36" i="4"/>
  <c r="T38" i="4" s="1"/>
  <c r="K20" i="6" s="1"/>
  <c r="U36" i="4"/>
  <c r="U38" i="4" s="1"/>
  <c r="L20" i="6" s="1"/>
  <c r="R36" i="5"/>
  <c r="R38" i="5" s="1"/>
  <c r="R36" i="4"/>
  <c r="R38" i="4" s="1"/>
  <c r="S36" i="4"/>
  <c r="S38" i="4" s="1"/>
  <c r="S36" i="5"/>
  <c r="S38" i="5" s="1"/>
  <c r="Q36" i="4"/>
  <c r="K22" i="6" l="1"/>
  <c r="L22" i="6"/>
  <c r="F21" i="6"/>
  <c r="AR4" i="10"/>
  <c r="F20" i="6"/>
  <c r="AP4" i="10"/>
  <c r="E20" i="6"/>
  <c r="AO4" i="10"/>
  <c r="E21" i="6"/>
  <c r="AQ4" i="10"/>
  <c r="K25" i="6" l="1"/>
  <c r="AS4" i="10"/>
  <c r="AT4" i="10"/>
  <c r="E22" i="6"/>
  <c r="F22" i="6"/>
  <c r="E25" i="6" l="1"/>
  <c r="W3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Chung Au Yeung</author>
  </authors>
  <commentList>
    <comment ref="B3" authorId="0" shapeId="0" xr:uid="{ED3D87E4-0824-6B4E-B66C-DE296381C946}">
      <text>
        <r>
          <rPr>
            <b/>
            <sz val="10"/>
            <color rgb="FF000000"/>
            <rFont val="Microsoft JhengHei UI"/>
            <charset val="1"/>
          </rPr>
          <t>Chung Au Yeung:</t>
        </r>
        <r>
          <rPr>
            <sz val="10"/>
            <color rgb="FF000000"/>
            <rFont val="Microsoft JhengHei UI"/>
            <charset val="1"/>
          </rPr>
          <t xml:space="preserve">
</t>
        </r>
        <r>
          <rPr>
            <sz val="10"/>
            <color rgb="FF000000"/>
            <rFont val="Microsoft JhengHei UI"/>
            <charset val="1"/>
          </rPr>
          <t xml:space="preserve">This cell is linked to spreedsheet "Deterministic results" for the box of choosing gender
</t>
        </r>
      </text>
    </comment>
    <comment ref="D3" authorId="0" shapeId="0" xr:uid="{C0DC25CA-4526-2240-AACA-63EDB2086D57}">
      <text>
        <r>
          <rPr>
            <b/>
            <sz val="10"/>
            <color rgb="FF000000"/>
            <rFont val="Microsoft JhengHei UI"/>
            <charset val="1"/>
          </rPr>
          <t>Chung Au Yeung:</t>
        </r>
        <r>
          <rPr>
            <sz val="10"/>
            <color rgb="FF000000"/>
            <rFont val="Microsoft JhengHei UI"/>
            <charset val="1"/>
          </rPr>
          <t xml:space="preserve">
</t>
        </r>
        <r>
          <rPr>
            <sz val="10"/>
            <color rgb="FF000000"/>
            <rFont val="Microsoft JhengHei UI"/>
            <charset val="1"/>
          </rPr>
          <t xml:space="preserve">D3=0 for deterministic analysis; D3=1 for Probabilistic analysis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Chung Au Yeung</author>
  </authors>
  <commentList>
    <comment ref="B9" authorId="0" shapeId="0" xr:uid="{CA5DC329-30CF-CE4A-88AB-D4999143EC06}">
      <text>
        <r>
          <rPr>
            <b/>
            <sz val="10"/>
            <color rgb="FF000000"/>
            <rFont val="Microsoft JhengHei UI"/>
            <charset val="1"/>
          </rPr>
          <t>Chung Au Yeung:</t>
        </r>
        <r>
          <rPr>
            <sz val="10"/>
            <color rgb="FF000000"/>
            <rFont val="Microsoft JhengHei UI"/>
            <charset val="1"/>
          </rPr>
          <t xml:space="preserve">
</t>
        </r>
        <r>
          <rPr>
            <sz val="10"/>
            <color rgb="FF000000"/>
            <rFont val="Microsoft JhengHei UI"/>
            <charset val="1"/>
          </rPr>
          <t xml:space="preserve">The source of this data provides only the range of the value. </t>
        </r>
      </text>
    </comment>
  </commentList>
</comments>
</file>

<file path=xl/sharedStrings.xml><?xml version="1.0" encoding="utf-8"?>
<sst xmlns="http://schemas.openxmlformats.org/spreadsheetml/2006/main" count="461" uniqueCount="220">
  <si>
    <t>Parameters of the model</t>
    <phoneticPr fontId="1" type="noConversion"/>
  </si>
  <si>
    <t>Name</t>
    <phoneticPr fontId="1" type="noConversion"/>
  </si>
  <si>
    <t>cDR</t>
    <phoneticPr fontId="1" type="noConversion"/>
  </si>
  <si>
    <t>oDR</t>
    <phoneticPr fontId="1" type="noConversion"/>
  </si>
  <si>
    <t>Cost discount rate</t>
    <phoneticPr fontId="1" type="noConversion"/>
  </si>
  <si>
    <t>QALY discount rate</t>
    <phoneticPr fontId="1" type="noConversion"/>
  </si>
  <si>
    <t>Value</t>
    <phoneticPr fontId="1" type="noConversion"/>
  </si>
  <si>
    <t>Description</t>
    <phoneticPr fontId="1" type="noConversion"/>
  </si>
  <si>
    <t>From</t>
    <phoneticPr fontId="1" type="noConversion"/>
  </si>
  <si>
    <t>mild</t>
    <phoneticPr fontId="1" type="noConversion"/>
  </si>
  <si>
    <t>moderate</t>
    <phoneticPr fontId="1" type="noConversion"/>
  </si>
  <si>
    <t>compensated</t>
    <phoneticPr fontId="1" type="noConversion"/>
  </si>
  <si>
    <t>decompensated</t>
    <phoneticPr fontId="1" type="noConversion"/>
  </si>
  <si>
    <t>LT</t>
    <phoneticPr fontId="1" type="noConversion"/>
  </si>
  <si>
    <t>HCC</t>
    <phoneticPr fontId="1" type="noConversion"/>
  </si>
  <si>
    <t>To</t>
    <phoneticPr fontId="1" type="noConversion"/>
  </si>
  <si>
    <t>SOF+RBV</t>
    <phoneticPr fontId="1" type="noConversion"/>
  </si>
  <si>
    <t>PR treatment</t>
    <phoneticPr fontId="1" type="noConversion"/>
  </si>
  <si>
    <t xml:space="preserve">From </t>
    <phoneticPr fontId="1" type="noConversion"/>
  </si>
  <si>
    <t xml:space="preserve">moderate </t>
    <phoneticPr fontId="1" type="noConversion"/>
  </si>
  <si>
    <t xml:space="preserve">compensated </t>
    <phoneticPr fontId="1" type="noConversion"/>
  </si>
  <si>
    <t xml:space="preserve">mild </t>
    <phoneticPr fontId="1" type="noConversion"/>
  </si>
  <si>
    <t>liver-related dealth</t>
    <phoneticPr fontId="1" type="noConversion"/>
  </si>
  <si>
    <t>liver transplant</t>
    <phoneticPr fontId="1" type="noConversion"/>
  </si>
  <si>
    <t>Treatment efficacy (in probability)</t>
    <phoneticPr fontId="1" type="noConversion"/>
  </si>
  <si>
    <t>Liver transaplant</t>
    <phoneticPr fontId="1" type="noConversion"/>
  </si>
  <si>
    <t>Transition probabilty values (annual)</t>
    <phoneticPr fontId="1" type="noConversion"/>
  </si>
  <si>
    <t>post Liver transplant</t>
    <phoneticPr fontId="1" type="noConversion"/>
  </si>
  <si>
    <t>(Grieve et al. (2006). Cost-effectiveness of interferon alpha or peginterferon alpha with ribarvirin for histological mild chronic hepatitis C.</t>
    <phoneticPr fontId="1" type="noConversion"/>
  </si>
  <si>
    <t>Source</t>
    <phoneticPr fontId="1" type="noConversion"/>
  </si>
  <si>
    <t>Grieve et al.(2006)</t>
    <phoneticPr fontId="1" type="noConversion"/>
  </si>
  <si>
    <t>Utility of Markov states per cycle</t>
    <phoneticPr fontId="1" type="noConversion"/>
  </si>
  <si>
    <t>tpMi2Mo</t>
    <phoneticPr fontId="1" type="noConversion"/>
  </si>
  <si>
    <t>tpMo2Com</t>
    <phoneticPr fontId="1" type="noConversion"/>
  </si>
  <si>
    <t>tpCom2Decom</t>
    <phoneticPr fontId="1" type="noConversion"/>
  </si>
  <si>
    <t>tpCom2HCC</t>
    <phoneticPr fontId="1" type="noConversion"/>
  </si>
  <si>
    <t>tpDecom2HCC</t>
    <phoneticPr fontId="1" type="noConversion"/>
  </si>
  <si>
    <t>tpDecom2LT</t>
    <phoneticPr fontId="1" type="noConversion"/>
  </si>
  <si>
    <t>tpDecom2LRD</t>
    <phoneticPr fontId="1" type="noConversion"/>
  </si>
  <si>
    <t>tpHCC2LT</t>
    <phoneticPr fontId="1" type="noConversion"/>
  </si>
  <si>
    <t>tpHCC2LRD</t>
    <phoneticPr fontId="1" type="noConversion"/>
  </si>
  <si>
    <t>tpLT2LRD</t>
    <phoneticPr fontId="1" type="noConversion"/>
  </si>
  <si>
    <t>tpPLT2LRD</t>
    <phoneticPr fontId="1" type="noConversion"/>
  </si>
  <si>
    <t>Age</t>
    <phoneticPr fontId="1" type="noConversion"/>
  </si>
  <si>
    <t>Male</t>
    <phoneticPr fontId="1" type="noConversion"/>
  </si>
  <si>
    <t>Female</t>
    <phoneticPr fontId="1" type="noConversion"/>
  </si>
  <si>
    <t>Yearly transitions probability by ag and sex</t>
    <phoneticPr fontId="1" type="noConversion"/>
  </si>
  <si>
    <t>male</t>
    <phoneticPr fontId="1" type="noConversion"/>
  </si>
  <si>
    <t>Sex indicator (0 for female, 1 for male)</t>
  </si>
  <si>
    <t>this is the mortality rate between age x and (x+1). That is, the probabilty that a person ages x exactly will die before reaching age (x+1)</t>
    <phoneticPr fontId="1" type="noConversion"/>
  </si>
  <si>
    <t xml:space="preserve">Mortality rates </t>
    <phoneticPr fontId="1" type="noConversion"/>
  </si>
  <si>
    <t>Source: UK national life table 2017-2019 (latest update)</t>
    <phoneticPr fontId="1" type="noConversion"/>
  </si>
  <si>
    <t>Cycle</t>
  </si>
  <si>
    <t xml:space="preserve">Model for PR treatment </t>
    <phoneticPr fontId="1" type="noConversion"/>
  </si>
  <si>
    <t>mortality rate</t>
    <phoneticPr fontId="1" type="noConversion"/>
  </si>
  <si>
    <t xml:space="preserve">Model for DAA treatment </t>
    <phoneticPr fontId="1" type="noConversion"/>
  </si>
  <si>
    <t>Diagrammatic representation of the Markov Model</t>
    <phoneticPr fontId="1" type="noConversion"/>
  </si>
  <si>
    <t>States of the model in the represented by the ovals, transitions between states represented by the arrows</t>
  </si>
  <si>
    <t>Mild</t>
    <phoneticPr fontId="1" type="noConversion"/>
  </si>
  <si>
    <t xml:space="preserve">Moderate </t>
    <phoneticPr fontId="1" type="noConversion"/>
  </si>
  <si>
    <t>Decompensated</t>
    <phoneticPr fontId="1" type="noConversion"/>
  </si>
  <si>
    <t>PLT</t>
    <phoneticPr fontId="1" type="noConversion"/>
  </si>
  <si>
    <t>LRD</t>
    <phoneticPr fontId="1" type="noConversion"/>
  </si>
  <si>
    <t>All -causeDealth</t>
    <phoneticPr fontId="1" type="noConversion"/>
  </si>
  <si>
    <t>Checks</t>
    <phoneticPr fontId="1" type="noConversion"/>
  </si>
  <si>
    <t>Cost</t>
    <phoneticPr fontId="1" type="noConversion"/>
  </si>
  <si>
    <t>QALYs</t>
    <phoneticPr fontId="1" type="noConversion"/>
  </si>
  <si>
    <t>uMild</t>
    <phoneticPr fontId="1" type="noConversion"/>
  </si>
  <si>
    <t>uModerate</t>
    <phoneticPr fontId="1" type="noConversion"/>
  </si>
  <si>
    <t>uCom</t>
    <phoneticPr fontId="1" type="noConversion"/>
  </si>
  <si>
    <t>uDecom</t>
    <phoneticPr fontId="1" type="noConversion"/>
  </si>
  <si>
    <t>uHCC</t>
    <phoneticPr fontId="1" type="noConversion"/>
  </si>
  <si>
    <t>uLT</t>
    <phoneticPr fontId="1" type="noConversion"/>
  </si>
  <si>
    <t>uPLT</t>
    <phoneticPr fontId="1" type="noConversion"/>
  </si>
  <si>
    <t>SVRmo</t>
    <phoneticPr fontId="1" type="noConversion"/>
  </si>
  <si>
    <t>SVRmi</t>
    <phoneticPr fontId="1" type="noConversion"/>
  </si>
  <si>
    <t>SVRcc</t>
    <phoneticPr fontId="1" type="noConversion"/>
  </si>
  <si>
    <t>tpSRcc2Decom</t>
    <phoneticPr fontId="1" type="noConversion"/>
  </si>
  <si>
    <t>uSVRmi</t>
    <phoneticPr fontId="1" type="noConversion"/>
  </si>
  <si>
    <t>uSVRmo</t>
    <phoneticPr fontId="1" type="noConversion"/>
  </si>
  <si>
    <t>uSVRcc</t>
    <phoneticPr fontId="1" type="noConversion"/>
  </si>
  <si>
    <t>Martin et al.(2016)</t>
    <phoneticPr fontId="1" type="noConversion"/>
  </si>
  <si>
    <t>source</t>
    <phoneticPr fontId="1" type="noConversion"/>
  </si>
  <si>
    <t>p(48weeks)</t>
    <phoneticPr fontId="1" type="noConversion"/>
  </si>
  <si>
    <t>rate</t>
    <phoneticPr fontId="1" type="noConversion"/>
  </si>
  <si>
    <t>Bruno et al.(2010)</t>
    <phoneticPr fontId="1" type="noConversion"/>
  </si>
  <si>
    <t>Utility score for having mild HCV</t>
    <phoneticPr fontId="1" type="noConversion"/>
  </si>
  <si>
    <t>Utility score for having moderate HCV</t>
    <phoneticPr fontId="1" type="noConversion"/>
  </si>
  <si>
    <t xml:space="preserve">Utility score for having compensated cirrhosis </t>
    <phoneticPr fontId="1" type="noConversion"/>
  </si>
  <si>
    <t xml:space="preserve">Utility score for having decompensated cirrhosis </t>
    <phoneticPr fontId="1" type="noConversion"/>
  </si>
  <si>
    <t>Utility score for having HCC</t>
    <phoneticPr fontId="1" type="noConversion"/>
  </si>
  <si>
    <t>Utility score for having Liver Transplant</t>
    <phoneticPr fontId="1" type="noConversion"/>
  </si>
  <si>
    <t>Utility score for having Post Liver Transplant</t>
    <phoneticPr fontId="1" type="noConversion"/>
  </si>
  <si>
    <t>Utility score for achieving SVR from mild HCV</t>
    <phoneticPr fontId="1" type="noConversion"/>
  </si>
  <si>
    <t>Utility score for achieving SVR from moderate HCV</t>
    <phoneticPr fontId="1" type="noConversion"/>
  </si>
  <si>
    <t>Utility score for achieving SVR from compensated cirrhosis</t>
    <phoneticPr fontId="1" type="noConversion"/>
  </si>
  <si>
    <t>All-cause Dealth</t>
    <phoneticPr fontId="1" type="noConversion"/>
  </si>
  <si>
    <t>daaSVRmi</t>
    <phoneticPr fontId="1" type="noConversion"/>
  </si>
  <si>
    <t>daaSVRmo</t>
    <phoneticPr fontId="1" type="noConversion"/>
  </si>
  <si>
    <t>daaSVRcc</t>
    <phoneticPr fontId="1" type="noConversion"/>
  </si>
  <si>
    <t>prSVRmi</t>
    <phoneticPr fontId="1" type="noConversion"/>
  </si>
  <si>
    <t>prSVRmo</t>
    <phoneticPr fontId="1" type="noConversion"/>
  </si>
  <si>
    <t>prSVRcc</t>
    <phoneticPr fontId="1" type="noConversion"/>
  </si>
  <si>
    <t>tpLT2PLT</t>
    <phoneticPr fontId="1" type="noConversion"/>
  </si>
  <si>
    <t xml:space="preserve">peginterferon alfa-2a plus ribavirin treatment </t>
    <phoneticPr fontId="1" type="noConversion"/>
  </si>
  <si>
    <t>DAA treatment(12 weeks treatment)</t>
    <phoneticPr fontId="1" type="noConversion"/>
  </si>
  <si>
    <t>Interferon Treatment(48 weeks treatment)</t>
    <phoneticPr fontId="1" type="noConversion"/>
  </si>
  <si>
    <t>SVR= no HCV virus detected in blood 12 weeks after treatment</t>
    <phoneticPr fontId="1" type="noConversion"/>
  </si>
  <si>
    <t>WHO(2016)</t>
    <phoneticPr fontId="1" type="noConversion"/>
  </si>
  <si>
    <t>DAAqalys</t>
    <phoneticPr fontId="1" type="noConversion"/>
  </si>
  <si>
    <t>Prqalys</t>
    <phoneticPr fontId="1" type="noConversion"/>
  </si>
  <si>
    <t>Resource Cost parameters (health care perspective)</t>
    <phoneticPr fontId="1" type="noConversion"/>
  </si>
  <si>
    <t xml:space="preserve">Health States Costs </t>
    <phoneticPr fontId="1" type="noConversion"/>
  </si>
  <si>
    <t>cMild</t>
    <phoneticPr fontId="1" type="noConversion"/>
  </si>
  <si>
    <t>cModerate</t>
    <phoneticPr fontId="1" type="noConversion"/>
  </si>
  <si>
    <t>cHCC</t>
    <phoneticPr fontId="1" type="noConversion"/>
  </si>
  <si>
    <t>cLT</t>
    <phoneticPr fontId="1" type="noConversion"/>
  </si>
  <si>
    <t>cPLT</t>
    <phoneticPr fontId="1" type="noConversion"/>
  </si>
  <si>
    <t>States</t>
    <phoneticPr fontId="1" type="noConversion"/>
  </si>
  <si>
    <t>NHS Hepatitis C HTA report</t>
  </si>
  <si>
    <t>NHS Hepatitis C HTA report</t>
    <phoneticPr fontId="1" type="noConversion"/>
  </si>
  <si>
    <t>Cost(2003/2004)</t>
    <phoneticPr fontId="1" type="noConversion"/>
  </si>
  <si>
    <t>Adjusted Cost(2020)</t>
    <phoneticPr fontId="1" type="noConversion"/>
  </si>
  <si>
    <t>Costs are adjusted by CPI from Office of National Statistics</t>
    <phoneticPr fontId="1" type="noConversion"/>
  </si>
  <si>
    <t xml:space="preserve">Intervention Cost </t>
    <phoneticPr fontId="1" type="noConversion"/>
  </si>
  <si>
    <t>DAA</t>
    <phoneticPr fontId="1" type="noConversion"/>
  </si>
  <si>
    <t>PR (48 weeks cost)</t>
    <phoneticPr fontId="1" type="noConversion"/>
  </si>
  <si>
    <t>peginterferon alfa-2a +RBV</t>
    <phoneticPr fontId="1" type="noConversion"/>
  </si>
  <si>
    <t>Cost(2005)</t>
    <phoneticPr fontId="1" type="noConversion"/>
  </si>
  <si>
    <t>CPI (05 to 20)</t>
    <phoneticPr fontId="1" type="noConversion"/>
  </si>
  <si>
    <t>SVR(all)</t>
    <phoneticPr fontId="1" type="noConversion"/>
  </si>
  <si>
    <t>Sofosbuvir</t>
    <phoneticPr fontId="1" type="noConversion"/>
  </si>
  <si>
    <t>Cost(2014)</t>
    <phoneticPr fontId="1" type="noConversion"/>
  </si>
  <si>
    <t xml:space="preserve">RBV </t>
    <phoneticPr fontId="1" type="noConversion"/>
  </si>
  <si>
    <t>1000mg per day</t>
    <phoneticPr fontId="1" type="noConversion"/>
  </si>
  <si>
    <t>Osunusi et al. (2013), NHS Hepatitis C HTA report</t>
    <phoneticPr fontId="1" type="noConversion"/>
  </si>
  <si>
    <t>https://jamanetwork.com/journals/jama/fullarticle/1733720</t>
  </si>
  <si>
    <t>NICE 2015</t>
    <phoneticPr fontId="1" type="noConversion"/>
  </si>
  <si>
    <t>CPI (14 to 20)</t>
    <phoneticPr fontId="1" type="noConversion"/>
  </si>
  <si>
    <t>Cost (2005)</t>
    <phoneticPr fontId="1" type="noConversion"/>
  </si>
  <si>
    <t>cDAA</t>
    <phoneticPr fontId="1" type="noConversion"/>
  </si>
  <si>
    <t>cPR</t>
    <phoneticPr fontId="1" type="noConversion"/>
  </si>
  <si>
    <t>cCom</t>
    <phoneticPr fontId="1" type="noConversion"/>
  </si>
  <si>
    <t>cDecom</t>
    <phoneticPr fontId="1" type="noConversion"/>
  </si>
  <si>
    <t>cSVR</t>
    <phoneticPr fontId="1" type="noConversion"/>
  </si>
  <si>
    <t>Prcosts</t>
    <phoneticPr fontId="1" type="noConversion"/>
  </si>
  <si>
    <t>DAAcosts</t>
    <phoneticPr fontId="1" type="noConversion"/>
  </si>
  <si>
    <t>p(12 weeks)</t>
    <phoneticPr fontId="1" type="noConversion"/>
  </si>
  <si>
    <t>Treatment</t>
    <phoneticPr fontId="1" type="noConversion"/>
  </si>
  <si>
    <t>Cost</t>
  </si>
  <si>
    <t>QALYs</t>
  </si>
  <si>
    <t>PR</t>
    <phoneticPr fontId="1" type="noConversion"/>
  </si>
  <si>
    <t>difference</t>
  </si>
  <si>
    <t>ICERs:</t>
  </si>
  <si>
    <t>DAAvPR</t>
    <phoneticPr fontId="1" type="noConversion"/>
  </si>
  <si>
    <t>per QALY</t>
  </si>
  <si>
    <t>Patient age</t>
    <phoneticPr fontId="1" type="noConversion"/>
  </si>
  <si>
    <t>Enter the age of patient</t>
    <phoneticPr fontId="1" type="noConversion"/>
  </si>
  <si>
    <t>Results</t>
    <phoneticPr fontId="1" type="noConversion"/>
  </si>
  <si>
    <t>Distribution of model parameters</t>
    <phoneticPr fontId="1" type="noConversion"/>
  </si>
  <si>
    <t>Base Value</t>
    <phoneticPr fontId="1" type="noConversion"/>
  </si>
  <si>
    <t>Standard Error</t>
    <phoneticPr fontId="1" type="noConversion"/>
  </si>
  <si>
    <t>m(1-m)</t>
    <phoneticPr fontId="1" type="noConversion"/>
  </si>
  <si>
    <t>a+b+1</t>
    <phoneticPr fontId="1" type="noConversion"/>
  </si>
  <si>
    <t>a+b</t>
    <phoneticPr fontId="1" type="noConversion"/>
  </si>
  <si>
    <t>a</t>
    <phoneticPr fontId="1" type="noConversion"/>
  </si>
  <si>
    <t>b</t>
    <phoneticPr fontId="1" type="noConversion"/>
  </si>
  <si>
    <t>it depends on the value of tpLT2LRD</t>
    <phoneticPr fontId="1" type="noConversion"/>
  </si>
  <si>
    <t>Shepard J et al. (2007)</t>
    <phoneticPr fontId="1" type="noConversion"/>
  </si>
  <si>
    <t>N/A</t>
    <phoneticPr fontId="1" type="noConversion"/>
  </si>
  <si>
    <t>SD</t>
    <phoneticPr fontId="1" type="noConversion"/>
  </si>
  <si>
    <t>Var</t>
    <phoneticPr fontId="1" type="noConversion"/>
  </si>
  <si>
    <t xml:space="preserve">min </t>
    <phoneticPr fontId="1" type="noConversion"/>
  </si>
  <si>
    <t>max</t>
    <phoneticPr fontId="1" type="noConversion"/>
  </si>
  <si>
    <t>https://www.ncbi.nlm.nih.gov/pmc/articles/PMC3404694/</t>
    <phoneticPr fontId="1" type="noConversion"/>
  </si>
  <si>
    <t>Coffin, P.O. et al. (2012)</t>
    <phoneticPr fontId="1" type="noConversion"/>
  </si>
  <si>
    <t>Health States Costs (Gamma distribution)</t>
    <phoneticPr fontId="1" type="noConversion"/>
  </si>
  <si>
    <t>Cost(2002/2003)</t>
    <phoneticPr fontId="1" type="noConversion"/>
  </si>
  <si>
    <t>CPI (02 to 20)</t>
    <phoneticPr fontId="1" type="noConversion"/>
  </si>
  <si>
    <t>Liver transaplant care</t>
    <phoneticPr fontId="1" type="noConversion"/>
  </si>
  <si>
    <t>cLTC</t>
    <phoneticPr fontId="1" type="noConversion"/>
  </si>
  <si>
    <t>(a and b are given from literature)</t>
    <phoneticPr fontId="1" type="noConversion"/>
  </si>
  <si>
    <t>(a and b are all given from literature)</t>
    <phoneticPr fontId="1" type="noConversion"/>
  </si>
  <si>
    <t>Transition probabilities (Beta Distribution)</t>
    <phoneticPr fontId="1" type="noConversion"/>
  </si>
  <si>
    <t>r(event of interest)</t>
    <phoneticPr fontId="1" type="noConversion"/>
  </si>
  <si>
    <t>n(sample size)</t>
    <phoneticPr fontId="1" type="noConversion"/>
  </si>
  <si>
    <t>Utility of Markov states per cycle(beta distribution)</t>
    <phoneticPr fontId="1" type="noConversion"/>
  </si>
  <si>
    <t>deterministic value</t>
    <phoneticPr fontId="1" type="noConversion"/>
  </si>
  <si>
    <t>Live Value</t>
    <phoneticPr fontId="1" type="noConversion"/>
  </si>
  <si>
    <t>Adjusted Live Cost(2020)</t>
    <phoneticPr fontId="1" type="noConversion"/>
  </si>
  <si>
    <t>Ajusted deterministed cost(2020)</t>
    <phoneticPr fontId="1" type="noConversion"/>
  </si>
  <si>
    <t>Probablistic adjusted cost(2020)</t>
    <phoneticPr fontId="1" type="noConversion"/>
  </si>
  <si>
    <t>Trial</t>
    <phoneticPr fontId="1" type="noConversion"/>
  </si>
  <si>
    <t xml:space="preserve">Transition probabilities </t>
    <phoneticPr fontId="1" type="noConversion"/>
  </si>
  <si>
    <t>prSVEcc</t>
    <phoneticPr fontId="1" type="noConversion"/>
  </si>
  <si>
    <t>Treatment Efficacy</t>
    <phoneticPr fontId="1" type="noConversion"/>
  </si>
  <si>
    <t>Health Utility</t>
    <phoneticPr fontId="1" type="noConversion"/>
  </si>
  <si>
    <t>Health States Costs</t>
    <phoneticPr fontId="1" type="noConversion"/>
  </si>
  <si>
    <t>p(48weeks+24weeks follow-up)</t>
    <phoneticPr fontId="1" type="noConversion"/>
  </si>
  <si>
    <t>cohort profile with age over 40</t>
    <phoneticPr fontId="1" type="noConversion"/>
  </si>
  <si>
    <t>QALYS</t>
    <phoneticPr fontId="1" type="noConversion"/>
  </si>
  <si>
    <t xml:space="preserve">PR Treatment </t>
    <phoneticPr fontId="1" type="noConversion"/>
  </si>
  <si>
    <t>DAA Treatment</t>
    <phoneticPr fontId="1" type="noConversion"/>
  </si>
  <si>
    <t>Cost-effectivness results</t>
    <phoneticPr fontId="1" type="noConversion"/>
  </si>
  <si>
    <t>PR Treatment</t>
    <phoneticPr fontId="1" type="noConversion"/>
  </si>
  <si>
    <t xml:space="preserve">Base case : 45 years old men </t>
    <phoneticPr fontId="1" type="noConversion"/>
  </si>
  <si>
    <t>Incremental</t>
    <phoneticPr fontId="1" type="noConversion"/>
  </si>
  <si>
    <t>Net Monetary benefits</t>
    <phoneticPr fontId="1" type="noConversion"/>
  </si>
  <si>
    <t>ceiling ratio</t>
    <phoneticPr fontId="1" type="noConversion"/>
  </si>
  <si>
    <t>Cost-effective?</t>
    <phoneticPr fontId="1" type="noConversion"/>
  </si>
  <si>
    <t>Ceiling ratio</t>
    <phoneticPr fontId="1" type="noConversion"/>
  </si>
  <si>
    <t>Acceptability Curve</t>
    <phoneticPr fontId="1" type="noConversion"/>
  </si>
  <si>
    <t>Probabilistic</t>
    <phoneticPr fontId="1" type="noConversion"/>
  </si>
  <si>
    <t xml:space="preserve"> </t>
  </si>
  <si>
    <t>Dicounted Cost</t>
  </si>
  <si>
    <t>Discounted QALYs</t>
  </si>
  <si>
    <t>Qalys</t>
  </si>
  <si>
    <t>Discounted Cost</t>
  </si>
  <si>
    <t>Results(Discounted)</t>
  </si>
  <si>
    <t>Results(undiscounted)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</si>
</sst>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0.000000"/>
    <numFmt numFmtId="166" formatCode="0.0"/>
    <numFmt numFmtId="167" formatCode="0.0000000"/>
    <numFmt numFmtId="168" formatCode="0.0000"/>
    <numFmt numFmtId="169" formatCode="_-[$£-809]* #,##0.00_-;\-[$£-809]* #,##0.00_-;_-[$£-809]* &quot;-&quot;??_-;_-@_-"/>
    <numFmt numFmtId="170" formatCode="_-&quot;£&quot;* #,##0_-;\-&quot;£&quot;* #,##0_-;_-&quot;£&quot;* &quot;-&quot;??_-;_-@_-"/>
    <numFmt numFmtId="171" formatCode="0.000"/>
    <numFmt numFmtId="172" formatCode="0.000_ "/>
  </numFmts>
  <fonts count="37" x14ac:knownFonts="1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b/>
      <sz val="12"/>
      <color theme="4" tint="-0.249977111117893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sz val="12"/>
      <color theme="4" tint="-0.249977111117893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Times New Roman"/>
      <family val="1"/>
    </font>
    <font>
      <sz val="12"/>
      <color theme="1"/>
      <name val="Calibri"/>
      <family val="1"/>
      <charset val="136"/>
      <scheme val="minor"/>
    </font>
    <font>
      <sz val="12"/>
      <color rgb="FFFF0000"/>
      <name val="Arial"/>
      <family val="2"/>
    </font>
    <font>
      <sz val="12"/>
      <color theme="9" tint="-0.499984740745262"/>
      <name val="Arial"/>
      <family val="2"/>
    </font>
    <font>
      <b/>
      <sz val="26"/>
      <color theme="1"/>
      <name val="Arial"/>
      <family val="2"/>
    </font>
    <font>
      <sz val="14"/>
      <color rgb="FF000000"/>
      <name val="Arial"/>
      <family val="2"/>
    </font>
    <font>
      <b/>
      <sz val="18"/>
      <color theme="4" tint="-0.249977111117893"/>
      <name val="Arial"/>
      <family val="2"/>
    </font>
    <font>
      <b/>
      <sz val="12"/>
      <color theme="4" tint="-0.249977111117893"/>
      <name val="Calibri"/>
      <family val="2"/>
      <charset val="136"/>
      <scheme val="minor"/>
    </font>
    <font>
      <i/>
      <sz val="12"/>
      <color theme="4" tint="-0.249977111117893"/>
      <name val="Arial"/>
      <family val="2"/>
    </font>
    <font>
      <i/>
      <sz val="12"/>
      <color theme="1"/>
      <name val="Calibri"/>
      <family val="2"/>
      <charset val="136"/>
      <scheme val="minor"/>
    </font>
    <font>
      <b/>
      <sz val="14"/>
      <color theme="4" tint="-0.249977111117893"/>
      <name val="Arial"/>
      <family val="2"/>
    </font>
    <font>
      <sz val="12"/>
      <color rgb="FF1C1D1E"/>
      <name val="Arial"/>
      <family val="2"/>
    </font>
    <font>
      <b/>
      <u/>
      <sz val="12"/>
      <color theme="1"/>
      <name val="Arial"/>
      <family val="2"/>
    </font>
    <font>
      <b/>
      <sz val="12"/>
      <name val="Arial"/>
      <family val="2"/>
    </font>
    <font>
      <sz val="13"/>
      <color rgb="FF000000"/>
      <name val="Lucida Grande"/>
      <family val="2"/>
    </font>
    <font>
      <b/>
      <sz val="12"/>
      <color theme="2"/>
      <name val="Arial"/>
      <family val="2"/>
    </font>
    <font>
      <b/>
      <sz val="12"/>
      <color rgb="FFFFFFFF"/>
      <name val="Arial"/>
      <family val="2"/>
    </font>
    <font>
      <sz val="10"/>
      <color rgb="FF000000"/>
      <name val="Microsoft JhengHei UI"/>
      <charset val="1"/>
    </font>
    <font>
      <b/>
      <sz val="10"/>
      <color rgb="FF000000"/>
      <name val="Microsoft JhengHei UI"/>
      <charset val="1"/>
    </font>
    <font>
      <b/>
      <sz val="12"/>
      <color theme="8" tint="-0.249977111117893"/>
      <name val="Arial"/>
      <family val="2"/>
    </font>
    <font>
      <b/>
      <u/>
      <sz val="12"/>
      <color theme="4" tint="-0.249977111117893"/>
      <name val="Arial"/>
      <family val="2"/>
    </font>
    <font>
      <sz val="12"/>
      <color rgb="FF002060"/>
      <name val="Arial"/>
      <family val="2"/>
    </font>
    <font>
      <u/>
      <sz val="12"/>
      <color theme="10"/>
      <name val="Calibri"/>
      <family val="2"/>
      <charset val="136"/>
      <scheme val="minor"/>
    </font>
    <font>
      <sz val="12"/>
      <color rgb="FF000000"/>
      <name val="Arial"/>
      <family val="2"/>
    </font>
    <font>
      <sz val="12"/>
      <color rgb="FF006100"/>
      <name val="Calibri"/>
      <family val="2"/>
      <charset val="136"/>
      <scheme val="minor"/>
    </font>
    <font>
      <sz val="12"/>
      <color rgb="FF7030A0"/>
      <name val="Arial"/>
      <family val="2"/>
    </font>
    <font>
      <sz val="18"/>
      <color theme="1"/>
      <name val="Calibri"/>
      <family val="2"/>
      <charset val="136"/>
      <scheme val="minor"/>
    </font>
    <font>
      <sz val="18"/>
      <color theme="1"/>
      <name val="Calibri"/>
      <family val="1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164" fontId="4" fillId="0" borderId="0" applyFont="0" applyFill="0" applyBorder="0" applyAlignment="0" applyProtection="0">
      <alignment vertical="center"/>
    </xf>
    <xf numFmtId="0" fontId="4" fillId="2" borderId="1" applyNumberFormat="0" applyFon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0" xfId="0" applyAlignment="1"/>
    <xf numFmtId="166" fontId="0" fillId="0" borderId="0" xfId="0" applyNumberFormat="1" applyAlignment="1"/>
    <xf numFmtId="0" fontId="3" fillId="0" borderId="0" xfId="0" applyFont="1" applyAlignment="1"/>
    <xf numFmtId="165" fontId="3" fillId="0" borderId="0" xfId="0" applyNumberFormat="1" applyFont="1" applyAlignment="1"/>
    <xf numFmtId="0" fontId="13" fillId="0" borderId="0" xfId="0" applyFont="1">
      <alignment vertical="center"/>
    </xf>
    <xf numFmtId="0" fontId="3" fillId="2" borderId="1" xfId="2" applyFo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7" fillId="0" borderId="2" xfId="0" applyFont="1" applyBorder="1">
      <alignment vertical="center"/>
    </xf>
    <xf numFmtId="0" fontId="0" fillId="2" borderId="1" xfId="2" applyFont="1">
      <alignment vertical="center"/>
    </xf>
    <xf numFmtId="9" fontId="3" fillId="0" borderId="0" xfId="0" applyNumberFormat="1" applyFont="1">
      <alignment vertical="center"/>
    </xf>
    <xf numFmtId="2" fontId="3" fillId="2" borderId="1" xfId="2" applyNumberFormat="1" applyFont="1">
      <alignment vertical="center"/>
    </xf>
    <xf numFmtId="0" fontId="2" fillId="0" borderId="0" xfId="0" applyFont="1" applyFill="1" applyBorder="1">
      <alignment vertical="center"/>
    </xf>
    <xf numFmtId="10" fontId="3" fillId="2" borderId="1" xfId="2" applyNumberFormat="1" applyFont="1">
      <alignment vertical="center"/>
    </xf>
    <xf numFmtId="0" fontId="7" fillId="0" borderId="2" xfId="0" applyFont="1" applyFill="1" applyBorder="1">
      <alignment vertical="center"/>
    </xf>
    <xf numFmtId="0" fontId="19" fillId="0" borderId="0" xfId="0" applyFont="1" applyAlignment="1">
      <alignment horizontal="left" vertical="center"/>
    </xf>
    <xf numFmtId="167" fontId="3" fillId="2" borderId="1" xfId="2" applyNumberFormat="1" applyFont="1">
      <alignment vertical="center"/>
    </xf>
    <xf numFmtId="165" fontId="3" fillId="2" borderId="1" xfId="2" applyNumberFormat="1" applyFont="1">
      <alignment vertical="center"/>
    </xf>
    <xf numFmtId="168" fontId="3" fillId="2" borderId="1" xfId="2" applyNumberFormat="1" applyFont="1">
      <alignment vertical="center"/>
    </xf>
    <xf numFmtId="169" fontId="3" fillId="0" borderId="0" xfId="1" applyNumberFormat="1" applyFont="1">
      <alignment vertical="center"/>
    </xf>
    <xf numFmtId="169" fontId="3" fillId="0" borderId="0" xfId="0" applyNumberFormat="1" applyFont="1">
      <alignment vertical="center"/>
    </xf>
    <xf numFmtId="0" fontId="20" fillId="0" borderId="0" xfId="0" applyFont="1">
      <alignment vertical="center"/>
    </xf>
    <xf numFmtId="169" fontId="3" fillId="2" borderId="1" xfId="2" applyNumberFormat="1" applyFont="1">
      <alignment vertical="center"/>
    </xf>
    <xf numFmtId="0" fontId="21" fillId="0" borderId="0" xfId="0" applyFont="1">
      <alignment vertical="center"/>
    </xf>
    <xf numFmtId="0" fontId="3" fillId="2" borderId="0" xfId="2" applyFont="1" applyBorder="1">
      <alignment vertical="center"/>
    </xf>
    <xf numFmtId="0" fontId="22" fillId="0" borderId="0" xfId="0" applyFont="1" applyAlignment="1"/>
    <xf numFmtId="0" fontId="0" fillId="3" borderId="0" xfId="0" applyFill="1" applyAlignment="1"/>
    <xf numFmtId="0" fontId="0" fillId="4" borderId="0" xfId="0" applyFill="1" applyAlignment="1"/>
    <xf numFmtId="0" fontId="0" fillId="4" borderId="0" xfId="0" applyFill="1" applyAlignment="1">
      <alignment horizontal="right"/>
    </xf>
    <xf numFmtId="170" fontId="0" fillId="5" borderId="3" xfId="1" applyNumberFormat="1" applyFont="1" applyFill="1" applyBorder="1" applyAlignment="1">
      <alignment horizontal="right"/>
    </xf>
    <xf numFmtId="2" fontId="0" fillId="5" borderId="3" xfId="0" applyNumberFormat="1" applyFill="1" applyBorder="1" applyAlignment="1">
      <alignment horizontal="right"/>
    </xf>
    <xf numFmtId="2" fontId="0" fillId="4" borderId="0" xfId="0" applyNumberFormat="1" applyFill="1" applyAlignment="1"/>
    <xf numFmtId="170" fontId="0" fillId="4" borderId="0" xfId="1" applyNumberFormat="1" applyFont="1" applyFill="1" applyBorder="1" applyAlignment="1">
      <alignment horizontal="right"/>
    </xf>
    <xf numFmtId="2" fontId="0" fillId="4" borderId="0" xfId="0" applyNumberFormat="1" applyFill="1" applyAlignment="1">
      <alignment horizontal="right"/>
    </xf>
    <xf numFmtId="170" fontId="0" fillId="4" borderId="0" xfId="1" applyNumberFormat="1" applyFont="1" applyFill="1" applyBorder="1" applyAlignment="1"/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24" fillId="8" borderId="0" xfId="0" applyFont="1" applyFill="1">
      <alignment vertical="center"/>
    </xf>
    <xf numFmtId="0" fontId="3" fillId="8" borderId="0" xfId="0" applyFont="1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3" fillId="9" borderId="0" xfId="0" applyFont="1" applyFill="1">
      <alignment vertical="center"/>
    </xf>
    <xf numFmtId="0" fontId="25" fillId="3" borderId="0" xfId="0" applyFont="1" applyFill="1" applyAlignment="1"/>
    <xf numFmtId="0" fontId="28" fillId="0" borderId="0" xfId="0" applyFont="1">
      <alignment vertical="center"/>
    </xf>
    <xf numFmtId="0" fontId="29" fillId="0" borderId="0" xfId="0" applyFont="1">
      <alignment vertical="center"/>
    </xf>
    <xf numFmtId="171" fontId="3" fillId="2" borderId="1" xfId="2" applyNumberFormat="1" applyFont="1">
      <alignment vertical="center"/>
    </xf>
    <xf numFmtId="172" fontId="3" fillId="0" borderId="0" xfId="0" applyNumberFormat="1" applyFont="1" applyAlignment="1">
      <alignment horizontal="right" vertical="center"/>
    </xf>
    <xf numFmtId="0" fontId="30" fillId="0" borderId="0" xfId="0" applyFont="1">
      <alignment vertical="center"/>
    </xf>
    <xf numFmtId="0" fontId="31" fillId="0" borderId="0" xfId="3" applyAlignment="1">
      <alignment horizontal="left" vertical="center"/>
    </xf>
    <xf numFmtId="168" fontId="3" fillId="0" borderId="0" xfId="0" applyNumberFormat="1" applyFont="1">
      <alignment vertical="center"/>
    </xf>
    <xf numFmtId="0" fontId="3" fillId="0" borderId="0" xfId="0" applyFont="1" applyAlignment="1">
      <alignment horizontal="right" vertical="center"/>
    </xf>
    <xf numFmtId="0" fontId="2" fillId="0" borderId="4" xfId="0" applyFont="1" applyBorder="1">
      <alignment vertical="center"/>
    </xf>
    <xf numFmtId="168" fontId="12" fillId="0" borderId="0" xfId="0" applyNumberFormat="1" applyFont="1">
      <alignment vertical="center"/>
    </xf>
    <xf numFmtId="0" fontId="32" fillId="0" borderId="0" xfId="0" applyFont="1">
      <alignment vertical="center"/>
    </xf>
    <xf numFmtId="0" fontId="3" fillId="0" borderId="0" xfId="0" applyNumberFormat="1" applyFont="1">
      <alignment vertical="center"/>
    </xf>
    <xf numFmtId="1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6" fillId="0" borderId="0" xfId="0" applyFont="1" applyBorder="1">
      <alignment vertical="center"/>
    </xf>
    <xf numFmtId="0" fontId="34" fillId="0" borderId="0" xfId="0" applyFont="1">
      <alignment vertical="center"/>
    </xf>
    <xf numFmtId="0" fontId="3" fillId="2" borderId="6" xfId="2" applyFont="1" applyBorder="1">
      <alignment vertical="center"/>
    </xf>
    <xf numFmtId="2" fontId="3" fillId="2" borderId="6" xfId="2" applyNumberFormat="1" applyFont="1" applyBorder="1">
      <alignment vertical="center"/>
    </xf>
    <xf numFmtId="0" fontId="25" fillId="11" borderId="0" xfId="0" applyFont="1" applyFill="1" applyAlignment="1"/>
    <xf numFmtId="0" fontId="0" fillId="11" borderId="0" xfId="0" applyFill="1" applyAlignment="1"/>
    <xf numFmtId="0" fontId="0" fillId="12" borderId="0" xfId="0" applyFill="1" applyAlignment="1"/>
    <xf numFmtId="0" fontId="0" fillId="12" borderId="0" xfId="0" applyFill="1" applyAlignment="1">
      <alignment horizontal="right"/>
    </xf>
    <xf numFmtId="2" fontId="0" fillId="12" borderId="0" xfId="0" applyNumberFormat="1" applyFill="1" applyAlignment="1"/>
    <xf numFmtId="170" fontId="0" fillId="12" borderId="0" xfId="1" applyNumberFormat="1" applyFont="1" applyFill="1" applyBorder="1" applyAlignment="1">
      <alignment horizontal="right"/>
    </xf>
    <xf numFmtId="2" fontId="0" fillId="12" borderId="0" xfId="0" applyNumberFormat="1" applyFill="1" applyAlignment="1">
      <alignment horizontal="right"/>
    </xf>
    <xf numFmtId="170" fontId="0" fillId="12" borderId="0" xfId="1" applyNumberFormat="1" applyFont="1" applyFill="1" applyBorder="1" applyAlignment="1"/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0" fillId="0" borderId="4" xfId="0" applyBorder="1">
      <alignment vertical="center"/>
    </xf>
    <xf numFmtId="0" fontId="33" fillId="10" borderId="4" xfId="4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>
      <alignment vertical="center"/>
    </xf>
    <xf numFmtId="0" fontId="7" fillId="0" borderId="0" xfId="0" applyFont="1" applyFill="1" applyBorder="1">
      <alignment vertical="center"/>
    </xf>
  </cellXfs>
  <cellStyles count="5">
    <cellStyle name="Currency" xfId="1" builtinId="4"/>
    <cellStyle name="Good" xfId="4" builtinId="26"/>
    <cellStyle name="Hyperlink" xfId="3" builtinId="8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BAFF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altLang="zh-TW" b="1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Probabilistic</a:t>
            </a:r>
            <a:r>
              <a:rPr lang="en-US" altLang="zh-TW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Sensitivity Analysis</a:t>
            </a:r>
          </a:p>
          <a:p>
            <a:pPr>
              <a:defRPr b="1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TW" altLang="en-US" b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2047686577201828"/>
          <c:y val="3.8214164222729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27004099256307"/>
          <c:y val="0.14460233297985156"/>
          <c:w val="0.78363913299735777"/>
          <c:h val="0.7065004467230567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PSA!$AT$5:$AT$1004</c:f>
              <c:numCache>
                <c:formatCode>General</c:formatCode>
                <c:ptCount val="1000"/>
                <c:pt idx="0">
                  <c:v>0.23399185759808994</c:v>
                </c:pt>
                <c:pt idx="1">
                  <c:v>0.19858146859366599</c:v>
                </c:pt>
                <c:pt idx="2">
                  <c:v>0.20086215075424185</c:v>
                </c:pt>
                <c:pt idx="3">
                  <c:v>8.5964460417862654E-2</c:v>
                </c:pt>
                <c:pt idx="4">
                  <c:v>0.3420078254570651</c:v>
                </c:pt>
                <c:pt idx="5">
                  <c:v>0.12709604794136453</c:v>
                </c:pt>
                <c:pt idx="6">
                  <c:v>0.2553199711170997</c:v>
                </c:pt>
                <c:pt idx="7">
                  <c:v>0.12567961377662762</c:v>
                </c:pt>
                <c:pt idx="8">
                  <c:v>0.19646991719511497</c:v>
                </c:pt>
                <c:pt idx="9">
                  <c:v>0.13432131241738432</c:v>
                </c:pt>
                <c:pt idx="10">
                  <c:v>0.2317828357969649</c:v>
                </c:pt>
                <c:pt idx="11">
                  <c:v>0.2126809927858222</c:v>
                </c:pt>
                <c:pt idx="12">
                  <c:v>0.19607045813729407</c:v>
                </c:pt>
                <c:pt idx="13">
                  <c:v>0.18175479159028995</c:v>
                </c:pt>
                <c:pt idx="14">
                  <c:v>0.15324245287925642</c:v>
                </c:pt>
                <c:pt idx="15">
                  <c:v>0.28460521459442667</c:v>
                </c:pt>
                <c:pt idx="16">
                  <c:v>0.15875458430300959</c:v>
                </c:pt>
                <c:pt idx="17">
                  <c:v>0.11536610979431394</c:v>
                </c:pt>
                <c:pt idx="18">
                  <c:v>0.19268838253618803</c:v>
                </c:pt>
                <c:pt idx="19">
                  <c:v>0.36041656780181341</c:v>
                </c:pt>
                <c:pt idx="20">
                  <c:v>0.24639191898912927</c:v>
                </c:pt>
                <c:pt idx="21">
                  <c:v>0.18819002130276274</c:v>
                </c:pt>
                <c:pt idx="22">
                  <c:v>0.21544542966894653</c:v>
                </c:pt>
                <c:pt idx="23">
                  <c:v>0.17449700871143747</c:v>
                </c:pt>
                <c:pt idx="24">
                  <c:v>0.16461809591808496</c:v>
                </c:pt>
                <c:pt idx="25">
                  <c:v>0.15648072452089856</c:v>
                </c:pt>
                <c:pt idx="26">
                  <c:v>0.2111048739781296</c:v>
                </c:pt>
                <c:pt idx="27">
                  <c:v>0.20915656132509675</c:v>
                </c:pt>
                <c:pt idx="28">
                  <c:v>0.2440280775203405</c:v>
                </c:pt>
                <c:pt idx="29">
                  <c:v>0.21002781617450061</c:v>
                </c:pt>
                <c:pt idx="30">
                  <c:v>0.18854984603492575</c:v>
                </c:pt>
                <c:pt idx="31">
                  <c:v>0.15734786400343559</c:v>
                </c:pt>
                <c:pt idx="32">
                  <c:v>8.8216247157433259E-2</c:v>
                </c:pt>
                <c:pt idx="33">
                  <c:v>0.17088626224420445</c:v>
                </c:pt>
                <c:pt idx="34">
                  <c:v>0.1907997008750506</c:v>
                </c:pt>
                <c:pt idx="35">
                  <c:v>0.11217283709116366</c:v>
                </c:pt>
                <c:pt idx="36">
                  <c:v>0.11253365698548912</c:v>
                </c:pt>
                <c:pt idx="37">
                  <c:v>0.26569434091112498</c:v>
                </c:pt>
                <c:pt idx="38">
                  <c:v>0.19189800209202268</c:v>
                </c:pt>
                <c:pt idx="39">
                  <c:v>0.17695053367236291</c:v>
                </c:pt>
                <c:pt idx="40">
                  <c:v>8.6944539411218713E-2</c:v>
                </c:pt>
                <c:pt idx="41">
                  <c:v>0.10617500375585287</c:v>
                </c:pt>
                <c:pt idx="42">
                  <c:v>0.18097585960122231</c:v>
                </c:pt>
                <c:pt idx="43">
                  <c:v>0.29681961590683059</c:v>
                </c:pt>
                <c:pt idx="44">
                  <c:v>0.20434775474451961</c:v>
                </c:pt>
                <c:pt idx="45">
                  <c:v>0.16081427675958082</c:v>
                </c:pt>
                <c:pt idx="46">
                  <c:v>0.20992984670245107</c:v>
                </c:pt>
                <c:pt idx="47">
                  <c:v>0.19666938028898073</c:v>
                </c:pt>
                <c:pt idx="48">
                  <c:v>0.18754309142793169</c:v>
                </c:pt>
                <c:pt idx="49">
                  <c:v>0.29988737597112269</c:v>
                </c:pt>
                <c:pt idx="50">
                  <c:v>6.9864808660081934E-2</c:v>
                </c:pt>
                <c:pt idx="51">
                  <c:v>0.21926698205925099</c:v>
                </c:pt>
                <c:pt idx="52">
                  <c:v>0.23086194050420161</c:v>
                </c:pt>
                <c:pt idx="53">
                  <c:v>0.18648279164673731</c:v>
                </c:pt>
                <c:pt idx="54">
                  <c:v>0.1333148925051848</c:v>
                </c:pt>
                <c:pt idx="55">
                  <c:v>0.20601879253754163</c:v>
                </c:pt>
                <c:pt idx="56">
                  <c:v>0.25553838940448514</c:v>
                </c:pt>
                <c:pt idx="57">
                  <c:v>0.22844035689855602</c:v>
                </c:pt>
                <c:pt idx="58">
                  <c:v>0.34552439346665409</c:v>
                </c:pt>
                <c:pt idx="59">
                  <c:v>0.27643348450655303</c:v>
                </c:pt>
                <c:pt idx="60">
                  <c:v>0.13013752010539648</c:v>
                </c:pt>
                <c:pt idx="61">
                  <c:v>0.21380420592157812</c:v>
                </c:pt>
                <c:pt idx="62">
                  <c:v>0.34257305927042125</c:v>
                </c:pt>
                <c:pt idx="63">
                  <c:v>0.17760398470076311</c:v>
                </c:pt>
                <c:pt idx="64">
                  <c:v>0.28129509240601536</c:v>
                </c:pt>
                <c:pt idx="65">
                  <c:v>0.15320642257703909</c:v>
                </c:pt>
                <c:pt idx="66">
                  <c:v>0.22372668659102679</c:v>
                </c:pt>
                <c:pt idx="67">
                  <c:v>0.1338975275443719</c:v>
                </c:pt>
                <c:pt idx="68">
                  <c:v>0.15122029727524477</c:v>
                </c:pt>
                <c:pt idx="69">
                  <c:v>0.19313698154500614</c:v>
                </c:pt>
                <c:pt idx="70">
                  <c:v>0.16936192215901791</c:v>
                </c:pt>
                <c:pt idx="71">
                  <c:v>0.13703728135077853</c:v>
                </c:pt>
                <c:pt idx="72">
                  <c:v>0.23557136093375775</c:v>
                </c:pt>
                <c:pt idx="73">
                  <c:v>7.3923587790101664E-2</c:v>
                </c:pt>
                <c:pt idx="74">
                  <c:v>0.25452154168874941</c:v>
                </c:pt>
                <c:pt idx="75">
                  <c:v>0.31669470481242712</c:v>
                </c:pt>
                <c:pt idx="76">
                  <c:v>0.13685583325367823</c:v>
                </c:pt>
                <c:pt idx="77">
                  <c:v>0.13143749101621083</c:v>
                </c:pt>
                <c:pt idx="78">
                  <c:v>0.11012597208995345</c:v>
                </c:pt>
                <c:pt idx="79">
                  <c:v>0.15037432369612524</c:v>
                </c:pt>
                <c:pt idx="80">
                  <c:v>0.31449685277560135</c:v>
                </c:pt>
                <c:pt idx="81">
                  <c:v>9.7481787521221719E-2</c:v>
                </c:pt>
                <c:pt idx="82">
                  <c:v>0.29149391475380071</c:v>
                </c:pt>
                <c:pt idx="83">
                  <c:v>0.20267228704407536</c:v>
                </c:pt>
                <c:pt idx="84">
                  <c:v>0.19106296125755584</c:v>
                </c:pt>
                <c:pt idx="85">
                  <c:v>0.22644390535915804</c:v>
                </c:pt>
                <c:pt idx="86">
                  <c:v>0.14873492925123522</c:v>
                </c:pt>
                <c:pt idx="87">
                  <c:v>0.13488021671624928</c:v>
                </c:pt>
                <c:pt idx="88">
                  <c:v>0.19254035255507596</c:v>
                </c:pt>
                <c:pt idx="89">
                  <c:v>0.16416864383255891</c:v>
                </c:pt>
                <c:pt idx="90">
                  <c:v>0.18312429469017921</c:v>
                </c:pt>
                <c:pt idx="91">
                  <c:v>0.21243586981263185</c:v>
                </c:pt>
                <c:pt idx="92">
                  <c:v>0.19090730943571899</c:v>
                </c:pt>
                <c:pt idx="93">
                  <c:v>0.32180075049121193</c:v>
                </c:pt>
                <c:pt idx="94">
                  <c:v>0.29858124616262316</c:v>
                </c:pt>
                <c:pt idx="95">
                  <c:v>0.26850964901074903</c:v>
                </c:pt>
                <c:pt idx="96">
                  <c:v>9.5536225443243694E-2</c:v>
                </c:pt>
                <c:pt idx="97">
                  <c:v>0.24314825781281613</c:v>
                </c:pt>
                <c:pt idx="98">
                  <c:v>0.1999510414520973</c:v>
                </c:pt>
                <c:pt idx="99">
                  <c:v>0.29020094430390664</c:v>
                </c:pt>
                <c:pt idx="100">
                  <c:v>0.12484841369540511</c:v>
                </c:pt>
                <c:pt idx="101">
                  <c:v>0.19888027536762998</c:v>
                </c:pt>
                <c:pt idx="102">
                  <c:v>0.19012585792773073</c:v>
                </c:pt>
                <c:pt idx="103">
                  <c:v>9.2299612350768001E-2</c:v>
                </c:pt>
                <c:pt idx="104">
                  <c:v>0.23636034616544244</c:v>
                </c:pt>
                <c:pt idx="105">
                  <c:v>0.25138693171987114</c:v>
                </c:pt>
                <c:pt idx="106">
                  <c:v>0.20501317916384387</c:v>
                </c:pt>
                <c:pt idx="107">
                  <c:v>0.23903851234092777</c:v>
                </c:pt>
                <c:pt idx="108">
                  <c:v>0.14278324732031322</c:v>
                </c:pt>
                <c:pt idx="109">
                  <c:v>0.15387558074071706</c:v>
                </c:pt>
                <c:pt idx="110">
                  <c:v>0.20202362954392683</c:v>
                </c:pt>
                <c:pt idx="111">
                  <c:v>0.17042330873880296</c:v>
                </c:pt>
                <c:pt idx="112">
                  <c:v>0.1676234089798605</c:v>
                </c:pt>
                <c:pt idx="113">
                  <c:v>0.22048233914690307</c:v>
                </c:pt>
                <c:pt idx="114">
                  <c:v>0.26331045759437188</c:v>
                </c:pt>
                <c:pt idx="115">
                  <c:v>0.13915243088197293</c:v>
                </c:pt>
                <c:pt idx="116">
                  <c:v>0.18927216801897906</c:v>
                </c:pt>
                <c:pt idx="117">
                  <c:v>0.32579238431437396</c:v>
                </c:pt>
                <c:pt idx="118">
                  <c:v>0.27052590907809027</c:v>
                </c:pt>
                <c:pt idx="119">
                  <c:v>0.21124898995615737</c:v>
                </c:pt>
                <c:pt idx="120">
                  <c:v>0.11158313847949408</c:v>
                </c:pt>
                <c:pt idx="121">
                  <c:v>0.2675743520328826</c:v>
                </c:pt>
                <c:pt idx="122">
                  <c:v>0.22450740537153102</c:v>
                </c:pt>
                <c:pt idx="123">
                  <c:v>0.19545680766338336</c:v>
                </c:pt>
                <c:pt idx="124">
                  <c:v>0.14331365049856082</c:v>
                </c:pt>
                <c:pt idx="125">
                  <c:v>0.20582022607198347</c:v>
                </c:pt>
                <c:pt idx="126">
                  <c:v>0.28945324678376139</c:v>
                </c:pt>
                <c:pt idx="127">
                  <c:v>0.12059911418126212</c:v>
                </c:pt>
                <c:pt idx="128">
                  <c:v>0.22942701716275593</c:v>
                </c:pt>
                <c:pt idx="129">
                  <c:v>0.22051507696155959</c:v>
                </c:pt>
                <c:pt idx="130">
                  <c:v>0.15709970399671747</c:v>
                </c:pt>
                <c:pt idx="131">
                  <c:v>0.19624693917234914</c:v>
                </c:pt>
                <c:pt idx="132">
                  <c:v>0.24913348466439977</c:v>
                </c:pt>
                <c:pt idx="133">
                  <c:v>0.2457740274530309</c:v>
                </c:pt>
                <c:pt idx="134">
                  <c:v>0.22189268212793145</c:v>
                </c:pt>
                <c:pt idx="135">
                  <c:v>9.1463556875281071E-2</c:v>
                </c:pt>
                <c:pt idx="136">
                  <c:v>6.407471326811276E-2</c:v>
                </c:pt>
                <c:pt idx="137">
                  <c:v>0.13182849465245461</c:v>
                </c:pt>
                <c:pt idx="138">
                  <c:v>0.25012099262290199</c:v>
                </c:pt>
                <c:pt idx="139">
                  <c:v>0.18356243031422537</c:v>
                </c:pt>
                <c:pt idx="140">
                  <c:v>0.25248746814180834</c:v>
                </c:pt>
                <c:pt idx="141">
                  <c:v>0.16733465080795007</c:v>
                </c:pt>
                <c:pt idx="142">
                  <c:v>0.17560073908646601</c:v>
                </c:pt>
                <c:pt idx="143">
                  <c:v>0.17448910238042714</c:v>
                </c:pt>
                <c:pt idx="144">
                  <c:v>0.26165796673009112</c:v>
                </c:pt>
                <c:pt idx="145">
                  <c:v>0.19667199247084532</c:v>
                </c:pt>
                <c:pt idx="146">
                  <c:v>0.21427466880187573</c:v>
                </c:pt>
                <c:pt idx="147">
                  <c:v>0.20850692689013606</c:v>
                </c:pt>
                <c:pt idx="148">
                  <c:v>0.30494570637487506</c:v>
                </c:pt>
                <c:pt idx="149">
                  <c:v>7.6907122938289163E-2</c:v>
                </c:pt>
                <c:pt idx="150">
                  <c:v>0.16047020621932617</c:v>
                </c:pt>
                <c:pt idx="151">
                  <c:v>0.23848169847389755</c:v>
                </c:pt>
                <c:pt idx="152">
                  <c:v>0.20998118227870677</c:v>
                </c:pt>
                <c:pt idx="153">
                  <c:v>0.21395056951746305</c:v>
                </c:pt>
                <c:pt idx="154">
                  <c:v>0.25039110931946773</c:v>
                </c:pt>
                <c:pt idx="155">
                  <c:v>0.26569681317473126</c:v>
                </c:pt>
                <c:pt idx="156">
                  <c:v>0.19695418501631679</c:v>
                </c:pt>
                <c:pt idx="157">
                  <c:v>0.24298409806830357</c:v>
                </c:pt>
                <c:pt idx="158">
                  <c:v>0.15220107672062078</c:v>
                </c:pt>
                <c:pt idx="159">
                  <c:v>0.32035295052531865</c:v>
                </c:pt>
                <c:pt idx="160">
                  <c:v>0.22483482950124944</c:v>
                </c:pt>
                <c:pt idx="161">
                  <c:v>0.11520806149781393</c:v>
                </c:pt>
                <c:pt idx="162">
                  <c:v>0.23579793646265834</c:v>
                </c:pt>
                <c:pt idx="163">
                  <c:v>0.2428546920836876</c:v>
                </c:pt>
                <c:pt idx="164">
                  <c:v>0.14119474978504698</c:v>
                </c:pt>
                <c:pt idx="165">
                  <c:v>0.17097266474011441</c:v>
                </c:pt>
                <c:pt idx="166">
                  <c:v>0.21136542099465316</c:v>
                </c:pt>
                <c:pt idx="167">
                  <c:v>0.20305996527231152</c:v>
                </c:pt>
                <c:pt idx="168">
                  <c:v>0.11906611382891974</c:v>
                </c:pt>
                <c:pt idx="169">
                  <c:v>0.21172348758724979</c:v>
                </c:pt>
                <c:pt idx="170">
                  <c:v>0.15092877882159961</c:v>
                </c:pt>
                <c:pt idx="171">
                  <c:v>0.15326193158802148</c:v>
                </c:pt>
                <c:pt idx="172">
                  <c:v>0.27935676946813004</c:v>
                </c:pt>
                <c:pt idx="173">
                  <c:v>0.26460409949471497</c:v>
                </c:pt>
                <c:pt idx="174">
                  <c:v>0.13881153928836198</c:v>
                </c:pt>
                <c:pt idx="175">
                  <c:v>0.37974353765786262</c:v>
                </c:pt>
                <c:pt idx="176">
                  <c:v>0.18233852846882037</c:v>
                </c:pt>
                <c:pt idx="177">
                  <c:v>0.21422634698156706</c:v>
                </c:pt>
                <c:pt idx="178">
                  <c:v>0.12016643993537812</c:v>
                </c:pt>
                <c:pt idx="179">
                  <c:v>0.10522552080625402</c:v>
                </c:pt>
                <c:pt idx="180">
                  <c:v>0.19687979076070938</c:v>
                </c:pt>
                <c:pt idx="181">
                  <c:v>0.14510811114092093</c:v>
                </c:pt>
                <c:pt idx="182">
                  <c:v>0.26583342597629311</c:v>
                </c:pt>
                <c:pt idx="183">
                  <c:v>0.18123455356243667</c:v>
                </c:pt>
                <c:pt idx="184">
                  <c:v>0.19664891787891925</c:v>
                </c:pt>
                <c:pt idx="185">
                  <c:v>0.15778660223561936</c:v>
                </c:pt>
                <c:pt idx="186">
                  <c:v>0.16813322269282516</c:v>
                </c:pt>
                <c:pt idx="187">
                  <c:v>0.19971793114696013</c:v>
                </c:pt>
                <c:pt idx="188">
                  <c:v>0.17077503235407576</c:v>
                </c:pt>
                <c:pt idx="189">
                  <c:v>0.24428989661702971</c:v>
                </c:pt>
                <c:pt idx="190">
                  <c:v>0.142851432573881</c:v>
                </c:pt>
                <c:pt idx="191">
                  <c:v>0.24326686338401515</c:v>
                </c:pt>
                <c:pt idx="192">
                  <c:v>0.13664767509980713</c:v>
                </c:pt>
                <c:pt idx="193">
                  <c:v>3.9907806817483404E-2</c:v>
                </c:pt>
                <c:pt idx="194">
                  <c:v>0.13041724878615923</c:v>
                </c:pt>
                <c:pt idx="195">
                  <c:v>0.22256111027069103</c:v>
                </c:pt>
                <c:pt idx="196">
                  <c:v>0.12367628685406906</c:v>
                </c:pt>
                <c:pt idx="197">
                  <c:v>0.17904521440970633</c:v>
                </c:pt>
                <c:pt idx="198">
                  <c:v>0.2695571141403299</c:v>
                </c:pt>
                <c:pt idx="199">
                  <c:v>0.26462749091479409</c:v>
                </c:pt>
                <c:pt idx="200">
                  <c:v>0.24901377951722026</c:v>
                </c:pt>
                <c:pt idx="201">
                  <c:v>0.19275435744268243</c:v>
                </c:pt>
                <c:pt idx="202">
                  <c:v>0.14929696265183168</c:v>
                </c:pt>
                <c:pt idx="203">
                  <c:v>0.28673588419374596</c:v>
                </c:pt>
                <c:pt idx="204">
                  <c:v>0.21938596985220649</c:v>
                </c:pt>
                <c:pt idx="205">
                  <c:v>0.1664396549515228</c:v>
                </c:pt>
                <c:pt idx="206">
                  <c:v>0.22048642181125544</c:v>
                </c:pt>
                <c:pt idx="207">
                  <c:v>0.18626204053179407</c:v>
                </c:pt>
                <c:pt idx="208">
                  <c:v>0.36423073973454123</c:v>
                </c:pt>
                <c:pt idx="209">
                  <c:v>0.18420262640817953</c:v>
                </c:pt>
                <c:pt idx="210">
                  <c:v>0.16351885583452841</c:v>
                </c:pt>
                <c:pt idx="211">
                  <c:v>0.13050410088614761</c:v>
                </c:pt>
                <c:pt idx="212">
                  <c:v>0.19878844715033495</c:v>
                </c:pt>
                <c:pt idx="213">
                  <c:v>0.2147548898488747</c:v>
                </c:pt>
                <c:pt idx="214">
                  <c:v>0.22251684807696392</c:v>
                </c:pt>
                <c:pt idx="215">
                  <c:v>0.21429735804258954</c:v>
                </c:pt>
                <c:pt idx="216">
                  <c:v>0.31133345226048625</c:v>
                </c:pt>
                <c:pt idx="217">
                  <c:v>0.14802268576953992</c:v>
                </c:pt>
                <c:pt idx="218">
                  <c:v>0.16696817437213163</c:v>
                </c:pt>
                <c:pt idx="219">
                  <c:v>0.14575858705460121</c:v>
                </c:pt>
                <c:pt idx="220">
                  <c:v>0.13231710009194053</c:v>
                </c:pt>
                <c:pt idx="221">
                  <c:v>0.17936947107618728</c:v>
                </c:pt>
                <c:pt idx="222">
                  <c:v>0.14909279391738472</c:v>
                </c:pt>
                <c:pt idx="223">
                  <c:v>0.26277660060089403</c:v>
                </c:pt>
                <c:pt idx="224">
                  <c:v>0.15691971361660961</c:v>
                </c:pt>
                <c:pt idx="225">
                  <c:v>0.23640437963558725</c:v>
                </c:pt>
                <c:pt idx="226">
                  <c:v>0.33480336353573747</c:v>
                </c:pt>
                <c:pt idx="227">
                  <c:v>0.24254887164733496</c:v>
                </c:pt>
                <c:pt idx="228">
                  <c:v>9.3720877091627131E-2</c:v>
                </c:pt>
                <c:pt idx="229">
                  <c:v>0.21620270411345111</c:v>
                </c:pt>
                <c:pt idx="230">
                  <c:v>0.24414374012179785</c:v>
                </c:pt>
                <c:pt idx="231">
                  <c:v>0.2099191360490007</c:v>
                </c:pt>
                <c:pt idx="232">
                  <c:v>0.16417497820780014</c:v>
                </c:pt>
                <c:pt idx="233">
                  <c:v>0.10829893166077476</c:v>
                </c:pt>
                <c:pt idx="234">
                  <c:v>0.13686374230133858</c:v>
                </c:pt>
                <c:pt idx="235">
                  <c:v>0.13801023147699887</c:v>
                </c:pt>
                <c:pt idx="236">
                  <c:v>0.18207798557538091</c:v>
                </c:pt>
                <c:pt idx="237">
                  <c:v>0.19883047537399534</c:v>
                </c:pt>
                <c:pt idx="238">
                  <c:v>0.11014794652754389</c:v>
                </c:pt>
                <c:pt idx="239">
                  <c:v>0.19797669290518627</c:v>
                </c:pt>
                <c:pt idx="240">
                  <c:v>0.15352112303300558</c:v>
                </c:pt>
                <c:pt idx="241">
                  <c:v>0.11057889209564209</c:v>
                </c:pt>
                <c:pt idx="242">
                  <c:v>0.16496981710281133</c:v>
                </c:pt>
                <c:pt idx="243">
                  <c:v>0.2708760059128501</c:v>
                </c:pt>
                <c:pt idx="244">
                  <c:v>0.19533604212777078</c:v>
                </c:pt>
                <c:pt idx="245">
                  <c:v>0.12279971912897025</c:v>
                </c:pt>
                <c:pt idx="246">
                  <c:v>0.19330480821163043</c:v>
                </c:pt>
                <c:pt idx="247">
                  <c:v>0.25541339772003546</c:v>
                </c:pt>
                <c:pt idx="248">
                  <c:v>0.13329950160217408</c:v>
                </c:pt>
                <c:pt idx="249">
                  <c:v>0.14190346513689711</c:v>
                </c:pt>
                <c:pt idx="250">
                  <c:v>0.15430107412515426</c:v>
                </c:pt>
                <c:pt idx="251">
                  <c:v>0.22781477143754891</c:v>
                </c:pt>
                <c:pt idx="252">
                  <c:v>0.32307728169706529</c:v>
                </c:pt>
                <c:pt idx="253">
                  <c:v>0.26018872046679853</c:v>
                </c:pt>
                <c:pt idx="254">
                  <c:v>7.649903818006365E-2</c:v>
                </c:pt>
                <c:pt idx="255">
                  <c:v>0.28919525531231827</c:v>
                </c:pt>
                <c:pt idx="256">
                  <c:v>0.19979268344070533</c:v>
                </c:pt>
                <c:pt idx="257">
                  <c:v>0.15700132628271213</c:v>
                </c:pt>
                <c:pt idx="258">
                  <c:v>0.2020563509799107</c:v>
                </c:pt>
                <c:pt idx="259">
                  <c:v>0.12420928094322647</c:v>
                </c:pt>
                <c:pt idx="260">
                  <c:v>0.15911132415348384</c:v>
                </c:pt>
                <c:pt idx="261">
                  <c:v>0.20558851182763149</c:v>
                </c:pt>
                <c:pt idx="262">
                  <c:v>0.22355909128758711</c:v>
                </c:pt>
                <c:pt idx="263">
                  <c:v>0.21838177756389854</c:v>
                </c:pt>
                <c:pt idx="264">
                  <c:v>0.20873991772800871</c:v>
                </c:pt>
                <c:pt idx="265">
                  <c:v>0.12193461858052856</c:v>
                </c:pt>
                <c:pt idx="266">
                  <c:v>0.19106061220422355</c:v>
                </c:pt>
                <c:pt idx="267">
                  <c:v>0.15107085148328636</c:v>
                </c:pt>
                <c:pt idx="268">
                  <c:v>0.28482848440383179</c:v>
                </c:pt>
                <c:pt idx="269">
                  <c:v>0.20070827846591399</c:v>
                </c:pt>
                <c:pt idx="270">
                  <c:v>8.9026551887494421E-2</c:v>
                </c:pt>
                <c:pt idx="271">
                  <c:v>0.18993231009100775</c:v>
                </c:pt>
                <c:pt idx="272">
                  <c:v>0.21377856501240267</c:v>
                </c:pt>
                <c:pt idx="273">
                  <c:v>0.20881073203765155</c:v>
                </c:pt>
                <c:pt idx="274">
                  <c:v>0.12588640897583758</c:v>
                </c:pt>
                <c:pt idx="275">
                  <c:v>0.21459629962357774</c:v>
                </c:pt>
                <c:pt idx="276">
                  <c:v>0.18078129917275376</c:v>
                </c:pt>
                <c:pt idx="277">
                  <c:v>0.20575931962237171</c:v>
                </c:pt>
                <c:pt idx="278">
                  <c:v>0.1723946962967613</c:v>
                </c:pt>
                <c:pt idx="279">
                  <c:v>0.13744378971495941</c:v>
                </c:pt>
                <c:pt idx="280">
                  <c:v>0.28386643933576572</c:v>
                </c:pt>
                <c:pt idx="281">
                  <c:v>0.20893929224743424</c:v>
                </c:pt>
                <c:pt idx="282">
                  <c:v>0.22849314261077147</c:v>
                </c:pt>
                <c:pt idx="283">
                  <c:v>0.35885754971219619</c:v>
                </c:pt>
                <c:pt idx="284">
                  <c:v>0.21865690810302674</c:v>
                </c:pt>
                <c:pt idx="285">
                  <c:v>0.17996813938031586</c:v>
                </c:pt>
                <c:pt idx="286">
                  <c:v>0.16526365733695947</c:v>
                </c:pt>
                <c:pt idx="287">
                  <c:v>0.20930896014375833</c:v>
                </c:pt>
                <c:pt idx="288">
                  <c:v>0.27804761731065319</c:v>
                </c:pt>
                <c:pt idx="289">
                  <c:v>4.5423706355137483E-2</c:v>
                </c:pt>
                <c:pt idx="290">
                  <c:v>0.17558318343766466</c:v>
                </c:pt>
                <c:pt idx="291">
                  <c:v>0.14821744637862189</c:v>
                </c:pt>
                <c:pt idx="292">
                  <c:v>0.1578671902584734</c:v>
                </c:pt>
                <c:pt idx="293">
                  <c:v>0.30588792751777838</c:v>
                </c:pt>
                <c:pt idx="294">
                  <c:v>0.26804910838745144</c:v>
                </c:pt>
                <c:pt idx="295">
                  <c:v>0.22175569660474359</c:v>
                </c:pt>
                <c:pt idx="296">
                  <c:v>0.12756694495295839</c:v>
                </c:pt>
                <c:pt idx="297">
                  <c:v>0.17606361042377827</c:v>
                </c:pt>
                <c:pt idx="298">
                  <c:v>0.21738474586523893</c:v>
                </c:pt>
                <c:pt idx="299">
                  <c:v>0.17531600992755791</c:v>
                </c:pt>
                <c:pt idx="300">
                  <c:v>0.14720541052184721</c:v>
                </c:pt>
                <c:pt idx="301">
                  <c:v>0.15907123396641687</c:v>
                </c:pt>
                <c:pt idx="302">
                  <c:v>0.23453058729664988</c:v>
                </c:pt>
                <c:pt idx="303">
                  <c:v>0.18267298193480919</c:v>
                </c:pt>
                <c:pt idx="304">
                  <c:v>0.1722238596534762</c:v>
                </c:pt>
                <c:pt idx="305">
                  <c:v>0.23616246122915641</c:v>
                </c:pt>
                <c:pt idx="306">
                  <c:v>0.28469597695604065</c:v>
                </c:pt>
                <c:pt idx="307">
                  <c:v>0.16067532683961083</c:v>
                </c:pt>
                <c:pt idx="308">
                  <c:v>0.17706856653525271</c:v>
                </c:pt>
                <c:pt idx="309">
                  <c:v>0.27267841894621725</c:v>
                </c:pt>
                <c:pt idx="310">
                  <c:v>0.21663278805984199</c:v>
                </c:pt>
                <c:pt idx="311">
                  <c:v>0.17681531506611847</c:v>
                </c:pt>
                <c:pt idx="312">
                  <c:v>0.14687096165325286</c:v>
                </c:pt>
                <c:pt idx="313">
                  <c:v>0.27919469807022068</c:v>
                </c:pt>
                <c:pt idx="314">
                  <c:v>0.16904902836688684</c:v>
                </c:pt>
                <c:pt idx="315">
                  <c:v>0.24945487659139687</c:v>
                </c:pt>
                <c:pt idx="316">
                  <c:v>0.10570857331626371</c:v>
                </c:pt>
                <c:pt idx="317">
                  <c:v>0.18683530001556292</c:v>
                </c:pt>
                <c:pt idx="318">
                  <c:v>0.20742482197812073</c:v>
                </c:pt>
                <c:pt idx="319">
                  <c:v>0.2316099153358504</c:v>
                </c:pt>
                <c:pt idx="320">
                  <c:v>0.1277710323262955</c:v>
                </c:pt>
                <c:pt idx="321">
                  <c:v>0.1791365138517147</c:v>
                </c:pt>
                <c:pt idx="322">
                  <c:v>0.23545927955979806</c:v>
                </c:pt>
                <c:pt idx="323">
                  <c:v>7.4270372340173196E-2</c:v>
                </c:pt>
                <c:pt idx="324">
                  <c:v>0.23285797804785346</c:v>
                </c:pt>
                <c:pt idx="325">
                  <c:v>7.929210122372865E-2</c:v>
                </c:pt>
                <c:pt idx="326">
                  <c:v>0.13840203443807653</c:v>
                </c:pt>
                <c:pt idx="327">
                  <c:v>7.1822253239313127E-2</c:v>
                </c:pt>
                <c:pt idx="328">
                  <c:v>0.219336848049549</c:v>
                </c:pt>
                <c:pt idx="329">
                  <c:v>0.29178410567448587</c:v>
                </c:pt>
                <c:pt idx="330">
                  <c:v>0.28584231356964906</c:v>
                </c:pt>
                <c:pt idx="331">
                  <c:v>0.28322452358604977</c:v>
                </c:pt>
                <c:pt idx="332">
                  <c:v>0.22015917162634935</c:v>
                </c:pt>
                <c:pt idx="333">
                  <c:v>0.12365304606957928</c:v>
                </c:pt>
                <c:pt idx="334">
                  <c:v>0.31721827959744786</c:v>
                </c:pt>
                <c:pt idx="335">
                  <c:v>0.1295395358407152</c:v>
                </c:pt>
                <c:pt idx="336">
                  <c:v>0.24711479831139904</c:v>
                </c:pt>
                <c:pt idx="337">
                  <c:v>0.14258768141899303</c:v>
                </c:pt>
                <c:pt idx="338">
                  <c:v>0.11134388176607679</c:v>
                </c:pt>
                <c:pt idx="339">
                  <c:v>0.11626934278515577</c:v>
                </c:pt>
                <c:pt idx="340">
                  <c:v>0.22582346208938731</c:v>
                </c:pt>
                <c:pt idx="341">
                  <c:v>0.16165784956449336</c:v>
                </c:pt>
                <c:pt idx="342">
                  <c:v>0.15239344676963285</c:v>
                </c:pt>
                <c:pt idx="343">
                  <c:v>9.8422735249290128E-2</c:v>
                </c:pt>
                <c:pt idx="344">
                  <c:v>9.3173485957104063E-2</c:v>
                </c:pt>
                <c:pt idx="345">
                  <c:v>0.18530152342670014</c:v>
                </c:pt>
                <c:pt idx="346">
                  <c:v>0.19116106915331699</c:v>
                </c:pt>
                <c:pt idx="347">
                  <c:v>8.3628292004123139E-2</c:v>
                </c:pt>
                <c:pt idx="348">
                  <c:v>0.21571193916339482</c:v>
                </c:pt>
                <c:pt idx="349">
                  <c:v>0.22370816472239063</c:v>
                </c:pt>
                <c:pt idx="350">
                  <c:v>0.17912064336625377</c:v>
                </c:pt>
                <c:pt idx="351">
                  <c:v>0.17018782803507193</c:v>
                </c:pt>
                <c:pt idx="352">
                  <c:v>0.21456739592463414</c:v>
                </c:pt>
                <c:pt idx="353">
                  <c:v>0.19020590642742796</c:v>
                </c:pt>
                <c:pt idx="354">
                  <c:v>0.21635805241311701</c:v>
                </c:pt>
                <c:pt idx="355">
                  <c:v>0.1606881014182413</c:v>
                </c:pt>
                <c:pt idx="356">
                  <c:v>0.17544065951319077</c:v>
                </c:pt>
                <c:pt idx="357">
                  <c:v>0.29305021211958859</c:v>
                </c:pt>
                <c:pt idx="358">
                  <c:v>0.14192933853040302</c:v>
                </c:pt>
                <c:pt idx="359">
                  <c:v>0.25251422984766947</c:v>
                </c:pt>
                <c:pt idx="360">
                  <c:v>0.15519680293365035</c:v>
                </c:pt>
                <c:pt idx="361">
                  <c:v>0.1565865237897377</c:v>
                </c:pt>
                <c:pt idx="362">
                  <c:v>0.10818401411221679</c:v>
                </c:pt>
                <c:pt idx="363">
                  <c:v>0.21669742685218907</c:v>
                </c:pt>
                <c:pt idx="364">
                  <c:v>0.19624973556951097</c:v>
                </c:pt>
                <c:pt idx="365">
                  <c:v>0.17652770637369031</c:v>
                </c:pt>
                <c:pt idx="366">
                  <c:v>0.20547129789855489</c:v>
                </c:pt>
                <c:pt idx="367">
                  <c:v>0.15843275091643783</c:v>
                </c:pt>
                <c:pt idx="368">
                  <c:v>0.10700341585758544</c:v>
                </c:pt>
                <c:pt idx="369">
                  <c:v>0.1571766312779026</c:v>
                </c:pt>
                <c:pt idx="370">
                  <c:v>0.30399048638692072</c:v>
                </c:pt>
                <c:pt idx="371">
                  <c:v>0.1926316020996115</c:v>
                </c:pt>
                <c:pt idx="372">
                  <c:v>0.15451900328086232</c:v>
                </c:pt>
                <c:pt idx="373">
                  <c:v>0.2172045631292665</c:v>
                </c:pt>
                <c:pt idx="374">
                  <c:v>0.14757597493159835</c:v>
                </c:pt>
                <c:pt idx="375">
                  <c:v>0.21191779341159034</c:v>
                </c:pt>
                <c:pt idx="376">
                  <c:v>0.17442505282782861</c:v>
                </c:pt>
                <c:pt idx="377">
                  <c:v>0.10571691359869639</c:v>
                </c:pt>
                <c:pt idx="378">
                  <c:v>0.12724791415782555</c:v>
                </c:pt>
                <c:pt idx="379">
                  <c:v>0.23408803725027383</c:v>
                </c:pt>
                <c:pt idx="380">
                  <c:v>0.1862989588663666</c:v>
                </c:pt>
                <c:pt idx="381">
                  <c:v>0.2546656068824138</c:v>
                </c:pt>
                <c:pt idx="382">
                  <c:v>0.28769084753143304</c:v>
                </c:pt>
                <c:pt idx="383">
                  <c:v>0.2361558130092245</c:v>
                </c:pt>
                <c:pt idx="384">
                  <c:v>0.21964524693120602</c:v>
                </c:pt>
                <c:pt idx="385">
                  <c:v>8.6411364161037341E-2</c:v>
                </c:pt>
                <c:pt idx="386">
                  <c:v>0.23365933063130306</c:v>
                </c:pt>
                <c:pt idx="387">
                  <c:v>0.10365519772269671</c:v>
                </c:pt>
                <c:pt idx="388">
                  <c:v>0.26031787475780455</c:v>
                </c:pt>
                <c:pt idx="389">
                  <c:v>0.14802872674227352</c:v>
                </c:pt>
                <c:pt idx="390">
                  <c:v>0.18079065913770087</c:v>
                </c:pt>
                <c:pt idx="391">
                  <c:v>0.10758149219615731</c:v>
                </c:pt>
                <c:pt idx="392">
                  <c:v>3.064473424303138E-2</c:v>
                </c:pt>
                <c:pt idx="393">
                  <c:v>0.26855976572802831</c:v>
                </c:pt>
                <c:pt idx="394">
                  <c:v>0.13893933373952727</c:v>
                </c:pt>
                <c:pt idx="395">
                  <c:v>0.15624068109729983</c:v>
                </c:pt>
                <c:pt idx="396">
                  <c:v>0.19208521859226302</c:v>
                </c:pt>
                <c:pt idx="397">
                  <c:v>0.16958297095303543</c:v>
                </c:pt>
                <c:pt idx="398">
                  <c:v>0.25343803849971636</c:v>
                </c:pt>
                <c:pt idx="399">
                  <c:v>3.3027779878342045E-2</c:v>
                </c:pt>
                <c:pt idx="400">
                  <c:v>0.17605013588292096</c:v>
                </c:pt>
                <c:pt idx="401">
                  <c:v>0.17961833856841736</c:v>
                </c:pt>
                <c:pt idx="402">
                  <c:v>0.17893289589895112</c:v>
                </c:pt>
                <c:pt idx="403">
                  <c:v>0.29725025765294788</c:v>
                </c:pt>
                <c:pt idx="404">
                  <c:v>0.20681020815893092</c:v>
                </c:pt>
                <c:pt idx="405">
                  <c:v>7.9081138863301703E-2</c:v>
                </c:pt>
                <c:pt idx="406">
                  <c:v>0.24630332607578609</c:v>
                </c:pt>
                <c:pt idx="407">
                  <c:v>0.28746243218651379</c:v>
                </c:pt>
                <c:pt idx="408">
                  <c:v>9.7861227031680542E-2</c:v>
                </c:pt>
                <c:pt idx="409">
                  <c:v>7.314672227863106E-2</c:v>
                </c:pt>
                <c:pt idx="410">
                  <c:v>0.24201860791110796</c:v>
                </c:pt>
                <c:pt idx="411">
                  <c:v>0.24709245437183824</c:v>
                </c:pt>
                <c:pt idx="412">
                  <c:v>0.31696813789389644</c:v>
                </c:pt>
                <c:pt idx="413">
                  <c:v>0.28552853871870276</c:v>
                </c:pt>
                <c:pt idx="414">
                  <c:v>0.30424236177118757</c:v>
                </c:pt>
                <c:pt idx="415">
                  <c:v>0.35149708023943127</c:v>
                </c:pt>
                <c:pt idx="416">
                  <c:v>0.30567123923845863</c:v>
                </c:pt>
                <c:pt idx="417">
                  <c:v>0.19835185870215</c:v>
                </c:pt>
                <c:pt idx="418">
                  <c:v>0.30903895920767255</c:v>
                </c:pt>
                <c:pt idx="419">
                  <c:v>0.19861164451000768</c:v>
                </c:pt>
                <c:pt idx="420">
                  <c:v>0.14551247709795589</c:v>
                </c:pt>
                <c:pt idx="421">
                  <c:v>0.17930424869316752</c:v>
                </c:pt>
                <c:pt idx="422">
                  <c:v>0.18402215009016132</c:v>
                </c:pt>
                <c:pt idx="423">
                  <c:v>0.20089285219449593</c:v>
                </c:pt>
                <c:pt idx="424">
                  <c:v>0.19935370729381496</c:v>
                </c:pt>
                <c:pt idx="425">
                  <c:v>0.19949074844917192</c:v>
                </c:pt>
                <c:pt idx="426">
                  <c:v>0.13627329746739925</c:v>
                </c:pt>
                <c:pt idx="427">
                  <c:v>0.25512295214536529</c:v>
                </c:pt>
                <c:pt idx="428">
                  <c:v>0.17589207719155731</c:v>
                </c:pt>
                <c:pt idx="429">
                  <c:v>0.26262223742676483</c:v>
                </c:pt>
                <c:pt idx="430">
                  <c:v>0.14031467135590958</c:v>
                </c:pt>
                <c:pt idx="431">
                  <c:v>0.18766805663946506</c:v>
                </c:pt>
                <c:pt idx="432">
                  <c:v>4.4897405438529603E-2</c:v>
                </c:pt>
                <c:pt idx="433">
                  <c:v>0.23335674986707566</c:v>
                </c:pt>
                <c:pt idx="434">
                  <c:v>0.26197643386648473</c:v>
                </c:pt>
                <c:pt idx="435">
                  <c:v>0.19268624024662273</c:v>
                </c:pt>
                <c:pt idx="436">
                  <c:v>0.15963728547638922</c:v>
                </c:pt>
                <c:pt idx="437">
                  <c:v>0.10811753455276829</c:v>
                </c:pt>
                <c:pt idx="438">
                  <c:v>0.26760158561016922</c:v>
                </c:pt>
                <c:pt idx="439">
                  <c:v>0.1673297632534787</c:v>
                </c:pt>
                <c:pt idx="440">
                  <c:v>0.10370035565740388</c:v>
                </c:pt>
                <c:pt idx="441">
                  <c:v>0.29566534961602464</c:v>
                </c:pt>
                <c:pt idx="442">
                  <c:v>0.16075694134523921</c:v>
                </c:pt>
                <c:pt idx="443">
                  <c:v>0.21782239127433023</c:v>
                </c:pt>
                <c:pt idx="444">
                  <c:v>0.23500217797815282</c:v>
                </c:pt>
                <c:pt idx="445">
                  <c:v>0.17261287365048439</c:v>
                </c:pt>
                <c:pt idx="446">
                  <c:v>0.18229398837915767</c:v>
                </c:pt>
                <c:pt idx="447">
                  <c:v>0.19630297010766284</c:v>
                </c:pt>
                <c:pt idx="448">
                  <c:v>0.17769124662477687</c:v>
                </c:pt>
                <c:pt idx="449">
                  <c:v>0.17453602770901</c:v>
                </c:pt>
                <c:pt idx="450">
                  <c:v>0.14865489547556976</c:v>
                </c:pt>
                <c:pt idx="451">
                  <c:v>-6.127641673534967E-3</c:v>
                </c:pt>
                <c:pt idx="452">
                  <c:v>0.15418634995748803</c:v>
                </c:pt>
                <c:pt idx="453">
                  <c:v>0.1363529134698247</c:v>
                </c:pt>
                <c:pt idx="454">
                  <c:v>0.20572902798181225</c:v>
                </c:pt>
                <c:pt idx="455">
                  <c:v>0.18903310639899296</c:v>
                </c:pt>
                <c:pt idx="456">
                  <c:v>4.9685401272215657E-2</c:v>
                </c:pt>
                <c:pt idx="457">
                  <c:v>0.18474204456950361</c:v>
                </c:pt>
                <c:pt idx="458">
                  <c:v>0.1455297354639864</c:v>
                </c:pt>
                <c:pt idx="459">
                  <c:v>0.11806327004512696</c:v>
                </c:pt>
                <c:pt idx="460">
                  <c:v>0.16233790371832413</c:v>
                </c:pt>
                <c:pt idx="461">
                  <c:v>0.17492715808168668</c:v>
                </c:pt>
                <c:pt idx="462">
                  <c:v>0.28874065177489605</c:v>
                </c:pt>
                <c:pt idx="463">
                  <c:v>0.14273983846502247</c:v>
                </c:pt>
                <c:pt idx="464">
                  <c:v>0.24698682076705047</c:v>
                </c:pt>
                <c:pt idx="465">
                  <c:v>0.22245583835629823</c:v>
                </c:pt>
                <c:pt idx="466">
                  <c:v>0.21988337599863428</c:v>
                </c:pt>
                <c:pt idx="467">
                  <c:v>0.18220254744618103</c:v>
                </c:pt>
                <c:pt idx="468">
                  <c:v>0.18185079020788031</c:v>
                </c:pt>
                <c:pt idx="469">
                  <c:v>0.30349261028472263</c:v>
                </c:pt>
                <c:pt idx="470">
                  <c:v>0.12284245368052638</c:v>
                </c:pt>
                <c:pt idx="471">
                  <c:v>0.23867972559006567</c:v>
                </c:pt>
                <c:pt idx="472">
                  <c:v>0.24183406033848343</c:v>
                </c:pt>
                <c:pt idx="473">
                  <c:v>9.7923066008556603E-2</c:v>
                </c:pt>
                <c:pt idx="474">
                  <c:v>0.169710353847357</c:v>
                </c:pt>
                <c:pt idx="475">
                  <c:v>0.2583783119037566</c:v>
                </c:pt>
                <c:pt idx="476">
                  <c:v>0.1819644809525709</c:v>
                </c:pt>
                <c:pt idx="477">
                  <c:v>0.23811500677566855</c:v>
                </c:pt>
                <c:pt idx="478">
                  <c:v>0.18267791093587071</c:v>
                </c:pt>
                <c:pt idx="479">
                  <c:v>0.23333331282136527</c:v>
                </c:pt>
                <c:pt idx="480">
                  <c:v>8.0790844893096292E-2</c:v>
                </c:pt>
                <c:pt idx="481">
                  <c:v>9.8285109629443923E-2</c:v>
                </c:pt>
                <c:pt idx="482">
                  <c:v>0.21670917843689885</c:v>
                </c:pt>
                <c:pt idx="483">
                  <c:v>0.1048648704552253</c:v>
                </c:pt>
                <c:pt idx="484">
                  <c:v>0.11825034850882332</c:v>
                </c:pt>
                <c:pt idx="485">
                  <c:v>0.27585377251816112</c:v>
                </c:pt>
                <c:pt idx="486">
                  <c:v>0.19005452615805041</c:v>
                </c:pt>
                <c:pt idx="487">
                  <c:v>7.4074760173512999E-2</c:v>
                </c:pt>
                <c:pt idx="488">
                  <c:v>0.14893685996869088</c:v>
                </c:pt>
                <c:pt idx="489">
                  <c:v>0.12013992483900893</c:v>
                </c:pt>
                <c:pt idx="490">
                  <c:v>0.21378588900205209</c:v>
                </c:pt>
                <c:pt idx="491">
                  <c:v>0.18273999826125653</c:v>
                </c:pt>
                <c:pt idx="492">
                  <c:v>0.24223634175681497</c:v>
                </c:pt>
                <c:pt idx="493">
                  <c:v>0.16497284097688159</c:v>
                </c:pt>
                <c:pt idx="494">
                  <c:v>0.28477727079866177</c:v>
                </c:pt>
                <c:pt idx="495">
                  <c:v>0.2148924760281048</c:v>
                </c:pt>
                <c:pt idx="496">
                  <c:v>0.10621938162243616</c:v>
                </c:pt>
                <c:pt idx="497">
                  <c:v>0.18399171250552193</c:v>
                </c:pt>
                <c:pt idx="498">
                  <c:v>0.14288721096014179</c:v>
                </c:pt>
                <c:pt idx="499">
                  <c:v>0.30620996019618829</c:v>
                </c:pt>
                <c:pt idx="500">
                  <c:v>0.13061284560124342</c:v>
                </c:pt>
                <c:pt idx="501">
                  <c:v>0.13601213718462724</c:v>
                </c:pt>
                <c:pt idx="502">
                  <c:v>0.13320864093991602</c:v>
                </c:pt>
                <c:pt idx="503">
                  <c:v>0.15843206533748955</c:v>
                </c:pt>
                <c:pt idx="504">
                  <c:v>0.16380671207948971</c:v>
                </c:pt>
                <c:pt idx="505">
                  <c:v>0.30936705132944198</c:v>
                </c:pt>
                <c:pt idx="506">
                  <c:v>0.16353242412593794</c:v>
                </c:pt>
                <c:pt idx="507">
                  <c:v>0.23188812879311804</c:v>
                </c:pt>
                <c:pt idx="508">
                  <c:v>0.17969890937574284</c:v>
                </c:pt>
                <c:pt idx="509">
                  <c:v>0.17728182256171898</c:v>
                </c:pt>
                <c:pt idx="510">
                  <c:v>0.12615046706365263</c:v>
                </c:pt>
                <c:pt idx="511">
                  <c:v>0.17346202676145062</c:v>
                </c:pt>
                <c:pt idx="512">
                  <c:v>0.27536195315152767</c:v>
                </c:pt>
                <c:pt idx="513">
                  <c:v>0.2754648239152484</c:v>
                </c:pt>
                <c:pt idx="514">
                  <c:v>0.13515148944801858</c:v>
                </c:pt>
                <c:pt idx="515">
                  <c:v>0.12923104893273774</c:v>
                </c:pt>
                <c:pt idx="516">
                  <c:v>0.21082478003939364</c:v>
                </c:pt>
                <c:pt idx="517">
                  <c:v>0.20038732216718813</c:v>
                </c:pt>
                <c:pt idx="518">
                  <c:v>0.1867921525611731</c:v>
                </c:pt>
                <c:pt idx="519">
                  <c:v>0.19983084618417557</c:v>
                </c:pt>
                <c:pt idx="520">
                  <c:v>0.21611227799055577</c:v>
                </c:pt>
                <c:pt idx="521">
                  <c:v>0.12435727221504322</c:v>
                </c:pt>
                <c:pt idx="522">
                  <c:v>0.2526222118503636</c:v>
                </c:pt>
                <c:pt idx="523">
                  <c:v>0.13506997152519418</c:v>
                </c:pt>
                <c:pt idx="524">
                  <c:v>0.24028212312101971</c:v>
                </c:pt>
                <c:pt idx="525">
                  <c:v>0.29736339020872116</c:v>
                </c:pt>
                <c:pt idx="526">
                  <c:v>0.15245142470244843</c:v>
                </c:pt>
                <c:pt idx="527">
                  <c:v>0.13566233984126619</c:v>
                </c:pt>
                <c:pt idx="528">
                  <c:v>0.11834994945599853</c:v>
                </c:pt>
                <c:pt idx="529">
                  <c:v>0.19176766340808449</c:v>
                </c:pt>
                <c:pt idx="530">
                  <c:v>0.18738754325084095</c:v>
                </c:pt>
                <c:pt idx="531">
                  <c:v>0.21365769364026299</c:v>
                </c:pt>
                <c:pt idx="532">
                  <c:v>0.15822382903087728</c:v>
                </c:pt>
                <c:pt idx="533">
                  <c:v>0.12419004307804116</c:v>
                </c:pt>
                <c:pt idx="534">
                  <c:v>0.26623526083054827</c:v>
                </c:pt>
                <c:pt idx="535">
                  <c:v>0.16945301868370777</c:v>
                </c:pt>
                <c:pt idx="536">
                  <c:v>0.24606745128439655</c:v>
                </c:pt>
                <c:pt idx="537">
                  <c:v>0.13208434255938251</c:v>
                </c:pt>
                <c:pt idx="538">
                  <c:v>0.20099990411690527</c:v>
                </c:pt>
                <c:pt idx="539">
                  <c:v>0.12723852208222475</c:v>
                </c:pt>
                <c:pt idx="540">
                  <c:v>0.1300287559967046</c:v>
                </c:pt>
                <c:pt idx="541">
                  <c:v>0.24111676739571841</c:v>
                </c:pt>
                <c:pt idx="542">
                  <c:v>0.17614924076457683</c:v>
                </c:pt>
                <c:pt idx="543">
                  <c:v>9.2053162852405279E-2</c:v>
                </c:pt>
                <c:pt idx="544">
                  <c:v>0.13133362812946814</c:v>
                </c:pt>
                <c:pt idx="545">
                  <c:v>0.10271940725193929</c:v>
                </c:pt>
                <c:pt idx="546">
                  <c:v>0.22732822487909488</c:v>
                </c:pt>
                <c:pt idx="547">
                  <c:v>0.28747135647856403</c:v>
                </c:pt>
                <c:pt idx="548">
                  <c:v>0.17487389044040924</c:v>
                </c:pt>
                <c:pt idx="549">
                  <c:v>0.19757152594941374</c:v>
                </c:pt>
                <c:pt idx="550">
                  <c:v>0.17876619780154002</c:v>
                </c:pt>
                <c:pt idx="551">
                  <c:v>0.22479406361737908</c:v>
                </c:pt>
                <c:pt idx="552">
                  <c:v>4.9463841787355634E-2</c:v>
                </c:pt>
                <c:pt idx="553">
                  <c:v>0.14622018415047222</c:v>
                </c:pt>
                <c:pt idx="554">
                  <c:v>0.10821716459454223</c:v>
                </c:pt>
                <c:pt idx="555">
                  <c:v>0.15061841352394723</c:v>
                </c:pt>
                <c:pt idx="556">
                  <c:v>0.18010541536637525</c:v>
                </c:pt>
                <c:pt idx="557">
                  <c:v>0.11901964010393939</c:v>
                </c:pt>
                <c:pt idx="558">
                  <c:v>0.27405046924732801</c:v>
                </c:pt>
                <c:pt idx="559">
                  <c:v>0.30110062202242638</c:v>
                </c:pt>
                <c:pt idx="560">
                  <c:v>0.19672501854171109</c:v>
                </c:pt>
                <c:pt idx="561">
                  <c:v>0.2317606564804926</c:v>
                </c:pt>
                <c:pt idx="562">
                  <c:v>0.2897331649143684</c:v>
                </c:pt>
                <c:pt idx="563">
                  <c:v>0.19674413384124101</c:v>
                </c:pt>
                <c:pt idx="564">
                  <c:v>0.16245919539277054</c:v>
                </c:pt>
                <c:pt idx="565">
                  <c:v>0.16119050185352712</c:v>
                </c:pt>
                <c:pt idx="566">
                  <c:v>0.17773044732755316</c:v>
                </c:pt>
                <c:pt idx="567">
                  <c:v>0.23268238167244704</c:v>
                </c:pt>
                <c:pt idx="568">
                  <c:v>0.15098764023168165</c:v>
                </c:pt>
                <c:pt idx="569">
                  <c:v>0.14758370778834262</c:v>
                </c:pt>
                <c:pt idx="570">
                  <c:v>0.10747449158881039</c:v>
                </c:pt>
                <c:pt idx="571">
                  <c:v>0.20475377965360586</c:v>
                </c:pt>
                <c:pt idx="572">
                  <c:v>0.12611862544388508</c:v>
                </c:pt>
                <c:pt idx="573">
                  <c:v>0.21748668953978623</c:v>
                </c:pt>
                <c:pt idx="574">
                  <c:v>0.15623862432990698</c:v>
                </c:pt>
                <c:pt idx="575">
                  <c:v>0.23662873870045331</c:v>
                </c:pt>
                <c:pt idx="576">
                  <c:v>0.18777188356130736</c:v>
                </c:pt>
                <c:pt idx="577">
                  <c:v>0.1714661720689552</c:v>
                </c:pt>
                <c:pt idx="578">
                  <c:v>0.26833195420987721</c:v>
                </c:pt>
                <c:pt idx="579">
                  <c:v>0.32195235552268286</c:v>
                </c:pt>
                <c:pt idx="580">
                  <c:v>0.23826728183454904</c:v>
                </c:pt>
                <c:pt idx="581">
                  <c:v>7.4482703886110002E-2</c:v>
                </c:pt>
                <c:pt idx="582">
                  <c:v>0.18369063387933693</c:v>
                </c:pt>
                <c:pt idx="583">
                  <c:v>0.32631950930043097</c:v>
                </c:pt>
                <c:pt idx="584">
                  <c:v>0.17753658610732082</c:v>
                </c:pt>
                <c:pt idx="585">
                  <c:v>9.932763826312474E-2</c:v>
                </c:pt>
                <c:pt idx="586">
                  <c:v>0.26949566463549068</c:v>
                </c:pt>
                <c:pt idx="587">
                  <c:v>0.31098932572105831</c:v>
                </c:pt>
                <c:pt idx="588">
                  <c:v>0.24792686253486629</c:v>
                </c:pt>
                <c:pt idx="589">
                  <c:v>0.16967861122637728</c:v>
                </c:pt>
                <c:pt idx="590">
                  <c:v>0.2217919646945159</c:v>
                </c:pt>
                <c:pt idx="591">
                  <c:v>0.25515484130404431</c:v>
                </c:pt>
                <c:pt idx="592">
                  <c:v>0.20285520429547077</c:v>
                </c:pt>
                <c:pt idx="593">
                  <c:v>0.27016299120551324</c:v>
                </c:pt>
                <c:pt idx="594">
                  <c:v>0.25182157159483509</c:v>
                </c:pt>
                <c:pt idx="595">
                  <c:v>0.2361935769690966</c:v>
                </c:pt>
                <c:pt idx="596">
                  <c:v>0.14412348773716843</c:v>
                </c:pt>
                <c:pt idx="597">
                  <c:v>0.26984921106621762</c:v>
                </c:pt>
                <c:pt idx="598">
                  <c:v>0.33481947482068719</c:v>
                </c:pt>
                <c:pt idx="599">
                  <c:v>0.1546521150818716</c:v>
                </c:pt>
                <c:pt idx="600">
                  <c:v>0.19367344693978161</c:v>
                </c:pt>
                <c:pt idx="601">
                  <c:v>0.29370215421366197</c:v>
                </c:pt>
                <c:pt idx="602">
                  <c:v>0.26286635927402457</c:v>
                </c:pt>
                <c:pt idx="603">
                  <c:v>0.19391741088375269</c:v>
                </c:pt>
                <c:pt idx="604">
                  <c:v>0.15982303916300822</c:v>
                </c:pt>
                <c:pt idx="605">
                  <c:v>0.1524952163241462</c:v>
                </c:pt>
                <c:pt idx="606">
                  <c:v>0.26774002093485727</c:v>
                </c:pt>
                <c:pt idx="607">
                  <c:v>0.16382463880134601</c:v>
                </c:pt>
                <c:pt idx="608">
                  <c:v>0.19024102233387907</c:v>
                </c:pt>
                <c:pt idx="609">
                  <c:v>0.1254868940720506</c:v>
                </c:pt>
                <c:pt idx="610">
                  <c:v>0.20467910966687342</c:v>
                </c:pt>
                <c:pt idx="611">
                  <c:v>0.20365603511319108</c:v>
                </c:pt>
                <c:pt idx="612">
                  <c:v>8.046577733348137E-2</c:v>
                </c:pt>
                <c:pt idx="613">
                  <c:v>0.15257828771717996</c:v>
                </c:pt>
                <c:pt idx="614">
                  <c:v>0.11858130231514963</c:v>
                </c:pt>
                <c:pt idx="615">
                  <c:v>3.3809948768283249E-2</c:v>
                </c:pt>
                <c:pt idx="616">
                  <c:v>0.22263789440096815</c:v>
                </c:pt>
                <c:pt idx="617">
                  <c:v>0.16280249804080071</c:v>
                </c:pt>
                <c:pt idx="618">
                  <c:v>0.283559849647812</c:v>
                </c:pt>
                <c:pt idx="619">
                  <c:v>0.24846418051491348</c:v>
                </c:pt>
                <c:pt idx="620">
                  <c:v>0.23498610962830746</c:v>
                </c:pt>
                <c:pt idx="621">
                  <c:v>0.16840698520758401</c:v>
                </c:pt>
                <c:pt idx="622">
                  <c:v>0.18150249395221429</c:v>
                </c:pt>
                <c:pt idx="623">
                  <c:v>2.9207877029298501E-2</c:v>
                </c:pt>
                <c:pt idx="624">
                  <c:v>0.18215104186212372</c:v>
                </c:pt>
                <c:pt idx="625">
                  <c:v>0.22882843271719899</c:v>
                </c:pt>
                <c:pt idx="626">
                  <c:v>0.2636602294736381</c:v>
                </c:pt>
                <c:pt idx="627">
                  <c:v>0.18532669077823449</c:v>
                </c:pt>
                <c:pt idx="628">
                  <c:v>0.17728559997601678</c:v>
                </c:pt>
                <c:pt idx="629">
                  <c:v>0.20895538930010282</c:v>
                </c:pt>
                <c:pt idx="630">
                  <c:v>0.15798430820312959</c:v>
                </c:pt>
                <c:pt idx="631">
                  <c:v>0.18289398337030782</c:v>
                </c:pt>
                <c:pt idx="632">
                  <c:v>0.17651326793381727</c:v>
                </c:pt>
                <c:pt idx="633">
                  <c:v>0.20563496120290736</c:v>
                </c:pt>
                <c:pt idx="634">
                  <c:v>0.21134450578066044</c:v>
                </c:pt>
                <c:pt idx="635">
                  <c:v>0.20487455240321495</c:v>
                </c:pt>
                <c:pt idx="636">
                  <c:v>0.26853113391081429</c:v>
                </c:pt>
                <c:pt idx="637">
                  <c:v>0.17810588393687432</c:v>
                </c:pt>
                <c:pt idx="638">
                  <c:v>0.148793736630358</c:v>
                </c:pt>
                <c:pt idx="639">
                  <c:v>0.16206656349086934</c:v>
                </c:pt>
                <c:pt idx="640">
                  <c:v>5.2019229299384406E-2</c:v>
                </c:pt>
                <c:pt idx="641">
                  <c:v>4.5253761538369019E-2</c:v>
                </c:pt>
                <c:pt idx="642">
                  <c:v>0.17643634990061052</c:v>
                </c:pt>
                <c:pt idx="643">
                  <c:v>0.26103921607012026</c:v>
                </c:pt>
                <c:pt idx="644">
                  <c:v>0.28064482037533089</c:v>
                </c:pt>
                <c:pt idx="645">
                  <c:v>0.17021318318628786</c:v>
                </c:pt>
                <c:pt idx="646">
                  <c:v>0.26028379659080514</c:v>
                </c:pt>
                <c:pt idx="647">
                  <c:v>0.24194964113080708</c:v>
                </c:pt>
                <c:pt idx="648">
                  <c:v>0.16014813986773646</c:v>
                </c:pt>
                <c:pt idx="649">
                  <c:v>0.14814378595225186</c:v>
                </c:pt>
                <c:pt idx="650">
                  <c:v>0.13219197762472312</c:v>
                </c:pt>
                <c:pt idx="651">
                  <c:v>0.26521709424133277</c:v>
                </c:pt>
                <c:pt idx="652">
                  <c:v>0.18024287389463467</c:v>
                </c:pt>
                <c:pt idx="653">
                  <c:v>0.19818960448438183</c:v>
                </c:pt>
                <c:pt idx="654">
                  <c:v>0.38703352191184948</c:v>
                </c:pt>
                <c:pt idx="655">
                  <c:v>0.25448608263228145</c:v>
                </c:pt>
                <c:pt idx="656">
                  <c:v>9.38718809575807E-2</c:v>
                </c:pt>
                <c:pt idx="657">
                  <c:v>0.23696858555942768</c:v>
                </c:pt>
                <c:pt idx="658">
                  <c:v>0.18610043801358955</c:v>
                </c:pt>
                <c:pt idx="659">
                  <c:v>0.13921645619263678</c:v>
                </c:pt>
                <c:pt idx="660">
                  <c:v>0.17076172739314899</c:v>
                </c:pt>
                <c:pt idx="661">
                  <c:v>0.13601484802374308</c:v>
                </c:pt>
                <c:pt idx="662">
                  <c:v>0.18066405372055883</c:v>
                </c:pt>
                <c:pt idx="663">
                  <c:v>0.14691024757656201</c:v>
                </c:pt>
                <c:pt idx="664">
                  <c:v>0.12744731208683291</c:v>
                </c:pt>
                <c:pt idx="665">
                  <c:v>0.28705250028432694</c:v>
                </c:pt>
                <c:pt idx="666">
                  <c:v>0.28385489089492211</c:v>
                </c:pt>
                <c:pt idx="667">
                  <c:v>0.13967884627537686</c:v>
                </c:pt>
                <c:pt idx="668">
                  <c:v>0.19061559297963626</c:v>
                </c:pt>
                <c:pt idx="669">
                  <c:v>0.2175574675377554</c:v>
                </c:pt>
                <c:pt idx="670">
                  <c:v>0.27539079461893579</c:v>
                </c:pt>
                <c:pt idx="671">
                  <c:v>0.19363930289712172</c:v>
                </c:pt>
                <c:pt idx="672">
                  <c:v>0.24899245887668009</c:v>
                </c:pt>
                <c:pt idx="673">
                  <c:v>0.10993525113030245</c:v>
                </c:pt>
                <c:pt idx="674">
                  <c:v>0.13622174746366689</c:v>
                </c:pt>
                <c:pt idx="675">
                  <c:v>0.14082784804421067</c:v>
                </c:pt>
                <c:pt idx="676">
                  <c:v>0.1890500641258761</c:v>
                </c:pt>
                <c:pt idx="677">
                  <c:v>0.11865220881444394</c:v>
                </c:pt>
                <c:pt idx="678">
                  <c:v>0.1727453970102637</c:v>
                </c:pt>
                <c:pt idx="679">
                  <c:v>0.21486565863676432</c:v>
                </c:pt>
                <c:pt idx="680">
                  <c:v>0.25314272413776351</c:v>
                </c:pt>
                <c:pt idx="681">
                  <c:v>0.25844398116082345</c:v>
                </c:pt>
                <c:pt idx="682">
                  <c:v>0.18396809385554391</c:v>
                </c:pt>
                <c:pt idx="683">
                  <c:v>0.2333640884635777</c:v>
                </c:pt>
                <c:pt idx="684">
                  <c:v>0.13738195602418912</c:v>
                </c:pt>
                <c:pt idx="685">
                  <c:v>0.20256342679064154</c:v>
                </c:pt>
                <c:pt idx="686">
                  <c:v>0.25479875347114067</c:v>
                </c:pt>
                <c:pt idx="687">
                  <c:v>0.18443312477101159</c:v>
                </c:pt>
                <c:pt idx="688">
                  <c:v>0.34899440038318907</c:v>
                </c:pt>
                <c:pt idx="689">
                  <c:v>0.17094211920662516</c:v>
                </c:pt>
                <c:pt idx="690">
                  <c:v>0.11472815921773361</c:v>
                </c:pt>
                <c:pt idx="691">
                  <c:v>0.2384288265927772</c:v>
                </c:pt>
                <c:pt idx="692">
                  <c:v>0.17895455705738961</c:v>
                </c:pt>
                <c:pt idx="693">
                  <c:v>0.28181596530366448</c:v>
                </c:pt>
                <c:pt idx="694">
                  <c:v>0.10045855867539721</c:v>
                </c:pt>
                <c:pt idx="695">
                  <c:v>0.13674945271443306</c:v>
                </c:pt>
                <c:pt idx="696">
                  <c:v>0.27808035526051889</c:v>
                </c:pt>
                <c:pt idx="697">
                  <c:v>0.21425340753498112</c:v>
                </c:pt>
                <c:pt idx="698">
                  <c:v>0.21390192064245461</c:v>
                </c:pt>
                <c:pt idx="699">
                  <c:v>7.6043592950020056E-2</c:v>
                </c:pt>
                <c:pt idx="700">
                  <c:v>0.19722928986161925</c:v>
                </c:pt>
                <c:pt idx="701">
                  <c:v>0.29591603682169065</c:v>
                </c:pt>
                <c:pt idx="702">
                  <c:v>7.469073395953707E-2</c:v>
                </c:pt>
                <c:pt idx="703">
                  <c:v>0.11520290666679855</c:v>
                </c:pt>
                <c:pt idx="704">
                  <c:v>0.19697866938901321</c:v>
                </c:pt>
                <c:pt idx="705">
                  <c:v>0.14983819661440378</c:v>
                </c:pt>
                <c:pt idx="706">
                  <c:v>0.20554150234727686</c:v>
                </c:pt>
                <c:pt idx="707">
                  <c:v>0.23678167049656373</c:v>
                </c:pt>
                <c:pt idx="708">
                  <c:v>0.12783123222649451</c:v>
                </c:pt>
                <c:pt idx="709">
                  <c:v>0.16453839091532529</c:v>
                </c:pt>
                <c:pt idx="710">
                  <c:v>0.14554421729413747</c:v>
                </c:pt>
                <c:pt idx="711">
                  <c:v>0.25103510625090131</c:v>
                </c:pt>
                <c:pt idx="712">
                  <c:v>0.33593360036393882</c:v>
                </c:pt>
                <c:pt idx="713">
                  <c:v>0.16058531544808829</c:v>
                </c:pt>
                <c:pt idx="714">
                  <c:v>0.2586480877674493</c:v>
                </c:pt>
                <c:pt idx="715">
                  <c:v>0.20099236371573426</c:v>
                </c:pt>
                <c:pt idx="716">
                  <c:v>0.19042781112188578</c:v>
                </c:pt>
                <c:pt idx="717">
                  <c:v>0.13580656736598762</c:v>
                </c:pt>
                <c:pt idx="718">
                  <c:v>0.23584158348595174</c:v>
                </c:pt>
                <c:pt idx="719">
                  <c:v>0.20571345705073085</c:v>
                </c:pt>
                <c:pt idx="720">
                  <c:v>5.9469146320925148E-2</c:v>
                </c:pt>
                <c:pt idx="721">
                  <c:v>0.11802566789377344</c:v>
                </c:pt>
                <c:pt idx="722">
                  <c:v>0.19012022481211233</c:v>
                </c:pt>
                <c:pt idx="723">
                  <c:v>0.15305088718309179</c:v>
                </c:pt>
                <c:pt idx="724">
                  <c:v>0.22902829265319902</c:v>
                </c:pt>
                <c:pt idx="725">
                  <c:v>0.19177039157528775</c:v>
                </c:pt>
                <c:pt idx="726">
                  <c:v>0.2960703798073876</c:v>
                </c:pt>
                <c:pt idx="727">
                  <c:v>0.15720978572188038</c:v>
                </c:pt>
                <c:pt idx="728">
                  <c:v>0.24737005442715088</c:v>
                </c:pt>
                <c:pt idx="729">
                  <c:v>0.21063508126511721</c:v>
                </c:pt>
                <c:pt idx="730">
                  <c:v>0.13372565566018935</c:v>
                </c:pt>
                <c:pt idx="731">
                  <c:v>5.9785161126457709E-2</c:v>
                </c:pt>
                <c:pt idx="732">
                  <c:v>0.19548911594974072</c:v>
                </c:pt>
                <c:pt idx="733">
                  <c:v>0.15469608991545236</c:v>
                </c:pt>
                <c:pt idx="734">
                  <c:v>0.24996896044312678</c:v>
                </c:pt>
                <c:pt idx="735">
                  <c:v>0.15582300051082498</c:v>
                </c:pt>
                <c:pt idx="736">
                  <c:v>0.27954442306887728</c:v>
                </c:pt>
                <c:pt idx="737">
                  <c:v>8.6739133890437969E-2</c:v>
                </c:pt>
                <c:pt idx="738">
                  <c:v>0.1432129740857615</c:v>
                </c:pt>
                <c:pt idx="739">
                  <c:v>0.19496788963576073</c:v>
                </c:pt>
                <c:pt idx="740">
                  <c:v>0.13912535317190411</c:v>
                </c:pt>
                <c:pt idx="741">
                  <c:v>0.19341082818879407</c:v>
                </c:pt>
                <c:pt idx="742">
                  <c:v>0.21635859460725193</c:v>
                </c:pt>
                <c:pt idx="743">
                  <c:v>0.15083290821318052</c:v>
                </c:pt>
                <c:pt idx="744">
                  <c:v>0.20573709198152557</c:v>
                </c:pt>
                <c:pt idx="745">
                  <c:v>0.25297266763256943</c:v>
                </c:pt>
                <c:pt idx="746">
                  <c:v>0.23617405837142158</c:v>
                </c:pt>
                <c:pt idx="747">
                  <c:v>0.2326828413113553</c:v>
                </c:pt>
                <c:pt idx="748">
                  <c:v>0.17990897456128963</c:v>
                </c:pt>
                <c:pt idx="749">
                  <c:v>6.149455798499126E-2</c:v>
                </c:pt>
                <c:pt idx="750">
                  <c:v>0.14851995432985277</c:v>
                </c:pt>
                <c:pt idx="751">
                  <c:v>0.25339759792864491</c:v>
                </c:pt>
                <c:pt idx="752">
                  <c:v>0.25443702277689262</c:v>
                </c:pt>
                <c:pt idx="753">
                  <c:v>0.17280395074847732</c:v>
                </c:pt>
                <c:pt idx="754">
                  <c:v>0.15658405987844937</c:v>
                </c:pt>
                <c:pt idx="755">
                  <c:v>0.14671519780679887</c:v>
                </c:pt>
                <c:pt idx="756">
                  <c:v>0.33988943596679633</c:v>
                </c:pt>
                <c:pt idx="757">
                  <c:v>0.21007474152587768</c:v>
                </c:pt>
                <c:pt idx="758">
                  <c:v>0.11630920028947855</c:v>
                </c:pt>
                <c:pt idx="759">
                  <c:v>0.12653241742844124</c:v>
                </c:pt>
                <c:pt idx="760">
                  <c:v>0.12607365567152762</c:v>
                </c:pt>
                <c:pt idx="761">
                  <c:v>0.18217718839443009</c:v>
                </c:pt>
                <c:pt idx="762">
                  <c:v>0.24967495082996294</c:v>
                </c:pt>
                <c:pt idx="763">
                  <c:v>0.2093004847935056</c:v>
                </c:pt>
                <c:pt idx="764">
                  <c:v>0.26297772743428816</c:v>
                </c:pt>
                <c:pt idx="765">
                  <c:v>0.22463453682541612</c:v>
                </c:pt>
                <c:pt idx="766">
                  <c:v>0.243946192367682</c:v>
                </c:pt>
                <c:pt idx="767">
                  <c:v>0.10577909760429627</c:v>
                </c:pt>
                <c:pt idx="768">
                  <c:v>0.1845823923075951</c:v>
                </c:pt>
                <c:pt idx="769">
                  <c:v>0.25570592068340581</c:v>
                </c:pt>
                <c:pt idx="770">
                  <c:v>0.16708986037708584</c:v>
                </c:pt>
                <c:pt idx="771">
                  <c:v>0.28488065237343996</c:v>
                </c:pt>
                <c:pt idx="772">
                  <c:v>0.10861775759899039</c:v>
                </c:pt>
                <c:pt idx="773">
                  <c:v>0.17694417683899566</c:v>
                </c:pt>
                <c:pt idx="774">
                  <c:v>0.25247420092062178</c:v>
                </c:pt>
                <c:pt idx="775">
                  <c:v>8.6249168245583263E-2</c:v>
                </c:pt>
                <c:pt idx="776">
                  <c:v>0.21092873870910367</c:v>
                </c:pt>
                <c:pt idx="777">
                  <c:v>0.24725827647435139</c:v>
                </c:pt>
                <c:pt idx="778">
                  <c:v>4.5663685426053036E-2</c:v>
                </c:pt>
                <c:pt idx="779">
                  <c:v>0.30272234575698675</c:v>
                </c:pt>
                <c:pt idx="780">
                  <c:v>0.28554369058401186</c:v>
                </c:pt>
                <c:pt idx="781">
                  <c:v>0.27732610241012523</c:v>
                </c:pt>
                <c:pt idx="782">
                  <c:v>0.16619211663429212</c:v>
                </c:pt>
                <c:pt idx="783">
                  <c:v>0.19760895835632297</c:v>
                </c:pt>
                <c:pt idx="784">
                  <c:v>0.28796613966005502</c:v>
                </c:pt>
                <c:pt idx="785">
                  <c:v>0.24641550260006007</c:v>
                </c:pt>
                <c:pt idx="786">
                  <c:v>0.17561372627276661</c:v>
                </c:pt>
                <c:pt idx="787">
                  <c:v>0.17642337528203278</c:v>
                </c:pt>
                <c:pt idx="788">
                  <c:v>0.20178649304594387</c:v>
                </c:pt>
                <c:pt idx="789">
                  <c:v>0.13264224803246272</c:v>
                </c:pt>
                <c:pt idx="790">
                  <c:v>0.13542581365261164</c:v>
                </c:pt>
                <c:pt idx="791">
                  <c:v>0.18562910932490873</c:v>
                </c:pt>
                <c:pt idx="792">
                  <c:v>0.17968186651171614</c:v>
                </c:pt>
                <c:pt idx="793">
                  <c:v>0.19542858543985986</c:v>
                </c:pt>
                <c:pt idx="794">
                  <c:v>0.11829855220626406</c:v>
                </c:pt>
                <c:pt idx="795">
                  <c:v>0.13969072620608358</c:v>
                </c:pt>
                <c:pt idx="796">
                  <c:v>0.19886373467408092</c:v>
                </c:pt>
                <c:pt idx="797">
                  <c:v>0.14032166240385813</c:v>
                </c:pt>
                <c:pt idx="798">
                  <c:v>0.25000324747263925</c:v>
                </c:pt>
                <c:pt idx="799">
                  <c:v>0.18991270658115411</c:v>
                </c:pt>
                <c:pt idx="800">
                  <c:v>0.14537646783148972</c:v>
                </c:pt>
                <c:pt idx="801">
                  <c:v>0.12230083462187658</c:v>
                </c:pt>
                <c:pt idx="802">
                  <c:v>0.19577748813173734</c:v>
                </c:pt>
                <c:pt idx="803">
                  <c:v>0.25983986900392075</c:v>
                </c:pt>
                <c:pt idx="804">
                  <c:v>0.19191591144469022</c:v>
                </c:pt>
                <c:pt idx="805">
                  <c:v>0.16306319905081068</c:v>
                </c:pt>
                <c:pt idx="806">
                  <c:v>0.1622634388169697</c:v>
                </c:pt>
                <c:pt idx="807">
                  <c:v>0.15511200375020628</c:v>
                </c:pt>
                <c:pt idx="808">
                  <c:v>0.13607094101236328</c:v>
                </c:pt>
                <c:pt idx="809">
                  <c:v>0.22088717358958299</c:v>
                </c:pt>
                <c:pt idx="810">
                  <c:v>0.26445204584677562</c:v>
                </c:pt>
                <c:pt idx="811">
                  <c:v>0.18177674716191738</c:v>
                </c:pt>
                <c:pt idx="812">
                  <c:v>0.16209644410404955</c:v>
                </c:pt>
                <c:pt idx="813">
                  <c:v>0.19569361729181445</c:v>
                </c:pt>
                <c:pt idx="814">
                  <c:v>0.15940068087106241</c:v>
                </c:pt>
                <c:pt idx="815">
                  <c:v>0.22114509459331622</c:v>
                </c:pt>
                <c:pt idx="816">
                  <c:v>0.19316441107201854</c:v>
                </c:pt>
                <c:pt idx="817">
                  <c:v>0.13001294773287597</c:v>
                </c:pt>
                <c:pt idx="818">
                  <c:v>0.26033862569252442</c:v>
                </c:pt>
                <c:pt idx="819">
                  <c:v>0.20832689746115385</c:v>
                </c:pt>
                <c:pt idx="820">
                  <c:v>0.21257188766434609</c:v>
                </c:pt>
                <c:pt idx="821">
                  <c:v>0.18143435299878163</c:v>
                </c:pt>
                <c:pt idx="822">
                  <c:v>0.18524036039796421</c:v>
                </c:pt>
                <c:pt idx="823">
                  <c:v>0.12617569177432131</c:v>
                </c:pt>
                <c:pt idx="824">
                  <c:v>0.14380668677869934</c:v>
                </c:pt>
                <c:pt idx="825">
                  <c:v>0.13971343039500361</c:v>
                </c:pt>
                <c:pt idx="826">
                  <c:v>0.14429737048395275</c:v>
                </c:pt>
                <c:pt idx="827">
                  <c:v>0.26702968690811169</c:v>
                </c:pt>
                <c:pt idx="828">
                  <c:v>0.14453886990564691</c:v>
                </c:pt>
                <c:pt idx="829">
                  <c:v>0.2360083665772148</c:v>
                </c:pt>
                <c:pt idx="830">
                  <c:v>0.1529515349793904</c:v>
                </c:pt>
                <c:pt idx="831">
                  <c:v>0.13465403625712646</c:v>
                </c:pt>
                <c:pt idx="832">
                  <c:v>0.13500946060472785</c:v>
                </c:pt>
                <c:pt idx="833">
                  <c:v>0.32490267364283554</c:v>
                </c:pt>
                <c:pt idx="834">
                  <c:v>0.2413976035098333</c:v>
                </c:pt>
                <c:pt idx="835">
                  <c:v>0.30899780975670765</c:v>
                </c:pt>
                <c:pt idx="836">
                  <c:v>0.23349886192622904</c:v>
                </c:pt>
                <c:pt idx="837">
                  <c:v>0.16926251535177528</c:v>
                </c:pt>
                <c:pt idx="838">
                  <c:v>0.19359776019030939</c:v>
                </c:pt>
                <c:pt idx="839">
                  <c:v>0.18785377712271867</c:v>
                </c:pt>
                <c:pt idx="840">
                  <c:v>0.11363713883939042</c:v>
                </c:pt>
                <c:pt idx="841">
                  <c:v>0.17461634790568503</c:v>
                </c:pt>
                <c:pt idx="842">
                  <c:v>0.13245380204784674</c:v>
                </c:pt>
                <c:pt idx="843">
                  <c:v>0.21938532335227379</c:v>
                </c:pt>
                <c:pt idx="844">
                  <c:v>0.23366659545252055</c:v>
                </c:pt>
                <c:pt idx="845">
                  <c:v>0.16336322884913024</c:v>
                </c:pt>
                <c:pt idx="846">
                  <c:v>0.27738245464940903</c:v>
                </c:pt>
                <c:pt idx="847">
                  <c:v>0.12332132325147427</c:v>
                </c:pt>
                <c:pt idx="848">
                  <c:v>9.5644239540252585E-2</c:v>
                </c:pt>
                <c:pt idx="849">
                  <c:v>0.16862418394039658</c:v>
                </c:pt>
                <c:pt idx="850">
                  <c:v>0.15243148738799839</c:v>
                </c:pt>
                <c:pt idx="851">
                  <c:v>7.2360415392676458E-2</c:v>
                </c:pt>
                <c:pt idx="852">
                  <c:v>9.3427240687462998E-2</c:v>
                </c:pt>
                <c:pt idx="853">
                  <c:v>0.281722166638394</c:v>
                </c:pt>
                <c:pt idx="854">
                  <c:v>0.12910551468349851</c:v>
                </c:pt>
                <c:pt idx="855">
                  <c:v>0.14764350877362453</c:v>
                </c:pt>
                <c:pt idx="856">
                  <c:v>9.6422632622571669E-2</c:v>
                </c:pt>
                <c:pt idx="857">
                  <c:v>0.24553808642006913</c:v>
                </c:pt>
                <c:pt idx="858">
                  <c:v>9.1622013441414296E-2</c:v>
                </c:pt>
                <c:pt idx="859">
                  <c:v>0.16584290994246054</c:v>
                </c:pt>
                <c:pt idx="860">
                  <c:v>0.15308726927032801</c:v>
                </c:pt>
                <c:pt idx="861">
                  <c:v>0.2037285929123378</c:v>
                </c:pt>
                <c:pt idx="862">
                  <c:v>6.975478319491657E-2</c:v>
                </c:pt>
                <c:pt idx="863">
                  <c:v>0.1475422469097758</c:v>
                </c:pt>
                <c:pt idx="864">
                  <c:v>0.18362236152093203</c:v>
                </c:pt>
                <c:pt idx="865">
                  <c:v>0.217841763041287</c:v>
                </c:pt>
                <c:pt idx="866">
                  <c:v>5.3123640678826689E-2</c:v>
                </c:pt>
                <c:pt idx="867">
                  <c:v>0.14002430475472138</c:v>
                </c:pt>
                <c:pt idx="868">
                  <c:v>0.22198100868170023</c:v>
                </c:pt>
                <c:pt idx="869">
                  <c:v>0.19595612169075771</c:v>
                </c:pt>
                <c:pt idx="870">
                  <c:v>0.22299244676075602</c:v>
                </c:pt>
                <c:pt idx="871">
                  <c:v>0.20905649432506479</c:v>
                </c:pt>
                <c:pt idx="872">
                  <c:v>7.9375777628371225E-2</c:v>
                </c:pt>
                <c:pt idx="873">
                  <c:v>0.37929978307097834</c:v>
                </c:pt>
                <c:pt idx="874">
                  <c:v>3.4634605398499829E-2</c:v>
                </c:pt>
                <c:pt idx="875">
                  <c:v>0.2470955550377063</c:v>
                </c:pt>
                <c:pt idx="876">
                  <c:v>0.18518267577888281</c:v>
                </c:pt>
                <c:pt idx="877">
                  <c:v>0.27608220151760143</c:v>
                </c:pt>
                <c:pt idx="878">
                  <c:v>0.2021245102725171</c:v>
                </c:pt>
                <c:pt idx="879">
                  <c:v>0.14637446199689741</c:v>
                </c:pt>
                <c:pt idx="880">
                  <c:v>0.25445457132104998</c:v>
                </c:pt>
                <c:pt idx="881">
                  <c:v>0.23229949167542685</c:v>
                </c:pt>
                <c:pt idx="882">
                  <c:v>0.21312502215595686</c:v>
                </c:pt>
                <c:pt idx="883">
                  <c:v>0.13331392141542509</c:v>
                </c:pt>
                <c:pt idx="884">
                  <c:v>0.18196358867285767</c:v>
                </c:pt>
                <c:pt idx="885">
                  <c:v>0.18135670116000213</c:v>
                </c:pt>
                <c:pt idx="886">
                  <c:v>0.17073964867273972</c:v>
                </c:pt>
                <c:pt idx="887">
                  <c:v>0.15789338270181297</c:v>
                </c:pt>
                <c:pt idx="888">
                  <c:v>0.23707996008362997</c:v>
                </c:pt>
                <c:pt idx="889">
                  <c:v>0.12819297848256284</c:v>
                </c:pt>
                <c:pt idx="890">
                  <c:v>0.2221843526660674</c:v>
                </c:pt>
                <c:pt idx="891">
                  <c:v>0.28958187975157479</c:v>
                </c:pt>
                <c:pt idx="892">
                  <c:v>0.12687041805144439</c:v>
                </c:pt>
                <c:pt idx="893">
                  <c:v>0.20556295285534354</c:v>
                </c:pt>
                <c:pt idx="894">
                  <c:v>0.18201674557498215</c:v>
                </c:pt>
                <c:pt idx="895">
                  <c:v>0.22454406547118921</c:v>
                </c:pt>
                <c:pt idx="896">
                  <c:v>0.18150331513911233</c:v>
                </c:pt>
                <c:pt idx="897">
                  <c:v>0.22193757718493501</c:v>
                </c:pt>
                <c:pt idx="898">
                  <c:v>0.21219080031092119</c:v>
                </c:pt>
                <c:pt idx="899">
                  <c:v>0.14939845021709353</c:v>
                </c:pt>
                <c:pt idx="900">
                  <c:v>0.10728802816116634</c:v>
                </c:pt>
                <c:pt idx="901">
                  <c:v>0.10644753899492798</c:v>
                </c:pt>
                <c:pt idx="902">
                  <c:v>0.1845147125695803</c:v>
                </c:pt>
                <c:pt idx="903">
                  <c:v>0.18993182896534044</c:v>
                </c:pt>
                <c:pt idx="904">
                  <c:v>0.15582333155917993</c:v>
                </c:pt>
                <c:pt idx="905">
                  <c:v>0.18396768199989211</c:v>
                </c:pt>
                <c:pt idx="906">
                  <c:v>0.17479175325351726</c:v>
                </c:pt>
                <c:pt idx="907">
                  <c:v>0.20542702093449527</c:v>
                </c:pt>
                <c:pt idx="908">
                  <c:v>0.10870960050171341</c:v>
                </c:pt>
                <c:pt idx="909">
                  <c:v>0.1651133880515907</c:v>
                </c:pt>
                <c:pt idx="910">
                  <c:v>0.25505098507227153</c:v>
                </c:pt>
                <c:pt idx="911">
                  <c:v>0.19619331546179097</c:v>
                </c:pt>
                <c:pt idx="912">
                  <c:v>0.22087961425346236</c:v>
                </c:pt>
                <c:pt idx="913">
                  <c:v>0.18691473065145559</c:v>
                </c:pt>
                <c:pt idx="914">
                  <c:v>0.29716098714180994</c:v>
                </c:pt>
                <c:pt idx="915">
                  <c:v>0.2735801859756517</c:v>
                </c:pt>
                <c:pt idx="916">
                  <c:v>0.16584039692475017</c:v>
                </c:pt>
                <c:pt idx="917">
                  <c:v>0.19418076329434619</c:v>
                </c:pt>
                <c:pt idx="918">
                  <c:v>0.1599758798633939</c:v>
                </c:pt>
                <c:pt idx="919">
                  <c:v>0.2676260718782455</c:v>
                </c:pt>
                <c:pt idx="920">
                  <c:v>0.15830527332872713</c:v>
                </c:pt>
                <c:pt idx="921">
                  <c:v>0.13605150871434368</c:v>
                </c:pt>
                <c:pt idx="922">
                  <c:v>2.9983919494851463E-2</c:v>
                </c:pt>
                <c:pt idx="923">
                  <c:v>0.15336098629344974</c:v>
                </c:pt>
                <c:pt idx="924">
                  <c:v>0.15775472521982614</c:v>
                </c:pt>
                <c:pt idx="925">
                  <c:v>0.15790786540106794</c:v>
                </c:pt>
                <c:pt idx="926">
                  <c:v>0.3263972479451791</c:v>
                </c:pt>
                <c:pt idx="927">
                  <c:v>0.14880278516968914</c:v>
                </c:pt>
                <c:pt idx="928">
                  <c:v>0.22189425154736497</c:v>
                </c:pt>
                <c:pt idx="929">
                  <c:v>0.18250284782250148</c:v>
                </c:pt>
                <c:pt idx="930">
                  <c:v>0.28580540517902264</c:v>
                </c:pt>
                <c:pt idx="931">
                  <c:v>0.34713395773883171</c:v>
                </c:pt>
                <c:pt idx="932">
                  <c:v>0.19160124778707477</c:v>
                </c:pt>
                <c:pt idx="933">
                  <c:v>0.1816652928618705</c:v>
                </c:pt>
                <c:pt idx="934">
                  <c:v>0.13978506482101416</c:v>
                </c:pt>
                <c:pt idx="935">
                  <c:v>0.13317975887284383</c:v>
                </c:pt>
                <c:pt idx="936">
                  <c:v>0.15654163667112364</c:v>
                </c:pt>
                <c:pt idx="937">
                  <c:v>0.10206740599176989</c:v>
                </c:pt>
                <c:pt idx="938">
                  <c:v>0.18530280671294541</c:v>
                </c:pt>
                <c:pt idx="939">
                  <c:v>0.2772410216645369</c:v>
                </c:pt>
                <c:pt idx="940">
                  <c:v>0.20741260897738734</c:v>
                </c:pt>
                <c:pt idx="941">
                  <c:v>0.31153080640105202</c:v>
                </c:pt>
                <c:pt idx="942">
                  <c:v>0.20516838557397676</c:v>
                </c:pt>
                <c:pt idx="943">
                  <c:v>0.25864177271045996</c:v>
                </c:pt>
                <c:pt idx="944">
                  <c:v>0.15596714515341148</c:v>
                </c:pt>
                <c:pt idx="945">
                  <c:v>0.17471190279100313</c:v>
                </c:pt>
                <c:pt idx="946">
                  <c:v>0.16405634613539632</c:v>
                </c:pt>
                <c:pt idx="947">
                  <c:v>8.5239907796637482E-2</c:v>
                </c:pt>
                <c:pt idx="948">
                  <c:v>0.31544922201963388</c:v>
                </c:pt>
                <c:pt idx="949">
                  <c:v>0.22953210505259136</c:v>
                </c:pt>
                <c:pt idx="950">
                  <c:v>0.17334210935925398</c:v>
                </c:pt>
                <c:pt idx="951">
                  <c:v>0.20414151581630691</c:v>
                </c:pt>
                <c:pt idx="952">
                  <c:v>0.23207832023562069</c:v>
                </c:pt>
                <c:pt idx="953">
                  <c:v>0.16069791557979762</c:v>
                </c:pt>
                <c:pt idx="954">
                  <c:v>0.19915910743000964</c:v>
                </c:pt>
                <c:pt idx="955">
                  <c:v>7.0716569093242754E-2</c:v>
                </c:pt>
                <c:pt idx="956">
                  <c:v>0.17990036251461383</c:v>
                </c:pt>
                <c:pt idx="957">
                  <c:v>0.26310332761457289</c:v>
                </c:pt>
                <c:pt idx="958">
                  <c:v>0.19046332783930175</c:v>
                </c:pt>
                <c:pt idx="959">
                  <c:v>0.24735893317998503</c:v>
                </c:pt>
                <c:pt idx="960">
                  <c:v>0.27891150761588968</c:v>
                </c:pt>
                <c:pt idx="961">
                  <c:v>0.20355739381471594</c:v>
                </c:pt>
                <c:pt idx="962">
                  <c:v>0.15161560465166879</c:v>
                </c:pt>
                <c:pt idx="963">
                  <c:v>0.15615090919261654</c:v>
                </c:pt>
                <c:pt idx="964">
                  <c:v>0.22437067979752712</c:v>
                </c:pt>
                <c:pt idx="965">
                  <c:v>0.22311811200473741</c:v>
                </c:pt>
                <c:pt idx="966">
                  <c:v>0.1806117246680774</c:v>
                </c:pt>
                <c:pt idx="967">
                  <c:v>0.11553819077151672</c:v>
                </c:pt>
                <c:pt idx="968">
                  <c:v>0.23971830727899324</c:v>
                </c:pt>
                <c:pt idx="969">
                  <c:v>0.22154798782902496</c:v>
                </c:pt>
                <c:pt idx="970">
                  <c:v>0.28745340265623831</c:v>
                </c:pt>
                <c:pt idx="971">
                  <c:v>0.16102620369392717</c:v>
                </c:pt>
                <c:pt idx="972">
                  <c:v>0.32001733780809793</c:v>
                </c:pt>
                <c:pt idx="973">
                  <c:v>0.19469414055949485</c:v>
                </c:pt>
                <c:pt idx="974">
                  <c:v>0.16675599754010584</c:v>
                </c:pt>
                <c:pt idx="975">
                  <c:v>0.22250555427361007</c:v>
                </c:pt>
                <c:pt idx="976">
                  <c:v>0.12830831984236468</c:v>
                </c:pt>
                <c:pt idx="977">
                  <c:v>0.33737894808264279</c:v>
                </c:pt>
                <c:pt idx="978">
                  <c:v>9.5809109104514789E-2</c:v>
                </c:pt>
                <c:pt idx="979">
                  <c:v>0.16283494493426609</c:v>
                </c:pt>
                <c:pt idx="980">
                  <c:v>0.2355077249304145</c:v>
                </c:pt>
                <c:pt idx="981">
                  <c:v>0.25910090238284944</c:v>
                </c:pt>
                <c:pt idx="982">
                  <c:v>7.7646557066714195E-2</c:v>
                </c:pt>
                <c:pt idx="983">
                  <c:v>0.28246866833340611</c:v>
                </c:pt>
                <c:pt idx="984">
                  <c:v>0.1772743378114221</c:v>
                </c:pt>
                <c:pt idx="985">
                  <c:v>0.17596656790085419</c:v>
                </c:pt>
                <c:pt idx="986">
                  <c:v>0.15967337974205975</c:v>
                </c:pt>
                <c:pt idx="987">
                  <c:v>0.2079412520447157</c:v>
                </c:pt>
                <c:pt idx="988">
                  <c:v>0.16006966471062967</c:v>
                </c:pt>
                <c:pt idx="989">
                  <c:v>0.22389421603350357</c:v>
                </c:pt>
                <c:pt idx="990">
                  <c:v>0.11768644167705844</c:v>
                </c:pt>
                <c:pt idx="991">
                  <c:v>0.12495168785209643</c:v>
                </c:pt>
                <c:pt idx="992">
                  <c:v>0.17217707226263101</c:v>
                </c:pt>
                <c:pt idx="993">
                  <c:v>0.2220350788533878</c:v>
                </c:pt>
                <c:pt idx="994">
                  <c:v>0.12947106676273101</c:v>
                </c:pt>
                <c:pt idx="995">
                  <c:v>0.26325920511882117</c:v>
                </c:pt>
                <c:pt idx="996">
                  <c:v>0.30681821586246905</c:v>
                </c:pt>
                <c:pt idx="997">
                  <c:v>0.23798766966238816</c:v>
                </c:pt>
                <c:pt idx="998">
                  <c:v>0.12794391518956516</c:v>
                </c:pt>
                <c:pt idx="999">
                  <c:v>0.17288953456441725</c:v>
                </c:pt>
              </c:numCache>
            </c:numRef>
          </c:xVal>
          <c:yVal>
            <c:numRef>
              <c:f>PSA!$AS$5:$AS$1004</c:f>
              <c:numCache>
                <c:formatCode>General</c:formatCode>
                <c:ptCount val="1000"/>
                <c:pt idx="0">
                  <c:v>3175.0628337430753</c:v>
                </c:pt>
                <c:pt idx="1">
                  <c:v>2719.7584950366072</c:v>
                </c:pt>
                <c:pt idx="2">
                  <c:v>1468.4359721466535</c:v>
                </c:pt>
                <c:pt idx="3">
                  <c:v>4445.3592660666036</c:v>
                </c:pt>
                <c:pt idx="4">
                  <c:v>276.22255909360683</c:v>
                </c:pt>
                <c:pt idx="5">
                  <c:v>2335.0228763846098</c:v>
                </c:pt>
                <c:pt idx="6">
                  <c:v>3486.3584116757556</c:v>
                </c:pt>
                <c:pt idx="7">
                  <c:v>3607.5534641038757</c:v>
                </c:pt>
                <c:pt idx="8">
                  <c:v>5775.3593769239014</c:v>
                </c:pt>
                <c:pt idx="9">
                  <c:v>5709.9019293352248</c:v>
                </c:pt>
                <c:pt idx="10">
                  <c:v>5312.6015845131187</c:v>
                </c:pt>
                <c:pt idx="11">
                  <c:v>2862.9444002174132</c:v>
                </c:pt>
                <c:pt idx="12">
                  <c:v>-302.94740240794636</c:v>
                </c:pt>
                <c:pt idx="13">
                  <c:v>2884.6652105216053</c:v>
                </c:pt>
                <c:pt idx="14">
                  <c:v>6226.2248420270917</c:v>
                </c:pt>
                <c:pt idx="15">
                  <c:v>534.79061304785864</c:v>
                </c:pt>
                <c:pt idx="16">
                  <c:v>-827.6067501712896</c:v>
                </c:pt>
                <c:pt idx="17">
                  <c:v>3696.7552393760052</c:v>
                </c:pt>
                <c:pt idx="18">
                  <c:v>-2254.3385624955772</c:v>
                </c:pt>
                <c:pt idx="19">
                  <c:v>1571.2628035477101</c:v>
                </c:pt>
                <c:pt idx="20">
                  <c:v>4264.9956283772917</c:v>
                </c:pt>
                <c:pt idx="21">
                  <c:v>1905.4419930799922</c:v>
                </c:pt>
                <c:pt idx="22">
                  <c:v>2748.0856480856528</c:v>
                </c:pt>
                <c:pt idx="23">
                  <c:v>2901.3450368812701</c:v>
                </c:pt>
                <c:pt idx="24">
                  <c:v>2191.6252847964861</c:v>
                </c:pt>
                <c:pt idx="25">
                  <c:v>5763.6217783715547</c:v>
                </c:pt>
                <c:pt idx="26">
                  <c:v>3923.451944745073</c:v>
                </c:pt>
                <c:pt idx="27">
                  <c:v>3134.760970645606</c:v>
                </c:pt>
                <c:pt idx="28">
                  <c:v>4486.1122087116673</c:v>
                </c:pt>
                <c:pt idx="29">
                  <c:v>5677.6389261097866</c:v>
                </c:pt>
                <c:pt idx="30">
                  <c:v>5124.7670317716402</c:v>
                </c:pt>
                <c:pt idx="31">
                  <c:v>-204.79580291795719</c:v>
                </c:pt>
                <c:pt idx="32">
                  <c:v>5341.0741133743722</c:v>
                </c:pt>
                <c:pt idx="33">
                  <c:v>2590.4534333579504</c:v>
                </c:pt>
                <c:pt idx="34">
                  <c:v>3021.5946671456768</c:v>
                </c:pt>
                <c:pt idx="35">
                  <c:v>3511.3441211370809</c:v>
                </c:pt>
                <c:pt idx="36">
                  <c:v>6247.7813596109772</c:v>
                </c:pt>
                <c:pt idx="37">
                  <c:v>2807.4742795349521</c:v>
                </c:pt>
                <c:pt idx="38">
                  <c:v>3344.2301253512633</c:v>
                </c:pt>
                <c:pt idx="39">
                  <c:v>1326.858689770248</c:v>
                </c:pt>
                <c:pt idx="40">
                  <c:v>2295.1281287488964</c:v>
                </c:pt>
                <c:pt idx="41">
                  <c:v>5851.1071581499855</c:v>
                </c:pt>
                <c:pt idx="42">
                  <c:v>6575.6154713583965</c:v>
                </c:pt>
                <c:pt idx="43">
                  <c:v>1519.3341971028131</c:v>
                </c:pt>
                <c:pt idx="44">
                  <c:v>236.47426967284264</c:v>
                </c:pt>
                <c:pt idx="45">
                  <c:v>5937.5044467631596</c:v>
                </c:pt>
                <c:pt idx="46">
                  <c:v>4052.2194923993084</c:v>
                </c:pt>
                <c:pt idx="47">
                  <c:v>3750.696246942447</c:v>
                </c:pt>
                <c:pt idx="48">
                  <c:v>2303.6466183467564</c:v>
                </c:pt>
                <c:pt idx="49">
                  <c:v>2271.3625526280448</c:v>
                </c:pt>
                <c:pt idx="50">
                  <c:v>3597.8077438259934</c:v>
                </c:pt>
                <c:pt idx="51">
                  <c:v>-63.374889639671892</c:v>
                </c:pt>
                <c:pt idx="52">
                  <c:v>3619.3656211290654</c:v>
                </c:pt>
                <c:pt idx="53">
                  <c:v>4944.7885492479836</c:v>
                </c:pt>
                <c:pt idx="54">
                  <c:v>5720.4328874675411</c:v>
                </c:pt>
                <c:pt idx="55">
                  <c:v>5875.1802966654213</c:v>
                </c:pt>
                <c:pt idx="56">
                  <c:v>3898.1975326530592</c:v>
                </c:pt>
                <c:pt idx="57">
                  <c:v>3117.4550389260621</c:v>
                </c:pt>
                <c:pt idx="58">
                  <c:v>3381.7686003463168</c:v>
                </c:pt>
                <c:pt idx="59">
                  <c:v>2029.0479590864634</c:v>
                </c:pt>
                <c:pt idx="60">
                  <c:v>4068.2622259343407</c:v>
                </c:pt>
                <c:pt idx="61">
                  <c:v>3631.0425564643519</c:v>
                </c:pt>
                <c:pt idx="62">
                  <c:v>6254.2653702996031</c:v>
                </c:pt>
                <c:pt idx="63">
                  <c:v>3640.559293102735</c:v>
                </c:pt>
                <c:pt idx="64">
                  <c:v>-2025.1045233999903</c:v>
                </c:pt>
                <c:pt idx="65">
                  <c:v>4319.0185914776812</c:v>
                </c:pt>
                <c:pt idx="66">
                  <c:v>3997.6239293244289</c:v>
                </c:pt>
                <c:pt idx="67">
                  <c:v>3689.8298528861269</c:v>
                </c:pt>
                <c:pt idx="68">
                  <c:v>3398.8432829680751</c:v>
                </c:pt>
                <c:pt idx="69">
                  <c:v>7869.4395311917033</c:v>
                </c:pt>
                <c:pt idx="70">
                  <c:v>4228.9618703581436</c:v>
                </c:pt>
                <c:pt idx="71">
                  <c:v>3163.8707031306258</c:v>
                </c:pt>
                <c:pt idx="72">
                  <c:v>2546.7469168818643</c:v>
                </c:pt>
                <c:pt idx="73">
                  <c:v>3303.8909044909888</c:v>
                </c:pt>
                <c:pt idx="74">
                  <c:v>4399.1966126609186</c:v>
                </c:pt>
                <c:pt idx="75">
                  <c:v>-702.08313381865446</c:v>
                </c:pt>
                <c:pt idx="76">
                  <c:v>3422.2883188598644</c:v>
                </c:pt>
                <c:pt idx="77">
                  <c:v>2254.4915851632613</c:v>
                </c:pt>
                <c:pt idx="78">
                  <c:v>6216.9442813806454</c:v>
                </c:pt>
                <c:pt idx="79">
                  <c:v>4350.5866845994533</c:v>
                </c:pt>
                <c:pt idx="80">
                  <c:v>-878.24304566341743</c:v>
                </c:pt>
                <c:pt idx="81">
                  <c:v>5570.3349262520205</c:v>
                </c:pt>
                <c:pt idx="82">
                  <c:v>1921.5668372671789</c:v>
                </c:pt>
                <c:pt idx="83">
                  <c:v>4756.3905407833881</c:v>
                </c:pt>
                <c:pt idx="84">
                  <c:v>2385.012025874792</c:v>
                </c:pt>
                <c:pt idx="85">
                  <c:v>1377.7255060188691</c:v>
                </c:pt>
                <c:pt idx="86">
                  <c:v>5904.4402047999101</c:v>
                </c:pt>
                <c:pt idx="87">
                  <c:v>5030.3459673489415</c:v>
                </c:pt>
                <c:pt idx="88">
                  <c:v>3714.4797245535447</c:v>
                </c:pt>
                <c:pt idx="89">
                  <c:v>1592.0073563967089</c:v>
                </c:pt>
                <c:pt idx="90">
                  <c:v>6517.1628385604708</c:v>
                </c:pt>
                <c:pt idx="91">
                  <c:v>4438.0578846675635</c:v>
                </c:pt>
                <c:pt idx="92">
                  <c:v>2767.2806950701925</c:v>
                </c:pt>
                <c:pt idx="93">
                  <c:v>-2955.4377743155346</c:v>
                </c:pt>
                <c:pt idx="94">
                  <c:v>-867.75182853428123</c:v>
                </c:pt>
                <c:pt idx="95">
                  <c:v>3826.7631509218481</c:v>
                </c:pt>
                <c:pt idx="96">
                  <c:v>5315.2662986924188</c:v>
                </c:pt>
                <c:pt idx="97">
                  <c:v>3452.7990344617938</c:v>
                </c:pt>
                <c:pt idx="98">
                  <c:v>3610.170598457953</c:v>
                </c:pt>
                <c:pt idx="99">
                  <c:v>3790.456815634192</c:v>
                </c:pt>
                <c:pt idx="100">
                  <c:v>4123.1032169282262</c:v>
                </c:pt>
                <c:pt idx="101">
                  <c:v>-995.6840177304839</c:v>
                </c:pt>
                <c:pt idx="102">
                  <c:v>1707.7309464661012</c:v>
                </c:pt>
                <c:pt idx="103">
                  <c:v>4188.4535850280154</c:v>
                </c:pt>
                <c:pt idx="104">
                  <c:v>2909.533587265134</c:v>
                </c:pt>
                <c:pt idx="105">
                  <c:v>-3328.2035668719036</c:v>
                </c:pt>
                <c:pt idx="106">
                  <c:v>-2292.9912123608083</c:v>
                </c:pt>
                <c:pt idx="107">
                  <c:v>3694.4630149172444</c:v>
                </c:pt>
                <c:pt idx="108">
                  <c:v>4380.2635685347341</c:v>
                </c:pt>
                <c:pt idx="109">
                  <c:v>5774.608433699701</c:v>
                </c:pt>
                <c:pt idx="110">
                  <c:v>2045.9475151210354</c:v>
                </c:pt>
                <c:pt idx="111">
                  <c:v>5011.1507749054872</c:v>
                </c:pt>
                <c:pt idx="112">
                  <c:v>3175.465816201453</c:v>
                </c:pt>
                <c:pt idx="113">
                  <c:v>739.45034708503226</c:v>
                </c:pt>
                <c:pt idx="114">
                  <c:v>674.90787292439927</c:v>
                </c:pt>
                <c:pt idx="115">
                  <c:v>2811.4755350843188</c:v>
                </c:pt>
                <c:pt idx="116">
                  <c:v>3680.8952787352537</c:v>
                </c:pt>
                <c:pt idx="117">
                  <c:v>-1160.5457469420653</c:v>
                </c:pt>
                <c:pt idx="118">
                  <c:v>934.46873949553992</c:v>
                </c:pt>
                <c:pt idx="119">
                  <c:v>2775.4721309886954</c:v>
                </c:pt>
                <c:pt idx="120">
                  <c:v>3841.0950415902407</c:v>
                </c:pt>
                <c:pt idx="121">
                  <c:v>2990.1566802158195</c:v>
                </c:pt>
                <c:pt idx="122">
                  <c:v>4298.9350630053887</c:v>
                </c:pt>
                <c:pt idx="123">
                  <c:v>3473.6318242651541</c:v>
                </c:pt>
                <c:pt idx="124">
                  <c:v>2052.7747107172399</c:v>
                </c:pt>
                <c:pt idx="125">
                  <c:v>-2907.1993453104224</c:v>
                </c:pt>
                <c:pt idx="126">
                  <c:v>4436.4187852634423</c:v>
                </c:pt>
                <c:pt idx="127">
                  <c:v>1859.3907821153625</c:v>
                </c:pt>
                <c:pt idx="128">
                  <c:v>3094.9336234496368</c:v>
                </c:pt>
                <c:pt idx="129">
                  <c:v>4487.7919052692669</c:v>
                </c:pt>
                <c:pt idx="130">
                  <c:v>3616.4003439339867</c:v>
                </c:pt>
                <c:pt idx="131">
                  <c:v>3363.0200095803375</c:v>
                </c:pt>
                <c:pt idx="132">
                  <c:v>4623.0556358405738</c:v>
                </c:pt>
                <c:pt idx="133">
                  <c:v>1565.0676886970905</c:v>
                </c:pt>
                <c:pt idx="134">
                  <c:v>3519.8738689577149</c:v>
                </c:pt>
                <c:pt idx="135">
                  <c:v>5121.8305538987843</c:v>
                </c:pt>
                <c:pt idx="136">
                  <c:v>4655.3541604621205</c:v>
                </c:pt>
                <c:pt idx="137">
                  <c:v>-1495.7396151796056</c:v>
                </c:pt>
                <c:pt idx="138">
                  <c:v>-1259.8395544744635</c:v>
                </c:pt>
                <c:pt idx="139">
                  <c:v>485.78045283797837</c:v>
                </c:pt>
                <c:pt idx="140">
                  <c:v>3823.8213650886391</c:v>
                </c:pt>
                <c:pt idx="141">
                  <c:v>4163.6849440424703</c:v>
                </c:pt>
                <c:pt idx="142">
                  <c:v>3042.3076414258103</c:v>
                </c:pt>
                <c:pt idx="143">
                  <c:v>6461.674629659632</c:v>
                </c:pt>
                <c:pt idx="144">
                  <c:v>-644.42051841446664</c:v>
                </c:pt>
                <c:pt idx="145">
                  <c:v>2746.7717212960924</c:v>
                </c:pt>
                <c:pt idx="146">
                  <c:v>2127.9676407188672</c:v>
                </c:pt>
                <c:pt idx="147">
                  <c:v>5807.9687609342</c:v>
                </c:pt>
                <c:pt idx="148">
                  <c:v>367.32155767999211</c:v>
                </c:pt>
                <c:pt idx="149">
                  <c:v>4196.985925955807</c:v>
                </c:pt>
                <c:pt idx="150">
                  <c:v>3048.9692013741369</c:v>
                </c:pt>
                <c:pt idx="151">
                  <c:v>2170.5543932392538</c:v>
                </c:pt>
                <c:pt idx="152">
                  <c:v>3265.7675982691799</c:v>
                </c:pt>
                <c:pt idx="153">
                  <c:v>4581.977914555122</c:v>
                </c:pt>
                <c:pt idx="154">
                  <c:v>1809.3339211917555</c:v>
                </c:pt>
                <c:pt idx="155">
                  <c:v>-231.72385154179938</c:v>
                </c:pt>
                <c:pt idx="156">
                  <c:v>1481.7857274003181</c:v>
                </c:pt>
                <c:pt idx="157">
                  <c:v>4363.8298913933031</c:v>
                </c:pt>
                <c:pt idx="158">
                  <c:v>2550.6340998708183</c:v>
                </c:pt>
                <c:pt idx="159">
                  <c:v>-2732.9664522273451</c:v>
                </c:pt>
                <c:pt idx="160">
                  <c:v>2204.3949524739801</c:v>
                </c:pt>
                <c:pt idx="161">
                  <c:v>4186.0465974173785</c:v>
                </c:pt>
                <c:pt idx="162">
                  <c:v>3172.6120010431696</c:v>
                </c:pt>
                <c:pt idx="163">
                  <c:v>2013.3078474043432</c:v>
                </c:pt>
                <c:pt idx="164">
                  <c:v>2422.2543821877189</c:v>
                </c:pt>
                <c:pt idx="165">
                  <c:v>5042.0759565224726</c:v>
                </c:pt>
                <c:pt idx="166">
                  <c:v>2068.4420723947114</c:v>
                </c:pt>
                <c:pt idx="167">
                  <c:v>9561.8320858600346</c:v>
                </c:pt>
                <c:pt idx="168">
                  <c:v>5604.3191834925965</c:v>
                </c:pt>
                <c:pt idx="169">
                  <c:v>4573.9802600928451</c:v>
                </c:pt>
                <c:pt idx="170">
                  <c:v>8678.1860680327591</c:v>
                </c:pt>
                <c:pt idx="171">
                  <c:v>2912.5065822472025</c:v>
                </c:pt>
                <c:pt idx="172">
                  <c:v>6013.4623619389968</c:v>
                </c:pt>
                <c:pt idx="173">
                  <c:v>773.35899000227073</c:v>
                </c:pt>
                <c:pt idx="174">
                  <c:v>4786.0514949940844</c:v>
                </c:pt>
                <c:pt idx="175">
                  <c:v>2160.5815223577301</c:v>
                </c:pt>
                <c:pt idx="176">
                  <c:v>3847.4834338532746</c:v>
                </c:pt>
                <c:pt idx="177">
                  <c:v>842.18485365112429</c:v>
                </c:pt>
                <c:pt idx="178">
                  <c:v>5262.1578721952537</c:v>
                </c:pt>
                <c:pt idx="179">
                  <c:v>4690.1739855031556</c:v>
                </c:pt>
                <c:pt idx="180">
                  <c:v>5243.9125197548783</c:v>
                </c:pt>
                <c:pt idx="181">
                  <c:v>8737.5505804931672</c:v>
                </c:pt>
                <c:pt idx="182">
                  <c:v>1563.8038325320085</c:v>
                </c:pt>
                <c:pt idx="183">
                  <c:v>6896.4218355137709</c:v>
                </c:pt>
                <c:pt idx="184">
                  <c:v>2158.0039305627652</c:v>
                </c:pt>
                <c:pt idx="185">
                  <c:v>798.62783295922418</c:v>
                </c:pt>
                <c:pt idx="186">
                  <c:v>2823.4628557762844</c:v>
                </c:pt>
                <c:pt idx="187">
                  <c:v>5065.686595210449</c:v>
                </c:pt>
                <c:pt idx="188">
                  <c:v>6061.6263500427885</c:v>
                </c:pt>
                <c:pt idx="189">
                  <c:v>4237.2969577953481</c:v>
                </c:pt>
                <c:pt idx="190">
                  <c:v>1748.5764956595158</c:v>
                </c:pt>
                <c:pt idx="191">
                  <c:v>6028.2733888987132</c:v>
                </c:pt>
                <c:pt idx="192">
                  <c:v>4146.9187245149296</c:v>
                </c:pt>
                <c:pt idx="193">
                  <c:v>4929.6897000479948</c:v>
                </c:pt>
                <c:pt idx="194">
                  <c:v>3770.41523527151</c:v>
                </c:pt>
                <c:pt idx="195">
                  <c:v>-2134.7433261287224</c:v>
                </c:pt>
                <c:pt idx="196">
                  <c:v>-4522.922861852363</c:v>
                </c:pt>
                <c:pt idx="197">
                  <c:v>2336.3733627385955</c:v>
                </c:pt>
                <c:pt idx="198">
                  <c:v>1133.5990709391408</c:v>
                </c:pt>
                <c:pt idx="199">
                  <c:v>2719.592314744441</c:v>
                </c:pt>
                <c:pt idx="200">
                  <c:v>4965.0076155104616</c:v>
                </c:pt>
                <c:pt idx="201">
                  <c:v>1259.7913335050325</c:v>
                </c:pt>
                <c:pt idx="202">
                  <c:v>2552.3480221175632</c:v>
                </c:pt>
                <c:pt idx="203">
                  <c:v>2751.965314653673</c:v>
                </c:pt>
                <c:pt idx="204">
                  <c:v>1852.3113356555114</c:v>
                </c:pt>
                <c:pt idx="205">
                  <c:v>3504.9924741353243</c:v>
                </c:pt>
                <c:pt idx="206">
                  <c:v>2363.172368902844</c:v>
                </c:pt>
                <c:pt idx="207">
                  <c:v>2812.8988961650903</c:v>
                </c:pt>
                <c:pt idx="208">
                  <c:v>-760.19997113988211</c:v>
                </c:pt>
                <c:pt idx="209">
                  <c:v>2444.1315463773863</c:v>
                </c:pt>
                <c:pt idx="210">
                  <c:v>5109.0749362101415</c:v>
                </c:pt>
                <c:pt idx="211">
                  <c:v>-845.33597078722232</c:v>
                </c:pt>
                <c:pt idx="212">
                  <c:v>306.87311551725725</c:v>
                </c:pt>
                <c:pt idx="213">
                  <c:v>1253.8983442465542</c:v>
                </c:pt>
                <c:pt idx="214">
                  <c:v>2460.3155192693448</c:v>
                </c:pt>
                <c:pt idx="215">
                  <c:v>5553.5225391265776</c:v>
                </c:pt>
                <c:pt idx="216">
                  <c:v>1422.7468888587973</c:v>
                </c:pt>
                <c:pt idx="217">
                  <c:v>3845.8704059528754</c:v>
                </c:pt>
                <c:pt idx="218">
                  <c:v>3793.2113844567575</c:v>
                </c:pt>
                <c:pt idx="219">
                  <c:v>4326.2859376421184</c:v>
                </c:pt>
                <c:pt idx="220">
                  <c:v>2146.0824582515706</c:v>
                </c:pt>
                <c:pt idx="221">
                  <c:v>1724.8395515852171</c:v>
                </c:pt>
                <c:pt idx="222">
                  <c:v>1373.2298444049084</c:v>
                </c:pt>
                <c:pt idx="223">
                  <c:v>1844.5667507918406</c:v>
                </c:pt>
                <c:pt idx="224">
                  <c:v>4361.5719226088404</c:v>
                </c:pt>
                <c:pt idx="225">
                  <c:v>12141.52750237663</c:v>
                </c:pt>
                <c:pt idx="226">
                  <c:v>-1572.8032611756425</c:v>
                </c:pt>
                <c:pt idx="227">
                  <c:v>6679.34791627706</c:v>
                </c:pt>
                <c:pt idx="228">
                  <c:v>2918.5215159633153</c:v>
                </c:pt>
                <c:pt idx="229">
                  <c:v>3804.4761101126278</c:v>
                </c:pt>
                <c:pt idx="230">
                  <c:v>3735.9768534519826</c:v>
                </c:pt>
                <c:pt idx="231">
                  <c:v>3881.6572614280085</c:v>
                </c:pt>
                <c:pt idx="232">
                  <c:v>812.42148307521711</c:v>
                </c:pt>
                <c:pt idx="233">
                  <c:v>7672.1632815992853</c:v>
                </c:pt>
                <c:pt idx="234">
                  <c:v>4542.9297921495308</c:v>
                </c:pt>
                <c:pt idx="235">
                  <c:v>2119.2059684354899</c:v>
                </c:pt>
                <c:pt idx="236">
                  <c:v>3308.2487718645498</c:v>
                </c:pt>
                <c:pt idx="237">
                  <c:v>3988.6891305406971</c:v>
                </c:pt>
                <c:pt idx="238">
                  <c:v>3438.5764944664188</c:v>
                </c:pt>
                <c:pt idx="239">
                  <c:v>3851.915221342424</c:v>
                </c:pt>
                <c:pt idx="240">
                  <c:v>2837.8609717391009</c:v>
                </c:pt>
                <c:pt idx="241">
                  <c:v>1055.233809154277</c:v>
                </c:pt>
                <c:pt idx="242">
                  <c:v>3619.706401172145</c:v>
                </c:pt>
                <c:pt idx="243">
                  <c:v>1407.423839767871</c:v>
                </c:pt>
                <c:pt idx="244">
                  <c:v>7674.8638400532582</c:v>
                </c:pt>
                <c:pt idx="245">
                  <c:v>4031.7032036581004</c:v>
                </c:pt>
                <c:pt idx="246">
                  <c:v>1162.4453708182409</c:v>
                </c:pt>
                <c:pt idx="247">
                  <c:v>1355.0491117559723</c:v>
                </c:pt>
                <c:pt idx="248">
                  <c:v>167.5718057959748</c:v>
                </c:pt>
                <c:pt idx="249">
                  <c:v>3683.968699876983</c:v>
                </c:pt>
                <c:pt idx="250">
                  <c:v>4892.4578752807356</c:v>
                </c:pt>
                <c:pt idx="251">
                  <c:v>1478.1625494847831</c:v>
                </c:pt>
                <c:pt idx="252">
                  <c:v>2147.2015920655249</c:v>
                </c:pt>
                <c:pt idx="253">
                  <c:v>201.63317237121373</c:v>
                </c:pt>
                <c:pt idx="254">
                  <c:v>3469.5470590446785</c:v>
                </c:pt>
                <c:pt idx="255">
                  <c:v>2531.6931850890251</c:v>
                </c:pt>
                <c:pt idx="256">
                  <c:v>3897.5576249706646</c:v>
                </c:pt>
                <c:pt idx="257">
                  <c:v>4918.1414075075299</c:v>
                </c:pt>
                <c:pt idx="258">
                  <c:v>4652.7359180490457</c:v>
                </c:pt>
                <c:pt idx="259">
                  <c:v>5930.1667643487817</c:v>
                </c:pt>
                <c:pt idx="260">
                  <c:v>788.4151361222539</c:v>
                </c:pt>
                <c:pt idx="261">
                  <c:v>4635.5306447632538</c:v>
                </c:pt>
                <c:pt idx="262">
                  <c:v>4669.5131827287405</c:v>
                </c:pt>
                <c:pt idx="263">
                  <c:v>476.77400857272005</c:v>
                </c:pt>
                <c:pt idx="264">
                  <c:v>1699.088679319284</c:v>
                </c:pt>
                <c:pt idx="265">
                  <c:v>6194.5734734190773</c:v>
                </c:pt>
                <c:pt idx="266">
                  <c:v>513.29413732636021</c:v>
                </c:pt>
                <c:pt idx="267">
                  <c:v>6027.3826501329459</c:v>
                </c:pt>
                <c:pt idx="268">
                  <c:v>5207.7615670833693</c:v>
                </c:pt>
                <c:pt idx="269">
                  <c:v>1218.1111894359201</c:v>
                </c:pt>
                <c:pt idx="270">
                  <c:v>1062.0599934920319</c:v>
                </c:pt>
                <c:pt idx="271">
                  <c:v>3341.2484579393931</c:v>
                </c:pt>
                <c:pt idx="272">
                  <c:v>3785.0961440490137</c:v>
                </c:pt>
                <c:pt idx="273">
                  <c:v>1913.2296301285751</c:v>
                </c:pt>
                <c:pt idx="274">
                  <c:v>5763.1518289462474</c:v>
                </c:pt>
                <c:pt idx="275">
                  <c:v>2023.4297894913398</c:v>
                </c:pt>
                <c:pt idx="276">
                  <c:v>4739.4137773382245</c:v>
                </c:pt>
                <c:pt idx="277">
                  <c:v>1068.7145339411218</c:v>
                </c:pt>
                <c:pt idx="278">
                  <c:v>4790.0342155215112</c:v>
                </c:pt>
                <c:pt idx="279">
                  <c:v>4313.2244748714875</c:v>
                </c:pt>
                <c:pt idx="280">
                  <c:v>1117.1104076487245</c:v>
                </c:pt>
                <c:pt idx="281">
                  <c:v>4458.3558382181654</c:v>
                </c:pt>
                <c:pt idx="282">
                  <c:v>3252.2234433359918</c:v>
                </c:pt>
                <c:pt idx="283">
                  <c:v>1994.970157476062</c:v>
                </c:pt>
                <c:pt idx="284">
                  <c:v>5781.5911560781533</c:v>
                </c:pt>
                <c:pt idx="285">
                  <c:v>6213.951245666256</c:v>
                </c:pt>
                <c:pt idx="286">
                  <c:v>3103.7764390209923</c:v>
                </c:pt>
                <c:pt idx="287">
                  <c:v>7461.0063240933741</c:v>
                </c:pt>
                <c:pt idx="288">
                  <c:v>4754.410314175133</c:v>
                </c:pt>
                <c:pt idx="289">
                  <c:v>5319.1896589185417</c:v>
                </c:pt>
                <c:pt idx="290">
                  <c:v>909.44097432178387</c:v>
                </c:pt>
                <c:pt idx="291">
                  <c:v>4909.0057807161429</c:v>
                </c:pt>
                <c:pt idx="292">
                  <c:v>1307.7037047533013</c:v>
                </c:pt>
                <c:pt idx="293">
                  <c:v>-2119.4000628800495</c:v>
                </c:pt>
                <c:pt idx="294">
                  <c:v>2746.1667340668646</c:v>
                </c:pt>
                <c:pt idx="295">
                  <c:v>5563.6674028953857</c:v>
                </c:pt>
                <c:pt idx="296">
                  <c:v>2843.3410188722264</c:v>
                </c:pt>
                <c:pt idx="297">
                  <c:v>9964.5932835611675</c:v>
                </c:pt>
                <c:pt idx="298">
                  <c:v>287.69385746119951</c:v>
                </c:pt>
                <c:pt idx="299">
                  <c:v>5146.5141207906854</c:v>
                </c:pt>
                <c:pt idx="300">
                  <c:v>3480.9070636966644</c:v>
                </c:pt>
                <c:pt idx="301">
                  <c:v>4392.0038597063467</c:v>
                </c:pt>
                <c:pt idx="302">
                  <c:v>4812.8243895410196</c:v>
                </c:pt>
                <c:pt idx="303">
                  <c:v>3910.5106077603705</c:v>
                </c:pt>
                <c:pt idx="304">
                  <c:v>6346.6440644518734</c:v>
                </c:pt>
                <c:pt idx="305">
                  <c:v>7344.9581583654508</c:v>
                </c:pt>
                <c:pt idx="306">
                  <c:v>2164.5448525851825</c:v>
                </c:pt>
                <c:pt idx="307">
                  <c:v>2501.6459798555006</c:v>
                </c:pt>
                <c:pt idx="308">
                  <c:v>5165.6015379225282</c:v>
                </c:pt>
                <c:pt idx="309">
                  <c:v>263.34272653266089</c:v>
                </c:pt>
                <c:pt idx="310">
                  <c:v>922.99334437902871</c:v>
                </c:pt>
                <c:pt idx="311">
                  <c:v>2296.5303592208584</c:v>
                </c:pt>
                <c:pt idx="312">
                  <c:v>3789.0886495256345</c:v>
                </c:pt>
                <c:pt idx="313">
                  <c:v>1202.018139942229</c:v>
                </c:pt>
                <c:pt idx="314">
                  <c:v>441.65795755528234</c:v>
                </c:pt>
                <c:pt idx="315">
                  <c:v>4848.5405367057319</c:v>
                </c:pt>
                <c:pt idx="316">
                  <c:v>2430.8506897724656</c:v>
                </c:pt>
                <c:pt idx="317">
                  <c:v>592.01839366950298</c:v>
                </c:pt>
                <c:pt idx="318">
                  <c:v>-349.16930507770303</c:v>
                </c:pt>
                <c:pt idx="319">
                  <c:v>3279.1506782909055</c:v>
                </c:pt>
                <c:pt idx="320">
                  <c:v>12716.868625340765</c:v>
                </c:pt>
                <c:pt idx="321">
                  <c:v>-1754.6635465052314</c:v>
                </c:pt>
                <c:pt idx="322">
                  <c:v>1417.5839676096366</c:v>
                </c:pt>
                <c:pt idx="323">
                  <c:v>-720.80222227159538</c:v>
                </c:pt>
                <c:pt idx="324">
                  <c:v>-3027.3815048282122</c:v>
                </c:pt>
                <c:pt idx="325">
                  <c:v>3054.3267475031244</c:v>
                </c:pt>
                <c:pt idx="326">
                  <c:v>6156.3251525767701</c:v>
                </c:pt>
                <c:pt idx="327">
                  <c:v>5239.2497561376949</c:v>
                </c:pt>
                <c:pt idx="328">
                  <c:v>3379.2646205115961</c:v>
                </c:pt>
                <c:pt idx="329">
                  <c:v>2662.7858635672819</c:v>
                </c:pt>
                <c:pt idx="330">
                  <c:v>2638.8077231956413</c:v>
                </c:pt>
                <c:pt idx="331">
                  <c:v>3782.8848282111285</c:v>
                </c:pt>
                <c:pt idx="332">
                  <c:v>3376.2752610493117</c:v>
                </c:pt>
                <c:pt idx="333">
                  <c:v>3520.8699087596615</c:v>
                </c:pt>
                <c:pt idx="334">
                  <c:v>1797.9638873265794</c:v>
                </c:pt>
                <c:pt idx="335">
                  <c:v>2524.401109189901</c:v>
                </c:pt>
                <c:pt idx="336">
                  <c:v>4469.9185642192606</c:v>
                </c:pt>
                <c:pt idx="337">
                  <c:v>7089.0654814847367</c:v>
                </c:pt>
                <c:pt idx="338">
                  <c:v>2238.7823972578917</c:v>
                </c:pt>
                <c:pt idx="339">
                  <c:v>3474.8017170687745</c:v>
                </c:pt>
                <c:pt idx="340">
                  <c:v>825.95021988033113</c:v>
                </c:pt>
                <c:pt idx="341">
                  <c:v>3581.5493127102454</c:v>
                </c:pt>
                <c:pt idx="342">
                  <c:v>3577.5423710812611</c:v>
                </c:pt>
                <c:pt idx="343">
                  <c:v>2196.006164894643</c:v>
                </c:pt>
                <c:pt idx="344">
                  <c:v>3360.5497380696979</c:v>
                </c:pt>
                <c:pt idx="345">
                  <c:v>2818.2082185020045</c:v>
                </c:pt>
                <c:pt idx="346">
                  <c:v>1019.7369138207432</c:v>
                </c:pt>
                <c:pt idx="347">
                  <c:v>6025.9354232430778</c:v>
                </c:pt>
                <c:pt idx="348">
                  <c:v>3663.9907775627653</c:v>
                </c:pt>
                <c:pt idx="349">
                  <c:v>3641.7069663060684</c:v>
                </c:pt>
                <c:pt idx="350">
                  <c:v>4847.6095771418986</c:v>
                </c:pt>
                <c:pt idx="351">
                  <c:v>2051.944380465</c:v>
                </c:pt>
                <c:pt idx="352">
                  <c:v>4463.7702229767892</c:v>
                </c:pt>
                <c:pt idx="353">
                  <c:v>4187.0146852905746</c:v>
                </c:pt>
                <c:pt idx="354">
                  <c:v>634.66290720742109</c:v>
                </c:pt>
                <c:pt idx="355">
                  <c:v>3360.0397594825045</c:v>
                </c:pt>
                <c:pt idx="356">
                  <c:v>2626.1109003890451</c:v>
                </c:pt>
                <c:pt idx="357">
                  <c:v>-628.55585710076411</c:v>
                </c:pt>
                <c:pt idx="358">
                  <c:v>9333.2144731873195</c:v>
                </c:pt>
                <c:pt idx="359">
                  <c:v>2793.7899814891352</c:v>
                </c:pt>
                <c:pt idx="360">
                  <c:v>4265.244508694137</c:v>
                </c:pt>
                <c:pt idx="361">
                  <c:v>1544.8196046307494</c:v>
                </c:pt>
                <c:pt idx="362">
                  <c:v>2157.8899790149808</c:v>
                </c:pt>
                <c:pt idx="363">
                  <c:v>1387.7970091443131</c:v>
                </c:pt>
                <c:pt idx="364">
                  <c:v>3739.1852857024423</c:v>
                </c:pt>
                <c:pt idx="365">
                  <c:v>914.77889267847058</c:v>
                </c:pt>
                <c:pt idx="366">
                  <c:v>3339.0279021314491</c:v>
                </c:pt>
                <c:pt idx="367">
                  <c:v>1393.322733688583</c:v>
                </c:pt>
                <c:pt idx="368">
                  <c:v>-843.54437730027712</c:v>
                </c:pt>
                <c:pt idx="369">
                  <c:v>6051.781815693379</c:v>
                </c:pt>
                <c:pt idx="370">
                  <c:v>1513.5513973398847</c:v>
                </c:pt>
                <c:pt idx="371">
                  <c:v>5412.5186102706939</c:v>
                </c:pt>
                <c:pt idx="372">
                  <c:v>2708.1235452376568</c:v>
                </c:pt>
                <c:pt idx="373">
                  <c:v>-1726.3978999856699</c:v>
                </c:pt>
                <c:pt idx="374">
                  <c:v>5708.3868645146576</c:v>
                </c:pt>
                <c:pt idx="375">
                  <c:v>4027.6402968502225</c:v>
                </c:pt>
                <c:pt idx="376">
                  <c:v>5020.2811156479438</c:v>
                </c:pt>
                <c:pt idx="377">
                  <c:v>1593.3945876847283</c:v>
                </c:pt>
                <c:pt idx="378">
                  <c:v>3684.8818302397049</c:v>
                </c:pt>
                <c:pt idx="379">
                  <c:v>4918.1222366538423</c:v>
                </c:pt>
                <c:pt idx="380">
                  <c:v>54.251762833548128</c:v>
                </c:pt>
                <c:pt idx="381">
                  <c:v>6478.9232729397336</c:v>
                </c:pt>
                <c:pt idx="382">
                  <c:v>-382.90598657837108</c:v>
                </c:pt>
                <c:pt idx="383">
                  <c:v>2933.9793455686013</c:v>
                </c:pt>
                <c:pt idx="384">
                  <c:v>861.08310050477303</c:v>
                </c:pt>
                <c:pt idx="385">
                  <c:v>4289.4862869589488</c:v>
                </c:pt>
                <c:pt idx="386">
                  <c:v>4599.2917800059367</c:v>
                </c:pt>
                <c:pt idx="387">
                  <c:v>3629.9803693947833</c:v>
                </c:pt>
                <c:pt idx="388">
                  <c:v>4669.7479106923347</c:v>
                </c:pt>
                <c:pt idx="389">
                  <c:v>3110.5498907611982</c:v>
                </c:pt>
                <c:pt idx="390">
                  <c:v>755.42886666915001</c:v>
                </c:pt>
                <c:pt idx="391">
                  <c:v>5170.1390705012891</c:v>
                </c:pt>
                <c:pt idx="392">
                  <c:v>-3261.9653064044614</c:v>
                </c:pt>
                <c:pt idx="393">
                  <c:v>549.18396558373934</c:v>
                </c:pt>
                <c:pt idx="394">
                  <c:v>3437.6099797595307</c:v>
                </c:pt>
                <c:pt idx="395">
                  <c:v>5902.3577235574703</c:v>
                </c:pt>
                <c:pt idx="396">
                  <c:v>3896.8669645205591</c:v>
                </c:pt>
                <c:pt idx="397">
                  <c:v>3510.305901540276</c:v>
                </c:pt>
                <c:pt idx="398">
                  <c:v>3127.9894677147095</c:v>
                </c:pt>
                <c:pt idx="399">
                  <c:v>3002.290894571961</c:v>
                </c:pt>
                <c:pt idx="400">
                  <c:v>3620.2728011810614</c:v>
                </c:pt>
                <c:pt idx="401">
                  <c:v>5785.8887405758651</c:v>
                </c:pt>
                <c:pt idx="402">
                  <c:v>2335.2446866469982</c:v>
                </c:pt>
                <c:pt idx="403">
                  <c:v>161.19576024336129</c:v>
                </c:pt>
                <c:pt idx="404">
                  <c:v>4501.3579718193432</c:v>
                </c:pt>
                <c:pt idx="405">
                  <c:v>5939.0127601001368</c:v>
                </c:pt>
                <c:pt idx="406">
                  <c:v>-438.68350411375286</c:v>
                </c:pt>
                <c:pt idx="407">
                  <c:v>1347.7716603251392</c:v>
                </c:pt>
                <c:pt idx="408">
                  <c:v>3895.9127349331757</c:v>
                </c:pt>
                <c:pt idx="409">
                  <c:v>5811.6274772505058</c:v>
                </c:pt>
                <c:pt idx="410">
                  <c:v>-6.9636099293493317</c:v>
                </c:pt>
                <c:pt idx="411">
                  <c:v>4327.5415140777477</c:v>
                </c:pt>
                <c:pt idx="412">
                  <c:v>932.97262084347312</c:v>
                </c:pt>
                <c:pt idx="413">
                  <c:v>3712.2958589197369</c:v>
                </c:pt>
                <c:pt idx="414">
                  <c:v>5727.6429267907952</c:v>
                </c:pt>
                <c:pt idx="415">
                  <c:v>1402.8279416731166</c:v>
                </c:pt>
                <c:pt idx="416">
                  <c:v>1335.6732774355405</c:v>
                </c:pt>
                <c:pt idx="417">
                  <c:v>5521.9674157810296</c:v>
                </c:pt>
                <c:pt idx="418">
                  <c:v>1339.3623022854736</c:v>
                </c:pt>
                <c:pt idx="419">
                  <c:v>1845.2131431598827</c:v>
                </c:pt>
                <c:pt idx="420">
                  <c:v>4363.8350315124699</c:v>
                </c:pt>
                <c:pt idx="421">
                  <c:v>4322.4236532874129</c:v>
                </c:pt>
                <c:pt idx="422">
                  <c:v>4943.858306886068</c:v>
                </c:pt>
                <c:pt idx="423">
                  <c:v>3655.8904956264596</c:v>
                </c:pt>
                <c:pt idx="424">
                  <c:v>3772.6689749737343</c:v>
                </c:pt>
                <c:pt idx="425">
                  <c:v>2978.7338290173211</c:v>
                </c:pt>
                <c:pt idx="426">
                  <c:v>3026.0012579843387</c:v>
                </c:pt>
                <c:pt idx="427">
                  <c:v>83.382678493726416</c:v>
                </c:pt>
                <c:pt idx="428">
                  <c:v>5923.8161217471934</c:v>
                </c:pt>
                <c:pt idx="429">
                  <c:v>2408.1044595801286</c:v>
                </c:pt>
                <c:pt idx="430">
                  <c:v>10280.144761447911</c:v>
                </c:pt>
                <c:pt idx="431">
                  <c:v>2328.9835002795517</c:v>
                </c:pt>
                <c:pt idx="432">
                  <c:v>4890.742062952384</c:v>
                </c:pt>
                <c:pt idx="433">
                  <c:v>1584.2719360623887</c:v>
                </c:pt>
                <c:pt idx="434">
                  <c:v>8563.503166112816</c:v>
                </c:pt>
                <c:pt idx="435">
                  <c:v>5731.7147667244499</c:v>
                </c:pt>
                <c:pt idx="436">
                  <c:v>4241.830283801617</c:v>
                </c:pt>
                <c:pt idx="437">
                  <c:v>5365.9675081804526</c:v>
                </c:pt>
                <c:pt idx="438">
                  <c:v>1749.2598188380362</c:v>
                </c:pt>
                <c:pt idx="439">
                  <c:v>2084.9786337876576</c:v>
                </c:pt>
                <c:pt idx="440">
                  <c:v>4071.7511496738225</c:v>
                </c:pt>
                <c:pt idx="441">
                  <c:v>1298.7886046651911</c:v>
                </c:pt>
                <c:pt idx="442">
                  <c:v>4524.4069282580094</c:v>
                </c:pt>
                <c:pt idx="443">
                  <c:v>5646.245503535989</c:v>
                </c:pt>
                <c:pt idx="444">
                  <c:v>1828.6717072553874</c:v>
                </c:pt>
                <c:pt idx="445">
                  <c:v>3766.3707708087459</c:v>
                </c:pt>
                <c:pt idx="446">
                  <c:v>4962.0618215391005</c:v>
                </c:pt>
                <c:pt idx="447">
                  <c:v>2996.0473960517484</c:v>
                </c:pt>
                <c:pt idx="448">
                  <c:v>2418.2449827778037</c:v>
                </c:pt>
                <c:pt idx="449">
                  <c:v>3970.869303750238</c:v>
                </c:pt>
                <c:pt idx="450">
                  <c:v>5481.065566419391</c:v>
                </c:pt>
                <c:pt idx="451">
                  <c:v>3453.4454829563911</c:v>
                </c:pt>
                <c:pt idx="452">
                  <c:v>5084.2835047142507</c:v>
                </c:pt>
                <c:pt idx="453">
                  <c:v>6384.7903665420963</c:v>
                </c:pt>
                <c:pt idx="454">
                  <c:v>3757.3350944006597</c:v>
                </c:pt>
                <c:pt idx="455">
                  <c:v>6842.2777396622987</c:v>
                </c:pt>
                <c:pt idx="456">
                  <c:v>4108.6613126685043</c:v>
                </c:pt>
                <c:pt idx="457">
                  <c:v>-2067.4526044003069</c:v>
                </c:pt>
                <c:pt idx="458">
                  <c:v>3127.9149342393212</c:v>
                </c:pt>
                <c:pt idx="459">
                  <c:v>4656.3993771154419</c:v>
                </c:pt>
                <c:pt idx="460">
                  <c:v>4499.8837890334253</c:v>
                </c:pt>
                <c:pt idx="461">
                  <c:v>4999.6687651703105</c:v>
                </c:pt>
                <c:pt idx="462">
                  <c:v>3821.0336839164302</c:v>
                </c:pt>
                <c:pt idx="463">
                  <c:v>21345.523590295437</c:v>
                </c:pt>
                <c:pt idx="464">
                  <c:v>3604.0787305839549</c:v>
                </c:pt>
                <c:pt idx="465">
                  <c:v>443.34711612891988</c:v>
                </c:pt>
                <c:pt idx="466">
                  <c:v>-1604.2105024353368</c:v>
                </c:pt>
                <c:pt idx="467">
                  <c:v>5494.1500579084823</c:v>
                </c:pt>
                <c:pt idx="468">
                  <c:v>3709.8507253915523</c:v>
                </c:pt>
                <c:pt idx="469">
                  <c:v>2238.2371180451519</c:v>
                </c:pt>
                <c:pt idx="470">
                  <c:v>4108.4158101035136</c:v>
                </c:pt>
                <c:pt idx="471">
                  <c:v>8116.16033732707</c:v>
                </c:pt>
                <c:pt idx="472">
                  <c:v>4258.4367805648362</c:v>
                </c:pt>
                <c:pt idx="473">
                  <c:v>4757.7843890693475</c:v>
                </c:pt>
                <c:pt idx="474">
                  <c:v>294.64635244358215</c:v>
                </c:pt>
                <c:pt idx="475">
                  <c:v>1942.3281178434263</c:v>
                </c:pt>
                <c:pt idx="476">
                  <c:v>1070.5368611821323</c:v>
                </c:pt>
                <c:pt idx="477">
                  <c:v>2261.4055907509464</c:v>
                </c:pt>
                <c:pt idx="478">
                  <c:v>3089.7336099525855</c:v>
                </c:pt>
                <c:pt idx="479">
                  <c:v>5180.5018496799748</c:v>
                </c:pt>
                <c:pt idx="480">
                  <c:v>4847.4428132888643</c:v>
                </c:pt>
                <c:pt idx="481">
                  <c:v>6089.7226157734185</c:v>
                </c:pt>
                <c:pt idx="482">
                  <c:v>1208.4561691096533</c:v>
                </c:pt>
                <c:pt idx="483">
                  <c:v>3450.5534573570767</c:v>
                </c:pt>
                <c:pt idx="484">
                  <c:v>5643.715235848962</c:v>
                </c:pt>
                <c:pt idx="485">
                  <c:v>2648.8906642097791</c:v>
                </c:pt>
                <c:pt idx="486">
                  <c:v>3992.16762720103</c:v>
                </c:pt>
                <c:pt idx="487">
                  <c:v>7302.3894290165481</c:v>
                </c:pt>
                <c:pt idx="488">
                  <c:v>-2085.7031071822057</c:v>
                </c:pt>
                <c:pt idx="489">
                  <c:v>4143.8147710405392</c:v>
                </c:pt>
                <c:pt idx="490">
                  <c:v>4332.3723482228888</c:v>
                </c:pt>
                <c:pt idx="491">
                  <c:v>4581.9613380612573</c:v>
                </c:pt>
                <c:pt idx="492">
                  <c:v>5668.822073097981</c:v>
                </c:pt>
                <c:pt idx="493">
                  <c:v>4998.0020252736649</c:v>
                </c:pt>
                <c:pt idx="494">
                  <c:v>4536.4176204954783</c:v>
                </c:pt>
                <c:pt idx="495">
                  <c:v>-2563.1427428285751</c:v>
                </c:pt>
                <c:pt idx="496">
                  <c:v>4880.6994384019272</c:v>
                </c:pt>
                <c:pt idx="497">
                  <c:v>4775.0795164134906</c:v>
                </c:pt>
                <c:pt idx="498">
                  <c:v>1095.2705251377702</c:v>
                </c:pt>
                <c:pt idx="499">
                  <c:v>-121.89972142092302</c:v>
                </c:pt>
                <c:pt idx="500">
                  <c:v>6708.388157384019</c:v>
                </c:pt>
                <c:pt idx="501">
                  <c:v>4882.5138584150845</c:v>
                </c:pt>
                <c:pt idx="502">
                  <c:v>1587.3872484892272</c:v>
                </c:pt>
                <c:pt idx="503">
                  <c:v>1303.2802579165218</c:v>
                </c:pt>
                <c:pt idx="504">
                  <c:v>5147.572396741205</c:v>
                </c:pt>
                <c:pt idx="505">
                  <c:v>1081.0812540963088</c:v>
                </c:pt>
                <c:pt idx="506">
                  <c:v>4634.2152151758783</c:v>
                </c:pt>
                <c:pt idx="507">
                  <c:v>2732.0186376959391</c:v>
                </c:pt>
                <c:pt idx="508">
                  <c:v>2912.9296187656146</c:v>
                </c:pt>
                <c:pt idx="509">
                  <c:v>6679.7254291140489</c:v>
                </c:pt>
                <c:pt idx="510">
                  <c:v>3909.893520855614</c:v>
                </c:pt>
                <c:pt idx="511">
                  <c:v>4428.3401879365629</c:v>
                </c:pt>
                <c:pt idx="512">
                  <c:v>1728.5591570550823</c:v>
                </c:pt>
                <c:pt idx="513">
                  <c:v>5267.0104398842595</c:v>
                </c:pt>
                <c:pt idx="514">
                  <c:v>5683.6405474551138</c:v>
                </c:pt>
                <c:pt idx="515">
                  <c:v>6150.9577419913476</c:v>
                </c:pt>
                <c:pt idx="516">
                  <c:v>3796.5542624053123</c:v>
                </c:pt>
                <c:pt idx="517">
                  <c:v>4862.0755589877954</c:v>
                </c:pt>
                <c:pt idx="518">
                  <c:v>6255.1815749804446</c:v>
                </c:pt>
                <c:pt idx="519">
                  <c:v>2058.9453310301178</c:v>
                </c:pt>
                <c:pt idx="520">
                  <c:v>-2149.1180618461512</c:v>
                </c:pt>
                <c:pt idx="521">
                  <c:v>2833.9156661551897</c:v>
                </c:pt>
                <c:pt idx="522">
                  <c:v>-9.2260334822713048</c:v>
                </c:pt>
                <c:pt idx="523">
                  <c:v>9461.0806488024609</c:v>
                </c:pt>
                <c:pt idx="524">
                  <c:v>3116.2712478044195</c:v>
                </c:pt>
                <c:pt idx="525">
                  <c:v>3214.0695726519116</c:v>
                </c:pt>
                <c:pt idx="526">
                  <c:v>2990.0550030307641</c:v>
                </c:pt>
                <c:pt idx="527">
                  <c:v>4646.9160917589252</c:v>
                </c:pt>
                <c:pt idx="528">
                  <c:v>3230.6431062934862</c:v>
                </c:pt>
                <c:pt idx="529">
                  <c:v>5309.8729362889499</c:v>
                </c:pt>
                <c:pt idx="530">
                  <c:v>4298.3099674777986</c:v>
                </c:pt>
                <c:pt idx="531">
                  <c:v>1096.061975958939</c:v>
                </c:pt>
                <c:pt idx="532">
                  <c:v>4328.730484823267</c:v>
                </c:pt>
                <c:pt idx="533">
                  <c:v>570.40285330864572</c:v>
                </c:pt>
                <c:pt idx="534">
                  <c:v>3323.9572459408082</c:v>
                </c:pt>
                <c:pt idx="535">
                  <c:v>7170.9801353238436</c:v>
                </c:pt>
                <c:pt idx="536">
                  <c:v>252.7966392600938</c:v>
                </c:pt>
                <c:pt idx="537">
                  <c:v>5448.5216020871085</c:v>
                </c:pt>
                <c:pt idx="538">
                  <c:v>3719.827989359248</c:v>
                </c:pt>
                <c:pt idx="539">
                  <c:v>3111.6750024594876</c:v>
                </c:pt>
                <c:pt idx="540">
                  <c:v>5883.0699312138313</c:v>
                </c:pt>
                <c:pt idx="541">
                  <c:v>1403.1908279410782</c:v>
                </c:pt>
                <c:pt idx="542">
                  <c:v>587.05818995304435</c:v>
                </c:pt>
                <c:pt idx="543">
                  <c:v>356.61520241823746</c:v>
                </c:pt>
                <c:pt idx="544">
                  <c:v>2906.1071224815678</c:v>
                </c:pt>
                <c:pt idx="545">
                  <c:v>-56.856331038732606</c:v>
                </c:pt>
                <c:pt idx="546">
                  <c:v>4890.7785595841779</c:v>
                </c:pt>
                <c:pt idx="547">
                  <c:v>1133.0277104588677</c:v>
                </c:pt>
                <c:pt idx="548">
                  <c:v>-337.35220194546127</c:v>
                </c:pt>
                <c:pt idx="549">
                  <c:v>3103.3962237921223</c:v>
                </c:pt>
                <c:pt idx="550">
                  <c:v>2570.2073335521709</c:v>
                </c:pt>
                <c:pt idx="551">
                  <c:v>2465.9151699252543</c:v>
                </c:pt>
                <c:pt idx="552">
                  <c:v>5649.6188276662942</c:v>
                </c:pt>
                <c:pt idx="553">
                  <c:v>9770.7225791346355</c:v>
                </c:pt>
                <c:pt idx="554">
                  <c:v>1257.849679901854</c:v>
                </c:pt>
                <c:pt idx="555">
                  <c:v>4593.5955161410238</c:v>
                </c:pt>
                <c:pt idx="556">
                  <c:v>5186.832032420396</c:v>
                </c:pt>
                <c:pt idx="557">
                  <c:v>2064.8051084509425</c:v>
                </c:pt>
                <c:pt idx="558">
                  <c:v>3404.6575084351643</c:v>
                </c:pt>
                <c:pt idx="559">
                  <c:v>826.42691553881014</c:v>
                </c:pt>
                <c:pt idx="560">
                  <c:v>4877.5003320143151</c:v>
                </c:pt>
                <c:pt idx="561">
                  <c:v>5301.5916124119321</c:v>
                </c:pt>
                <c:pt idx="562">
                  <c:v>4529.7321249735905</c:v>
                </c:pt>
                <c:pt idx="563">
                  <c:v>4359.9029425530753</c:v>
                </c:pt>
                <c:pt idx="564">
                  <c:v>2794.6769382813727</c:v>
                </c:pt>
                <c:pt idx="565">
                  <c:v>3456.2984761621628</c:v>
                </c:pt>
                <c:pt idx="566">
                  <c:v>5197.9664971415259</c:v>
                </c:pt>
                <c:pt idx="567">
                  <c:v>1262.1107131135432</c:v>
                </c:pt>
                <c:pt idx="568">
                  <c:v>5322.5456392102496</c:v>
                </c:pt>
                <c:pt idx="569">
                  <c:v>4036.34145141107</c:v>
                </c:pt>
                <c:pt idx="570">
                  <c:v>4344.5812356541646</c:v>
                </c:pt>
                <c:pt idx="571">
                  <c:v>5166.2090941759598</c:v>
                </c:pt>
                <c:pt idx="572">
                  <c:v>6666.2420863711013</c:v>
                </c:pt>
                <c:pt idx="573">
                  <c:v>532.4617638330019</c:v>
                </c:pt>
                <c:pt idx="574">
                  <c:v>4852.2342606918974</c:v>
                </c:pt>
                <c:pt idx="575">
                  <c:v>-1757.4104308361711</c:v>
                </c:pt>
                <c:pt idx="576">
                  <c:v>2165.1421063101952</c:v>
                </c:pt>
                <c:pt idx="577">
                  <c:v>4589.4062925754915</c:v>
                </c:pt>
                <c:pt idx="578">
                  <c:v>1782.5517736836555</c:v>
                </c:pt>
                <c:pt idx="579">
                  <c:v>-677.4805443860314</c:v>
                </c:pt>
                <c:pt idx="580">
                  <c:v>266.85123180993105</c:v>
                </c:pt>
                <c:pt idx="581">
                  <c:v>669.71633336485684</c:v>
                </c:pt>
                <c:pt idx="582">
                  <c:v>6207.4844250872047</c:v>
                </c:pt>
                <c:pt idx="583">
                  <c:v>-329.32857748376409</c:v>
                </c:pt>
                <c:pt idx="584">
                  <c:v>4201.7478643296708</c:v>
                </c:pt>
                <c:pt idx="585">
                  <c:v>-1575.5161002030654</c:v>
                </c:pt>
                <c:pt idx="586">
                  <c:v>2871.3915973193944</c:v>
                </c:pt>
                <c:pt idx="587">
                  <c:v>1989.3065572022024</c:v>
                </c:pt>
                <c:pt idx="588">
                  <c:v>2795.7598290743044</c:v>
                </c:pt>
                <c:pt idx="589">
                  <c:v>3017.2361450825774</c:v>
                </c:pt>
                <c:pt idx="590">
                  <c:v>1149.7434739728124</c:v>
                </c:pt>
                <c:pt idx="591">
                  <c:v>4809.4993232320776</c:v>
                </c:pt>
                <c:pt idx="592">
                  <c:v>-106.08161307160481</c:v>
                </c:pt>
                <c:pt idx="593">
                  <c:v>2681.0892837815481</c:v>
                </c:pt>
                <c:pt idx="594">
                  <c:v>2332.5457981745785</c:v>
                </c:pt>
                <c:pt idx="595">
                  <c:v>-2411.7544412811039</c:v>
                </c:pt>
                <c:pt idx="596">
                  <c:v>1988.1091255181454</c:v>
                </c:pt>
                <c:pt idx="597">
                  <c:v>1503.0124238452627</c:v>
                </c:pt>
                <c:pt idx="598">
                  <c:v>1188.9662022252451</c:v>
                </c:pt>
                <c:pt idx="599">
                  <c:v>6935.6657938946446</c:v>
                </c:pt>
                <c:pt idx="600">
                  <c:v>4149.9158639700836</c:v>
                </c:pt>
                <c:pt idx="601">
                  <c:v>4437.7345122466941</c:v>
                </c:pt>
                <c:pt idx="602">
                  <c:v>2215.7876864177015</c:v>
                </c:pt>
                <c:pt idx="603">
                  <c:v>1377.200718993925</c:v>
                </c:pt>
                <c:pt idx="604">
                  <c:v>5010.7311138907316</c:v>
                </c:pt>
                <c:pt idx="605">
                  <c:v>4111.4257600053534</c:v>
                </c:pt>
                <c:pt idx="606">
                  <c:v>3722.2089751562817</c:v>
                </c:pt>
                <c:pt idx="607">
                  <c:v>2141.0219128834869</c:v>
                </c:pt>
                <c:pt idx="608">
                  <c:v>2450.0972008789104</c:v>
                </c:pt>
                <c:pt idx="609">
                  <c:v>2623.2105265067294</c:v>
                </c:pt>
                <c:pt idx="610">
                  <c:v>757.60683911332308</c:v>
                </c:pt>
                <c:pt idx="611">
                  <c:v>5190.7984427084666</c:v>
                </c:pt>
                <c:pt idx="612">
                  <c:v>4829.1015327738205</c:v>
                </c:pt>
                <c:pt idx="613">
                  <c:v>3648.2194085248047</c:v>
                </c:pt>
                <c:pt idx="614">
                  <c:v>7318.2525250240433</c:v>
                </c:pt>
                <c:pt idx="615">
                  <c:v>3970.6178108350505</c:v>
                </c:pt>
                <c:pt idx="616">
                  <c:v>4065.3051315631092</c:v>
                </c:pt>
                <c:pt idx="617">
                  <c:v>2493.910179199549</c:v>
                </c:pt>
                <c:pt idx="618">
                  <c:v>6371.6606889104369</c:v>
                </c:pt>
                <c:pt idx="619">
                  <c:v>1966.7137279253511</c:v>
                </c:pt>
                <c:pt idx="620">
                  <c:v>1655.0273822431118</c:v>
                </c:pt>
                <c:pt idx="621">
                  <c:v>5986.6942964696937</c:v>
                </c:pt>
                <c:pt idx="622">
                  <c:v>-1489.9828906769108</c:v>
                </c:pt>
                <c:pt idx="623">
                  <c:v>15961.417776032373</c:v>
                </c:pt>
                <c:pt idx="624">
                  <c:v>3764.6344706323071</c:v>
                </c:pt>
                <c:pt idx="625">
                  <c:v>3762.2219137397478</c:v>
                </c:pt>
                <c:pt idx="626">
                  <c:v>-623.54464735038346</c:v>
                </c:pt>
                <c:pt idx="627">
                  <c:v>986.73273143440747</c:v>
                </c:pt>
                <c:pt idx="628">
                  <c:v>3201.2378304377125</c:v>
                </c:pt>
                <c:pt idx="629">
                  <c:v>3943.3840125078714</c:v>
                </c:pt>
                <c:pt idx="630">
                  <c:v>4058.371389001084</c:v>
                </c:pt>
                <c:pt idx="631">
                  <c:v>3723.2381305282834</c:v>
                </c:pt>
                <c:pt idx="632">
                  <c:v>262.63551496448054</c:v>
                </c:pt>
                <c:pt idx="633">
                  <c:v>1815.9496206965196</c:v>
                </c:pt>
                <c:pt idx="634">
                  <c:v>4611.3872444745793</c:v>
                </c:pt>
                <c:pt idx="635">
                  <c:v>3541.571499183643</c:v>
                </c:pt>
                <c:pt idx="636">
                  <c:v>2103.7246600358703</c:v>
                </c:pt>
                <c:pt idx="637">
                  <c:v>5113.4836933636834</c:v>
                </c:pt>
                <c:pt idx="638">
                  <c:v>2560.1094975640808</c:v>
                </c:pt>
                <c:pt idx="639">
                  <c:v>5203.3605287994287</c:v>
                </c:pt>
                <c:pt idx="640">
                  <c:v>4618.0265171677165</c:v>
                </c:pt>
                <c:pt idx="641">
                  <c:v>-477.21416389194928</c:v>
                </c:pt>
                <c:pt idx="642">
                  <c:v>2444.9656934218656</c:v>
                </c:pt>
                <c:pt idx="643">
                  <c:v>3146.1477297972524</c:v>
                </c:pt>
                <c:pt idx="644">
                  <c:v>5424.4466286809475</c:v>
                </c:pt>
                <c:pt idx="645">
                  <c:v>5765.65303320979</c:v>
                </c:pt>
                <c:pt idx="646">
                  <c:v>3001.9820814047271</c:v>
                </c:pt>
                <c:pt idx="647">
                  <c:v>2946.3446539791476</c:v>
                </c:pt>
                <c:pt idx="648">
                  <c:v>4632.900964763161</c:v>
                </c:pt>
                <c:pt idx="649">
                  <c:v>3173.7276825536755</c:v>
                </c:pt>
                <c:pt idx="650">
                  <c:v>3553.4931182057699</c:v>
                </c:pt>
                <c:pt idx="651">
                  <c:v>-416.89514956925268</c:v>
                </c:pt>
                <c:pt idx="652">
                  <c:v>4003.0513914562907</c:v>
                </c:pt>
                <c:pt idx="653">
                  <c:v>3348.9073424525632</c:v>
                </c:pt>
                <c:pt idx="654">
                  <c:v>139.09277448276407</c:v>
                </c:pt>
                <c:pt idx="655">
                  <c:v>763.76136778736691</c:v>
                </c:pt>
                <c:pt idx="656">
                  <c:v>1654.8609889826621</c:v>
                </c:pt>
                <c:pt idx="657">
                  <c:v>2048.5413201572519</c:v>
                </c:pt>
                <c:pt idx="658">
                  <c:v>5642.5739802206808</c:v>
                </c:pt>
                <c:pt idx="659">
                  <c:v>3830.9649974102431</c:v>
                </c:pt>
                <c:pt idx="660">
                  <c:v>4622.3247150573079</c:v>
                </c:pt>
                <c:pt idx="661">
                  <c:v>-70.910047905083047</c:v>
                </c:pt>
                <c:pt idx="662">
                  <c:v>4813.128370117367</c:v>
                </c:pt>
                <c:pt idx="663">
                  <c:v>2356.0804332218177</c:v>
                </c:pt>
                <c:pt idx="664">
                  <c:v>5834.2705759184537</c:v>
                </c:pt>
                <c:pt idx="665">
                  <c:v>11.48300705471047</c:v>
                </c:pt>
                <c:pt idx="666">
                  <c:v>4597.7893220242986</c:v>
                </c:pt>
                <c:pt idx="667">
                  <c:v>3572.2105742789136</c:v>
                </c:pt>
                <c:pt idx="668">
                  <c:v>1851.9705684832006</c:v>
                </c:pt>
                <c:pt idx="669">
                  <c:v>545.97260455047217</c:v>
                </c:pt>
                <c:pt idx="670">
                  <c:v>1694.5369324911298</c:v>
                </c:pt>
                <c:pt idx="671">
                  <c:v>-435.90273563608935</c:v>
                </c:pt>
                <c:pt idx="672">
                  <c:v>801.17386787565192</c:v>
                </c:pt>
                <c:pt idx="673">
                  <c:v>5155.3057989401277</c:v>
                </c:pt>
                <c:pt idx="674">
                  <c:v>2419.8779435414617</c:v>
                </c:pt>
                <c:pt idx="675">
                  <c:v>3176.5762578805297</c:v>
                </c:pt>
                <c:pt idx="676">
                  <c:v>4006.919449544228</c:v>
                </c:pt>
                <c:pt idx="677">
                  <c:v>4384.3038407831118</c:v>
                </c:pt>
                <c:pt idx="678">
                  <c:v>5811.3023000191897</c:v>
                </c:pt>
                <c:pt idx="679">
                  <c:v>2480.0918874696654</c:v>
                </c:pt>
                <c:pt idx="680">
                  <c:v>939.13435370687512</c:v>
                </c:pt>
                <c:pt idx="681">
                  <c:v>2586.6801091326124</c:v>
                </c:pt>
                <c:pt idx="682">
                  <c:v>2042.5054395332118</c:v>
                </c:pt>
                <c:pt idx="683">
                  <c:v>1731.2317611108738</c:v>
                </c:pt>
                <c:pt idx="684">
                  <c:v>6335.3269667119312</c:v>
                </c:pt>
                <c:pt idx="685">
                  <c:v>4129.2583097699826</c:v>
                </c:pt>
                <c:pt idx="686">
                  <c:v>4315.450583728023</c:v>
                </c:pt>
                <c:pt idx="687">
                  <c:v>4604.4143124416587</c:v>
                </c:pt>
                <c:pt idx="688">
                  <c:v>1473.9670089085848</c:v>
                </c:pt>
                <c:pt idx="689">
                  <c:v>2808.6164878536219</c:v>
                </c:pt>
                <c:pt idx="690">
                  <c:v>3882.3569896577756</c:v>
                </c:pt>
                <c:pt idx="691">
                  <c:v>6215.766694031714</c:v>
                </c:pt>
                <c:pt idx="692">
                  <c:v>1431.3571195788463</c:v>
                </c:pt>
                <c:pt idx="693">
                  <c:v>987.75033557069401</c:v>
                </c:pt>
                <c:pt idx="694">
                  <c:v>5307.0819188174864</c:v>
                </c:pt>
                <c:pt idx="695">
                  <c:v>1484.3870774305833</c:v>
                </c:pt>
                <c:pt idx="696">
                  <c:v>2956.9497700809734</c:v>
                </c:pt>
                <c:pt idx="697">
                  <c:v>2753.5554932439336</c:v>
                </c:pt>
                <c:pt idx="698">
                  <c:v>1825.3977815460021</c:v>
                </c:pt>
                <c:pt idx="699">
                  <c:v>5322.5337820870409</c:v>
                </c:pt>
                <c:pt idx="700">
                  <c:v>6548.7003112149469</c:v>
                </c:pt>
                <c:pt idx="701">
                  <c:v>1002.5748297936661</c:v>
                </c:pt>
                <c:pt idx="702">
                  <c:v>7337.0045144726173</c:v>
                </c:pt>
                <c:pt idx="703">
                  <c:v>3654.5227197158965</c:v>
                </c:pt>
                <c:pt idx="704">
                  <c:v>595.29476306403376</c:v>
                </c:pt>
                <c:pt idx="705">
                  <c:v>3246.5039419144159</c:v>
                </c:pt>
                <c:pt idx="706">
                  <c:v>5382.4476336441294</c:v>
                </c:pt>
                <c:pt idx="707">
                  <c:v>4743.682640748033</c:v>
                </c:pt>
                <c:pt idx="708">
                  <c:v>2425.9291454546765</c:v>
                </c:pt>
                <c:pt idx="709">
                  <c:v>3258.9944204942221</c:v>
                </c:pt>
                <c:pt idx="710">
                  <c:v>5701.8929016324837</c:v>
                </c:pt>
                <c:pt idx="711">
                  <c:v>3719.6365983135183</c:v>
                </c:pt>
                <c:pt idx="712">
                  <c:v>475.75249837329466</c:v>
                </c:pt>
                <c:pt idx="713">
                  <c:v>328.28754337517603</c:v>
                </c:pt>
                <c:pt idx="714">
                  <c:v>1158.5522527143548</c:v>
                </c:pt>
                <c:pt idx="715">
                  <c:v>3073.8991014812855</c:v>
                </c:pt>
                <c:pt idx="716">
                  <c:v>2400.935532925454</c:v>
                </c:pt>
                <c:pt idx="717">
                  <c:v>4305.3015886403737</c:v>
                </c:pt>
                <c:pt idx="718">
                  <c:v>447.07059182098601</c:v>
                </c:pt>
                <c:pt idx="719">
                  <c:v>1586.8744898155201</c:v>
                </c:pt>
                <c:pt idx="720">
                  <c:v>4862.1428272726625</c:v>
                </c:pt>
                <c:pt idx="721">
                  <c:v>-39.196266286729951</c:v>
                </c:pt>
                <c:pt idx="722">
                  <c:v>6420.6898023179383</c:v>
                </c:pt>
                <c:pt idx="723">
                  <c:v>-190.86423895589542</c:v>
                </c:pt>
                <c:pt idx="724">
                  <c:v>3475.0093146340369</c:v>
                </c:pt>
                <c:pt idx="725">
                  <c:v>3145.6498070227171</c:v>
                </c:pt>
                <c:pt idx="726">
                  <c:v>194.58122436953272</c:v>
                </c:pt>
                <c:pt idx="727">
                  <c:v>1174.3949102630286</c:v>
                </c:pt>
                <c:pt idx="728">
                  <c:v>1327.3424537853934</c:v>
                </c:pt>
                <c:pt idx="729">
                  <c:v>2512.1937161276437</c:v>
                </c:pt>
                <c:pt idx="730">
                  <c:v>2970.7554157109189</c:v>
                </c:pt>
                <c:pt idx="731">
                  <c:v>1863.6031463362233</c:v>
                </c:pt>
                <c:pt idx="732">
                  <c:v>401.79186816661968</c:v>
                </c:pt>
                <c:pt idx="733">
                  <c:v>4345.1945725450787</c:v>
                </c:pt>
                <c:pt idx="734">
                  <c:v>1474.0459358558146</c:v>
                </c:pt>
                <c:pt idx="735">
                  <c:v>4890.0183331291846</c:v>
                </c:pt>
                <c:pt idx="736">
                  <c:v>565.91077249404771</c:v>
                </c:pt>
                <c:pt idx="737">
                  <c:v>3995.6991186054729</c:v>
                </c:pt>
                <c:pt idx="738">
                  <c:v>5196.6080471453024</c:v>
                </c:pt>
                <c:pt idx="739">
                  <c:v>3043.3122092627891</c:v>
                </c:pt>
                <c:pt idx="740">
                  <c:v>7124.7144147591825</c:v>
                </c:pt>
                <c:pt idx="741">
                  <c:v>-396.99758094913705</c:v>
                </c:pt>
                <c:pt idx="742">
                  <c:v>2447.104248071264</c:v>
                </c:pt>
                <c:pt idx="743">
                  <c:v>7207.3815018778841</c:v>
                </c:pt>
                <c:pt idx="744">
                  <c:v>3060.9938544999532</c:v>
                </c:pt>
                <c:pt idx="745">
                  <c:v>2936.058369904742</c:v>
                </c:pt>
                <c:pt idx="746">
                  <c:v>3863.8225105466918</c:v>
                </c:pt>
                <c:pt idx="747">
                  <c:v>3427.4369999624105</c:v>
                </c:pt>
                <c:pt idx="748">
                  <c:v>5020.4025856787121</c:v>
                </c:pt>
                <c:pt idx="749">
                  <c:v>492.55730662081623</c:v>
                </c:pt>
                <c:pt idx="750">
                  <c:v>3279.0576403269952</c:v>
                </c:pt>
                <c:pt idx="751">
                  <c:v>1624.9730273589448</c:v>
                </c:pt>
                <c:pt idx="752">
                  <c:v>3156.7755421879629</c:v>
                </c:pt>
                <c:pt idx="753">
                  <c:v>4284.3378139881461</c:v>
                </c:pt>
                <c:pt idx="754">
                  <c:v>5249.7042373985096</c:v>
                </c:pt>
                <c:pt idx="755">
                  <c:v>6353.9876101322297</c:v>
                </c:pt>
                <c:pt idx="756">
                  <c:v>3219.3887908757097</c:v>
                </c:pt>
                <c:pt idx="757">
                  <c:v>5318.5880692966093</c:v>
                </c:pt>
                <c:pt idx="758">
                  <c:v>1657.4982343449519</c:v>
                </c:pt>
                <c:pt idx="759">
                  <c:v>4065.5076044146917</c:v>
                </c:pt>
                <c:pt idx="760">
                  <c:v>6637.7923525180449</c:v>
                </c:pt>
                <c:pt idx="761">
                  <c:v>3347.7542999371653</c:v>
                </c:pt>
                <c:pt idx="762">
                  <c:v>4096.4394081894789</c:v>
                </c:pt>
                <c:pt idx="763">
                  <c:v>4437.1630580615092</c:v>
                </c:pt>
                <c:pt idx="764">
                  <c:v>4505.5181632648528</c:v>
                </c:pt>
                <c:pt idx="765">
                  <c:v>2215.1120350567071</c:v>
                </c:pt>
                <c:pt idx="766">
                  <c:v>4086.9510125154702</c:v>
                </c:pt>
                <c:pt idx="767">
                  <c:v>5178.3433489539311</c:v>
                </c:pt>
                <c:pt idx="768">
                  <c:v>4799.893407744763</c:v>
                </c:pt>
                <c:pt idx="769">
                  <c:v>616.88410848024796</c:v>
                </c:pt>
                <c:pt idx="770">
                  <c:v>-576.05351418074133</c:v>
                </c:pt>
                <c:pt idx="771">
                  <c:v>-2028.8769538875276</c:v>
                </c:pt>
                <c:pt idx="772">
                  <c:v>4141.4816596266464</c:v>
                </c:pt>
                <c:pt idx="773">
                  <c:v>5533.6431440060551</c:v>
                </c:pt>
                <c:pt idx="774">
                  <c:v>3478.096821114872</c:v>
                </c:pt>
                <c:pt idx="775">
                  <c:v>7527.36572132945</c:v>
                </c:pt>
                <c:pt idx="776">
                  <c:v>-1241.2204654878733</c:v>
                </c:pt>
                <c:pt idx="777">
                  <c:v>4815.040294122271</c:v>
                </c:pt>
                <c:pt idx="778">
                  <c:v>1975.5641381285968</c:v>
                </c:pt>
                <c:pt idx="779">
                  <c:v>-123.04329736145883</c:v>
                </c:pt>
                <c:pt idx="780">
                  <c:v>3506.5817576756817</c:v>
                </c:pt>
                <c:pt idx="781">
                  <c:v>3620.5733584350601</c:v>
                </c:pt>
                <c:pt idx="782">
                  <c:v>1422.6589442991972</c:v>
                </c:pt>
                <c:pt idx="783">
                  <c:v>5210.7039787348695</c:v>
                </c:pt>
                <c:pt idx="784">
                  <c:v>1197.626227319146</c:v>
                </c:pt>
                <c:pt idx="785">
                  <c:v>323.3534520333269</c:v>
                </c:pt>
                <c:pt idx="786">
                  <c:v>5633.9443503240909</c:v>
                </c:pt>
                <c:pt idx="787">
                  <c:v>4995.8986227780988</c:v>
                </c:pt>
                <c:pt idx="788">
                  <c:v>5574.8835620570026</c:v>
                </c:pt>
                <c:pt idx="789">
                  <c:v>1406.4883821055773</c:v>
                </c:pt>
                <c:pt idx="790">
                  <c:v>3618.2225631120236</c:v>
                </c:pt>
                <c:pt idx="791">
                  <c:v>9224.6120687665607</c:v>
                </c:pt>
                <c:pt idx="792">
                  <c:v>4767.290105557382</c:v>
                </c:pt>
                <c:pt idx="793">
                  <c:v>3439.042639767933</c:v>
                </c:pt>
                <c:pt idx="794">
                  <c:v>3770.2555019509091</c:v>
                </c:pt>
                <c:pt idx="795">
                  <c:v>4868.9348289516493</c:v>
                </c:pt>
                <c:pt idx="796">
                  <c:v>2608.2110320169231</c:v>
                </c:pt>
                <c:pt idx="797">
                  <c:v>7242.7880894872433</c:v>
                </c:pt>
                <c:pt idx="798">
                  <c:v>-575.99020287892199</c:v>
                </c:pt>
                <c:pt idx="799">
                  <c:v>1810.4070260760564</c:v>
                </c:pt>
                <c:pt idx="800">
                  <c:v>3297.2841771049134</c:v>
                </c:pt>
                <c:pt idx="801">
                  <c:v>5982.2565178382065</c:v>
                </c:pt>
                <c:pt idx="802">
                  <c:v>693.3876277314921</c:v>
                </c:pt>
                <c:pt idx="803">
                  <c:v>-1032.7162386950076</c:v>
                </c:pt>
                <c:pt idx="804">
                  <c:v>3305.0843091774223</c:v>
                </c:pt>
                <c:pt idx="805">
                  <c:v>-1035.3837195291417</c:v>
                </c:pt>
                <c:pt idx="806">
                  <c:v>5861.374501765451</c:v>
                </c:pt>
                <c:pt idx="807">
                  <c:v>3205.8042403902291</c:v>
                </c:pt>
                <c:pt idx="808">
                  <c:v>4254.1886074458453</c:v>
                </c:pt>
                <c:pt idx="809">
                  <c:v>999.10762881342089</c:v>
                </c:pt>
                <c:pt idx="810">
                  <c:v>2304.429062772113</c:v>
                </c:pt>
                <c:pt idx="811">
                  <c:v>4347.0442875945228</c:v>
                </c:pt>
                <c:pt idx="812">
                  <c:v>4076.259681623691</c:v>
                </c:pt>
                <c:pt idx="813">
                  <c:v>5345.6109307898878</c:v>
                </c:pt>
                <c:pt idx="814">
                  <c:v>37.168127560493303</c:v>
                </c:pt>
                <c:pt idx="815">
                  <c:v>3653.624043538046</c:v>
                </c:pt>
                <c:pt idx="816">
                  <c:v>5984.1206404046607</c:v>
                </c:pt>
                <c:pt idx="817">
                  <c:v>3329.7151554908924</c:v>
                </c:pt>
                <c:pt idx="818">
                  <c:v>3124.4221820785096</c:v>
                </c:pt>
                <c:pt idx="819">
                  <c:v>4401.5616761222263</c:v>
                </c:pt>
                <c:pt idx="820">
                  <c:v>4192.8653062339581</c:v>
                </c:pt>
                <c:pt idx="821">
                  <c:v>6325.2069664162918</c:v>
                </c:pt>
                <c:pt idx="822">
                  <c:v>4703.0485666862733</c:v>
                </c:pt>
                <c:pt idx="823">
                  <c:v>2397.2266005012061</c:v>
                </c:pt>
                <c:pt idx="824">
                  <c:v>5111.7624707244031</c:v>
                </c:pt>
                <c:pt idx="825">
                  <c:v>2622.2441603845291</c:v>
                </c:pt>
                <c:pt idx="826">
                  <c:v>6262.0209782616876</c:v>
                </c:pt>
                <c:pt idx="827">
                  <c:v>-260.3631195732014</c:v>
                </c:pt>
                <c:pt idx="828">
                  <c:v>1838.462361400816</c:v>
                </c:pt>
                <c:pt idx="829">
                  <c:v>2505.0693461160554</c:v>
                </c:pt>
                <c:pt idx="830">
                  <c:v>368.86429460757063</c:v>
                </c:pt>
                <c:pt idx="831">
                  <c:v>5773.4879478148068</c:v>
                </c:pt>
                <c:pt idx="832">
                  <c:v>5996.1276002164741</c:v>
                </c:pt>
                <c:pt idx="833">
                  <c:v>2894.7781038443136</c:v>
                </c:pt>
                <c:pt idx="834">
                  <c:v>2615.6820006319831</c:v>
                </c:pt>
                <c:pt idx="835">
                  <c:v>793.33061450097011</c:v>
                </c:pt>
                <c:pt idx="836">
                  <c:v>1665.4869856360092</c:v>
                </c:pt>
                <c:pt idx="837">
                  <c:v>3771.0759940598364</c:v>
                </c:pt>
                <c:pt idx="838">
                  <c:v>6550.3184572411556</c:v>
                </c:pt>
                <c:pt idx="839">
                  <c:v>1736.7598625546016</c:v>
                </c:pt>
                <c:pt idx="840">
                  <c:v>5077.1383475953044</c:v>
                </c:pt>
                <c:pt idx="841">
                  <c:v>6280.0865023416627</c:v>
                </c:pt>
                <c:pt idx="842">
                  <c:v>215.44488936624111</c:v>
                </c:pt>
                <c:pt idx="843">
                  <c:v>583.01122423923516</c:v>
                </c:pt>
                <c:pt idx="844">
                  <c:v>-139.84291437977663</c:v>
                </c:pt>
                <c:pt idx="845">
                  <c:v>5040.6947798451656</c:v>
                </c:pt>
                <c:pt idx="846">
                  <c:v>1686.6428680393292</c:v>
                </c:pt>
                <c:pt idx="847">
                  <c:v>6043.8059928766233</c:v>
                </c:pt>
                <c:pt idx="848">
                  <c:v>121.15624717476749</c:v>
                </c:pt>
                <c:pt idx="849">
                  <c:v>3997.2553101637095</c:v>
                </c:pt>
                <c:pt idx="850">
                  <c:v>5025.5305514153224</c:v>
                </c:pt>
                <c:pt idx="851">
                  <c:v>6813.9464510623511</c:v>
                </c:pt>
                <c:pt idx="852">
                  <c:v>3779.1306535814147</c:v>
                </c:pt>
                <c:pt idx="853">
                  <c:v>363.92814333834394</c:v>
                </c:pt>
                <c:pt idx="854">
                  <c:v>4882.654456946264</c:v>
                </c:pt>
                <c:pt idx="855">
                  <c:v>4405.8158455005178</c:v>
                </c:pt>
                <c:pt idx="856">
                  <c:v>2760.2175997572413</c:v>
                </c:pt>
                <c:pt idx="857">
                  <c:v>2215.3434930291769</c:v>
                </c:pt>
                <c:pt idx="858">
                  <c:v>2888.2473774605605</c:v>
                </c:pt>
                <c:pt idx="859">
                  <c:v>5275.3528585032036</c:v>
                </c:pt>
                <c:pt idx="860">
                  <c:v>4612.3519640603263</c:v>
                </c:pt>
                <c:pt idx="861">
                  <c:v>1206.6365168498087</c:v>
                </c:pt>
                <c:pt idx="862">
                  <c:v>4220.9070365330554</c:v>
                </c:pt>
                <c:pt idx="863">
                  <c:v>6874.3608894637073</c:v>
                </c:pt>
                <c:pt idx="864">
                  <c:v>636.82285881939606</c:v>
                </c:pt>
                <c:pt idx="865">
                  <c:v>-459.94197671298025</c:v>
                </c:pt>
                <c:pt idx="866">
                  <c:v>1877.9754096007891</c:v>
                </c:pt>
                <c:pt idx="867">
                  <c:v>451.32360549265286</c:v>
                </c:pt>
                <c:pt idx="868">
                  <c:v>3857.0147831537179</c:v>
                </c:pt>
                <c:pt idx="869">
                  <c:v>2905.2107775828408</c:v>
                </c:pt>
                <c:pt idx="870">
                  <c:v>3441.6557342877204</c:v>
                </c:pt>
                <c:pt idx="871">
                  <c:v>2553.2465299658506</c:v>
                </c:pt>
                <c:pt idx="872">
                  <c:v>5160.8964282535671</c:v>
                </c:pt>
                <c:pt idx="873">
                  <c:v>-3481.5927288686726</c:v>
                </c:pt>
                <c:pt idx="874">
                  <c:v>-1941.7801063753213</c:v>
                </c:pt>
                <c:pt idx="875">
                  <c:v>1328.8260924574934</c:v>
                </c:pt>
                <c:pt idx="876">
                  <c:v>-1080.9564203235568</c:v>
                </c:pt>
                <c:pt idx="877">
                  <c:v>826.53537027128186</c:v>
                </c:pt>
                <c:pt idx="878">
                  <c:v>925.58766054351872</c:v>
                </c:pt>
                <c:pt idx="879">
                  <c:v>1442.1139249053158</c:v>
                </c:pt>
                <c:pt idx="880">
                  <c:v>1818.2073865424245</c:v>
                </c:pt>
                <c:pt idx="881">
                  <c:v>3644.9467589124542</c:v>
                </c:pt>
                <c:pt idx="882">
                  <c:v>3869.0269924637032</c:v>
                </c:pt>
                <c:pt idx="883">
                  <c:v>7660.6016100684938</c:v>
                </c:pt>
                <c:pt idx="884">
                  <c:v>1907.6743636941901</c:v>
                </c:pt>
                <c:pt idx="885">
                  <c:v>1536.3738996174288</c:v>
                </c:pt>
                <c:pt idx="886">
                  <c:v>2989.0930533564751</c:v>
                </c:pt>
                <c:pt idx="887">
                  <c:v>2030.308632652268</c:v>
                </c:pt>
                <c:pt idx="888">
                  <c:v>2284.0130083291151</c:v>
                </c:pt>
                <c:pt idx="889">
                  <c:v>4801.6089583330177</c:v>
                </c:pt>
                <c:pt idx="890">
                  <c:v>2252.3385840290284</c:v>
                </c:pt>
                <c:pt idx="891">
                  <c:v>3943.4079306449494</c:v>
                </c:pt>
                <c:pt idx="892">
                  <c:v>6123.6253015962138</c:v>
                </c:pt>
                <c:pt idx="893">
                  <c:v>5141.867757070504</c:v>
                </c:pt>
                <c:pt idx="894">
                  <c:v>2993.0490434365347</c:v>
                </c:pt>
                <c:pt idx="895">
                  <c:v>4781.7843764500285</c:v>
                </c:pt>
                <c:pt idx="896">
                  <c:v>1009.3035162736051</c:v>
                </c:pt>
                <c:pt idx="897">
                  <c:v>607.57907482094743</c:v>
                </c:pt>
                <c:pt idx="898">
                  <c:v>2674.2095198252646</c:v>
                </c:pt>
                <c:pt idx="899">
                  <c:v>2318.0440715424629</c:v>
                </c:pt>
                <c:pt idx="900">
                  <c:v>4195.8759011946022</c:v>
                </c:pt>
                <c:pt idx="901">
                  <c:v>4684.5718972477334</c:v>
                </c:pt>
                <c:pt idx="902">
                  <c:v>-1356.7006169052329</c:v>
                </c:pt>
                <c:pt idx="903">
                  <c:v>6040.915873932885</c:v>
                </c:pt>
                <c:pt idx="904">
                  <c:v>5891.9513571712814</c:v>
                </c:pt>
                <c:pt idx="905">
                  <c:v>11909.369952763838</c:v>
                </c:pt>
                <c:pt idx="906">
                  <c:v>5426.8962484269723</c:v>
                </c:pt>
                <c:pt idx="907">
                  <c:v>1447.8578952033058</c:v>
                </c:pt>
                <c:pt idx="908">
                  <c:v>6108.3609394241794</c:v>
                </c:pt>
                <c:pt idx="909">
                  <c:v>5169.2822564629605</c:v>
                </c:pt>
                <c:pt idx="910">
                  <c:v>7522.1275436147844</c:v>
                </c:pt>
                <c:pt idx="911">
                  <c:v>4053.7667411198272</c:v>
                </c:pt>
                <c:pt idx="912">
                  <c:v>4014.5604122366422</c:v>
                </c:pt>
                <c:pt idx="913">
                  <c:v>5377.9317210094305</c:v>
                </c:pt>
                <c:pt idx="914">
                  <c:v>4582.8927974216058</c:v>
                </c:pt>
                <c:pt idx="915">
                  <c:v>2880.5788520193601</c:v>
                </c:pt>
                <c:pt idx="916">
                  <c:v>6246.7984871494118</c:v>
                </c:pt>
                <c:pt idx="917">
                  <c:v>1513.2042184841703</c:v>
                </c:pt>
                <c:pt idx="918">
                  <c:v>5156.8276282551888</c:v>
                </c:pt>
                <c:pt idx="919">
                  <c:v>3665.6790452941423</c:v>
                </c:pt>
                <c:pt idx="920">
                  <c:v>4736.6687956720707</c:v>
                </c:pt>
                <c:pt idx="921">
                  <c:v>5862.5410262340592</c:v>
                </c:pt>
                <c:pt idx="922">
                  <c:v>4412.7521146106592</c:v>
                </c:pt>
                <c:pt idx="923">
                  <c:v>5819.7852601318809</c:v>
                </c:pt>
                <c:pt idx="924">
                  <c:v>3883.1461969426164</c:v>
                </c:pt>
                <c:pt idx="925">
                  <c:v>8507.0371886805806</c:v>
                </c:pt>
                <c:pt idx="926">
                  <c:v>-378.12853149407601</c:v>
                </c:pt>
                <c:pt idx="927">
                  <c:v>5553.1680410078261</c:v>
                </c:pt>
                <c:pt idx="928">
                  <c:v>488.95341281823494</c:v>
                </c:pt>
                <c:pt idx="929">
                  <c:v>2168.9624759274302</c:v>
                </c:pt>
                <c:pt idx="930">
                  <c:v>2603.6721776385166</c:v>
                </c:pt>
                <c:pt idx="931">
                  <c:v>3341.9781004999168</c:v>
                </c:pt>
                <c:pt idx="932">
                  <c:v>4273.7146063285472</c:v>
                </c:pt>
                <c:pt idx="933">
                  <c:v>1242.4164683362978</c:v>
                </c:pt>
                <c:pt idx="934">
                  <c:v>-618.60748605458502</c:v>
                </c:pt>
                <c:pt idx="935">
                  <c:v>4686.7452265001484</c:v>
                </c:pt>
                <c:pt idx="936">
                  <c:v>5817.4688518047406</c:v>
                </c:pt>
                <c:pt idx="937">
                  <c:v>4049.4780968269843</c:v>
                </c:pt>
                <c:pt idx="938">
                  <c:v>2472.0022393347463</c:v>
                </c:pt>
                <c:pt idx="939">
                  <c:v>3169.7115604724968</c:v>
                </c:pt>
                <c:pt idx="940">
                  <c:v>2950.38998363883</c:v>
                </c:pt>
                <c:pt idx="941">
                  <c:v>2981.6442144705215</c:v>
                </c:pt>
                <c:pt idx="942">
                  <c:v>-412.97063413401338</c:v>
                </c:pt>
                <c:pt idx="943">
                  <c:v>169.03887502328143</c:v>
                </c:pt>
                <c:pt idx="944">
                  <c:v>1060.5212801196394</c:v>
                </c:pt>
                <c:pt idx="945">
                  <c:v>3493.7464885826193</c:v>
                </c:pt>
                <c:pt idx="946">
                  <c:v>3458.3591318780163</c:v>
                </c:pt>
                <c:pt idx="947">
                  <c:v>8597.3080496373441</c:v>
                </c:pt>
                <c:pt idx="948">
                  <c:v>312.20491337082058</c:v>
                </c:pt>
                <c:pt idx="949">
                  <c:v>4304.1780760071488</c:v>
                </c:pt>
                <c:pt idx="950">
                  <c:v>984.81781941910594</c:v>
                </c:pt>
                <c:pt idx="951">
                  <c:v>4155.0218723601356</c:v>
                </c:pt>
                <c:pt idx="952">
                  <c:v>-987.11500248779339</c:v>
                </c:pt>
                <c:pt idx="953">
                  <c:v>2990.494165398115</c:v>
                </c:pt>
                <c:pt idx="954">
                  <c:v>1545.3441234427737</c:v>
                </c:pt>
                <c:pt idx="955">
                  <c:v>1332.1322809363483</c:v>
                </c:pt>
                <c:pt idx="956">
                  <c:v>2818.0810986065553</c:v>
                </c:pt>
                <c:pt idx="957">
                  <c:v>-1919.044679688719</c:v>
                </c:pt>
                <c:pt idx="958">
                  <c:v>4534.8104865077621</c:v>
                </c:pt>
                <c:pt idx="959">
                  <c:v>2755.5024334428672</c:v>
                </c:pt>
                <c:pt idx="960">
                  <c:v>2424.6274746189592</c:v>
                </c:pt>
                <c:pt idx="961">
                  <c:v>5381.4870815908798</c:v>
                </c:pt>
                <c:pt idx="962">
                  <c:v>-240.927163610344</c:v>
                </c:pt>
                <c:pt idx="963">
                  <c:v>176.16150657647086</c:v>
                </c:pt>
                <c:pt idx="964">
                  <c:v>2628.7682629291885</c:v>
                </c:pt>
                <c:pt idx="965">
                  <c:v>4527.6082200887977</c:v>
                </c:pt>
                <c:pt idx="966">
                  <c:v>4074.6138196799438</c:v>
                </c:pt>
                <c:pt idx="967">
                  <c:v>1449.7021029314928</c:v>
                </c:pt>
                <c:pt idx="968">
                  <c:v>2988.7864388736562</c:v>
                </c:pt>
                <c:pt idx="969">
                  <c:v>1694.7409185950019</c:v>
                </c:pt>
                <c:pt idx="970">
                  <c:v>-962.25982302868215</c:v>
                </c:pt>
                <c:pt idx="971">
                  <c:v>1534.4959629825753</c:v>
                </c:pt>
                <c:pt idx="972">
                  <c:v>3457.5279666278147</c:v>
                </c:pt>
                <c:pt idx="973">
                  <c:v>-1418.0362384426335</c:v>
                </c:pt>
                <c:pt idx="974">
                  <c:v>524.32443407183746</c:v>
                </c:pt>
                <c:pt idx="975">
                  <c:v>310.2035526890395</c:v>
                </c:pt>
                <c:pt idx="976">
                  <c:v>5315.6498530986282</c:v>
                </c:pt>
                <c:pt idx="977">
                  <c:v>3613.8053028462964</c:v>
                </c:pt>
                <c:pt idx="978">
                  <c:v>6131.9144585061658</c:v>
                </c:pt>
                <c:pt idx="979">
                  <c:v>2483.0883609074735</c:v>
                </c:pt>
                <c:pt idx="980">
                  <c:v>525.19750716624549</c:v>
                </c:pt>
                <c:pt idx="981">
                  <c:v>18.695302908752637</c:v>
                </c:pt>
                <c:pt idx="982">
                  <c:v>5329.1674551084143</c:v>
                </c:pt>
                <c:pt idx="983">
                  <c:v>-686.50673372723395</c:v>
                </c:pt>
                <c:pt idx="984">
                  <c:v>1761.3863872157963</c:v>
                </c:pt>
                <c:pt idx="985">
                  <c:v>2613.8143252182417</c:v>
                </c:pt>
                <c:pt idx="986">
                  <c:v>4406.7518394470026</c:v>
                </c:pt>
                <c:pt idx="987">
                  <c:v>3180.7700598421216</c:v>
                </c:pt>
                <c:pt idx="988">
                  <c:v>717.45605637630797</c:v>
                </c:pt>
                <c:pt idx="989">
                  <c:v>3552.672750498903</c:v>
                </c:pt>
                <c:pt idx="990">
                  <c:v>4754.802128546311</c:v>
                </c:pt>
                <c:pt idx="991">
                  <c:v>3247.765340027101</c:v>
                </c:pt>
                <c:pt idx="992">
                  <c:v>4533.8614913481433</c:v>
                </c:pt>
                <c:pt idx="993">
                  <c:v>6768.1663783832919</c:v>
                </c:pt>
                <c:pt idx="994">
                  <c:v>2897.2209887998251</c:v>
                </c:pt>
                <c:pt idx="995">
                  <c:v>1253.1419253866698</c:v>
                </c:pt>
                <c:pt idx="996">
                  <c:v>-3191.9307172957415</c:v>
                </c:pt>
                <c:pt idx="997">
                  <c:v>2742.7427459672108</c:v>
                </c:pt>
                <c:pt idx="998">
                  <c:v>4896.4854167873855</c:v>
                </c:pt>
                <c:pt idx="999">
                  <c:v>1482.4701022478694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DD-3C4A-AADD-302514E8C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79903"/>
        <c:axId val="618155679"/>
      </c:scatterChart>
      <c:valAx>
        <c:axId val="61779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 sz="12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QALY difference</a:t>
                </a:r>
                <a:endParaRPr lang="zh-TW" alt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58239240279993"/>
              <c:y val="0.8744325782182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55679"/>
        <c:crosses val="autoZero"/>
        <c:crossBetween val="midCat"/>
      </c:valAx>
      <c:valAx>
        <c:axId val="61815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 sz="12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Cost difference</a:t>
                </a:r>
                <a:endParaRPr lang="zh-TW" alt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5.7211368905335375E-2"/>
              <c:y val="0.422642349185506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9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altLang="zh-TW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CEAC</a:t>
            </a:r>
            <a:endParaRPr lang="zh-TW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3483353102927697"/>
          <c:y val="1.78539755672327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PSA!$BC$3</c:f>
              <c:strCache>
                <c:ptCount val="1"/>
                <c:pt idx="0">
                  <c:v>PR Treatment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PSA!$BB$5:$BB$62</c:f>
              <c:numCache>
                <c:formatCode>General</c:formatCode>
                <c:ptCount val="5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</c:numCache>
            </c:numRef>
          </c:xVal>
          <c:yVal>
            <c:numRef>
              <c:f>PSA!$BC$5:$BC$62</c:f>
              <c:numCache>
                <c:formatCode>General</c:formatCode>
                <c:ptCount val="58"/>
                <c:pt idx="0">
                  <c:v>0.91500000000000004</c:v>
                </c:pt>
                <c:pt idx="1">
                  <c:v>0.91300000000000003</c:v>
                </c:pt>
                <c:pt idx="2">
                  <c:v>0.91300000000000003</c:v>
                </c:pt>
                <c:pt idx="3">
                  <c:v>0.91100000000000003</c:v>
                </c:pt>
                <c:pt idx="4">
                  <c:v>0.90900000000000003</c:v>
                </c:pt>
                <c:pt idx="5">
                  <c:v>0.90900000000000003</c:v>
                </c:pt>
                <c:pt idx="6">
                  <c:v>0.90800000000000003</c:v>
                </c:pt>
                <c:pt idx="7">
                  <c:v>0.90600000000000003</c:v>
                </c:pt>
                <c:pt idx="8">
                  <c:v>0.90500000000000003</c:v>
                </c:pt>
                <c:pt idx="9">
                  <c:v>0.90400000000000003</c:v>
                </c:pt>
                <c:pt idx="10">
                  <c:v>0.90200000000000002</c:v>
                </c:pt>
                <c:pt idx="11">
                  <c:v>0.88900000000000001</c:v>
                </c:pt>
                <c:pt idx="12">
                  <c:v>0.88300000000000001</c:v>
                </c:pt>
                <c:pt idx="13">
                  <c:v>0.873</c:v>
                </c:pt>
                <c:pt idx="14">
                  <c:v>0.86</c:v>
                </c:pt>
                <c:pt idx="15">
                  <c:v>0.84799999999999998</c:v>
                </c:pt>
                <c:pt idx="16">
                  <c:v>0.83599999999999997</c:v>
                </c:pt>
                <c:pt idx="17">
                  <c:v>0.82399999999999995</c:v>
                </c:pt>
                <c:pt idx="18">
                  <c:v>0.81499999999999995</c:v>
                </c:pt>
                <c:pt idx="19">
                  <c:v>0.78800000000000003</c:v>
                </c:pt>
                <c:pt idx="20">
                  <c:v>0.76800000000000002</c:v>
                </c:pt>
                <c:pt idx="21">
                  <c:v>0.74199999999999999</c:v>
                </c:pt>
                <c:pt idx="22">
                  <c:v>0.72199999999999998</c:v>
                </c:pt>
                <c:pt idx="23">
                  <c:v>0.68799999999999994</c:v>
                </c:pt>
                <c:pt idx="24">
                  <c:v>0.66500000000000004</c:v>
                </c:pt>
                <c:pt idx="25">
                  <c:v>0.64500000000000002</c:v>
                </c:pt>
                <c:pt idx="26">
                  <c:v>0.61699999999999999</c:v>
                </c:pt>
                <c:pt idx="27">
                  <c:v>0.58899999999999997</c:v>
                </c:pt>
                <c:pt idx="28">
                  <c:v>0.57099999999999995</c:v>
                </c:pt>
                <c:pt idx="29">
                  <c:v>0.53500000000000003</c:v>
                </c:pt>
                <c:pt idx="30">
                  <c:v>0.51300000000000001</c:v>
                </c:pt>
                <c:pt idx="31">
                  <c:v>0.48099999999999998</c:v>
                </c:pt>
                <c:pt idx="32">
                  <c:v>0.44900000000000001</c:v>
                </c:pt>
                <c:pt idx="33">
                  <c:v>0.42599999999999999</c:v>
                </c:pt>
                <c:pt idx="34">
                  <c:v>0.40200000000000002</c:v>
                </c:pt>
                <c:pt idx="35">
                  <c:v>0.377</c:v>
                </c:pt>
                <c:pt idx="36">
                  <c:v>0.35</c:v>
                </c:pt>
                <c:pt idx="37">
                  <c:v>0.33800000000000002</c:v>
                </c:pt>
                <c:pt idx="38">
                  <c:v>0.32700000000000001</c:v>
                </c:pt>
                <c:pt idx="39">
                  <c:v>0.30499999999999999</c:v>
                </c:pt>
                <c:pt idx="40">
                  <c:v>0.28599999999999998</c:v>
                </c:pt>
                <c:pt idx="41">
                  <c:v>0.26300000000000001</c:v>
                </c:pt>
                <c:pt idx="42">
                  <c:v>0.24399999999999999</c:v>
                </c:pt>
                <c:pt idx="43">
                  <c:v>0.23100000000000001</c:v>
                </c:pt>
                <c:pt idx="44">
                  <c:v>0.16300000000000001</c:v>
                </c:pt>
                <c:pt idx="45">
                  <c:v>0.114</c:v>
                </c:pt>
                <c:pt idx="46">
                  <c:v>0.09</c:v>
                </c:pt>
                <c:pt idx="47">
                  <c:v>6.3E-2</c:v>
                </c:pt>
                <c:pt idx="48">
                  <c:v>5.0999999999999997E-2</c:v>
                </c:pt>
                <c:pt idx="49">
                  <c:v>0.04</c:v>
                </c:pt>
                <c:pt idx="50">
                  <c:v>3.2000000000000001E-2</c:v>
                </c:pt>
                <c:pt idx="51">
                  <c:v>2.7E-2</c:v>
                </c:pt>
                <c:pt idx="52">
                  <c:v>2.1000000000000001E-2</c:v>
                </c:pt>
                <c:pt idx="53">
                  <c:v>1.9E-2</c:v>
                </c:pt>
                <c:pt idx="54">
                  <c:v>1.7000000000000001E-2</c:v>
                </c:pt>
                <c:pt idx="55">
                  <c:v>1.4999999999999999E-2</c:v>
                </c:pt>
                <c:pt idx="56">
                  <c:v>1.2999999999999999E-2</c:v>
                </c:pt>
                <c:pt idx="57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A09-364A-B5A5-A4A93DD57E0F}"/>
            </c:ext>
          </c:extLst>
        </c:ser>
        <c:ser>
          <c:idx val="1"/>
          <c:order val="1"/>
          <c:tx>
            <c:strRef>
              <c:f>PSA!$BD$3</c:f>
              <c:strCache>
                <c:ptCount val="1"/>
                <c:pt idx="0">
                  <c:v>DAA Treatment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PSA!$BB$5:$BB$62</c:f>
              <c:numCache>
                <c:formatCode>General</c:formatCode>
                <c:ptCount val="5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</c:numCache>
            </c:numRef>
          </c:xVal>
          <c:yVal>
            <c:numRef>
              <c:f>PSA!$BD$5:$BD$62</c:f>
              <c:numCache>
                <c:formatCode>General</c:formatCode>
                <c:ptCount val="58"/>
                <c:pt idx="0">
                  <c:v>8.5000000000000006E-2</c:v>
                </c:pt>
                <c:pt idx="1">
                  <c:v>8.6999999999999994E-2</c:v>
                </c:pt>
                <c:pt idx="2">
                  <c:v>8.6999999999999994E-2</c:v>
                </c:pt>
                <c:pt idx="3">
                  <c:v>8.8999999999999996E-2</c:v>
                </c:pt>
                <c:pt idx="4">
                  <c:v>9.0999999999999998E-2</c:v>
                </c:pt>
                <c:pt idx="5">
                  <c:v>9.0999999999999998E-2</c:v>
                </c:pt>
                <c:pt idx="6">
                  <c:v>9.1999999999999998E-2</c:v>
                </c:pt>
                <c:pt idx="7">
                  <c:v>9.4E-2</c:v>
                </c:pt>
                <c:pt idx="8">
                  <c:v>9.5000000000000001E-2</c:v>
                </c:pt>
                <c:pt idx="9">
                  <c:v>9.6000000000000002E-2</c:v>
                </c:pt>
                <c:pt idx="10">
                  <c:v>9.8000000000000004E-2</c:v>
                </c:pt>
                <c:pt idx="11">
                  <c:v>0.111</c:v>
                </c:pt>
                <c:pt idx="12">
                  <c:v>0.11700000000000001</c:v>
                </c:pt>
                <c:pt idx="13">
                  <c:v>0.127</c:v>
                </c:pt>
                <c:pt idx="14">
                  <c:v>0.14000000000000001</c:v>
                </c:pt>
                <c:pt idx="15">
                  <c:v>0.152</c:v>
                </c:pt>
                <c:pt idx="16">
                  <c:v>0.16400000000000001</c:v>
                </c:pt>
                <c:pt idx="17">
                  <c:v>0.17599999999999999</c:v>
                </c:pt>
                <c:pt idx="18">
                  <c:v>0.185</c:v>
                </c:pt>
                <c:pt idx="19">
                  <c:v>0.21199999999999999</c:v>
                </c:pt>
                <c:pt idx="20">
                  <c:v>0.23200000000000001</c:v>
                </c:pt>
                <c:pt idx="21">
                  <c:v>0.25800000000000001</c:v>
                </c:pt>
                <c:pt idx="22">
                  <c:v>0.27800000000000002</c:v>
                </c:pt>
                <c:pt idx="23">
                  <c:v>0.312</c:v>
                </c:pt>
                <c:pt idx="24">
                  <c:v>0.33500000000000002</c:v>
                </c:pt>
                <c:pt idx="25">
                  <c:v>0.35499999999999998</c:v>
                </c:pt>
                <c:pt idx="26">
                  <c:v>0.38300000000000001</c:v>
                </c:pt>
                <c:pt idx="27">
                  <c:v>0.41099999999999998</c:v>
                </c:pt>
                <c:pt idx="28">
                  <c:v>0.42899999999999999</c:v>
                </c:pt>
                <c:pt idx="29">
                  <c:v>0.46500000000000002</c:v>
                </c:pt>
                <c:pt idx="30">
                  <c:v>0.48699999999999999</c:v>
                </c:pt>
                <c:pt idx="31">
                  <c:v>0.51900000000000002</c:v>
                </c:pt>
                <c:pt idx="32">
                  <c:v>0.55100000000000005</c:v>
                </c:pt>
                <c:pt idx="33">
                  <c:v>0.57399999999999995</c:v>
                </c:pt>
                <c:pt idx="34">
                  <c:v>0.59799999999999998</c:v>
                </c:pt>
                <c:pt idx="35">
                  <c:v>0.623</c:v>
                </c:pt>
                <c:pt idx="36">
                  <c:v>0.65</c:v>
                </c:pt>
                <c:pt idx="37">
                  <c:v>0.66200000000000003</c:v>
                </c:pt>
                <c:pt idx="38">
                  <c:v>0.67300000000000004</c:v>
                </c:pt>
                <c:pt idx="39">
                  <c:v>0.69499999999999995</c:v>
                </c:pt>
                <c:pt idx="40">
                  <c:v>0.71399999999999997</c:v>
                </c:pt>
                <c:pt idx="41">
                  <c:v>0.73699999999999999</c:v>
                </c:pt>
                <c:pt idx="42">
                  <c:v>0.75600000000000001</c:v>
                </c:pt>
                <c:pt idx="43">
                  <c:v>0.76900000000000002</c:v>
                </c:pt>
                <c:pt idx="44">
                  <c:v>0.83699999999999997</c:v>
                </c:pt>
                <c:pt idx="45">
                  <c:v>0.88600000000000001</c:v>
                </c:pt>
                <c:pt idx="46">
                  <c:v>0.91</c:v>
                </c:pt>
                <c:pt idx="47">
                  <c:v>0.93700000000000006</c:v>
                </c:pt>
                <c:pt idx="48">
                  <c:v>0.94899999999999995</c:v>
                </c:pt>
                <c:pt idx="49">
                  <c:v>0.96</c:v>
                </c:pt>
                <c:pt idx="50">
                  <c:v>0.96799999999999997</c:v>
                </c:pt>
                <c:pt idx="51">
                  <c:v>0.97299999999999998</c:v>
                </c:pt>
                <c:pt idx="52">
                  <c:v>0.97899999999999998</c:v>
                </c:pt>
                <c:pt idx="53">
                  <c:v>0.98099999999999998</c:v>
                </c:pt>
                <c:pt idx="54">
                  <c:v>0.98299999999999998</c:v>
                </c:pt>
                <c:pt idx="55">
                  <c:v>0.98499999999999999</c:v>
                </c:pt>
                <c:pt idx="56">
                  <c:v>0.98699999999999999</c:v>
                </c:pt>
                <c:pt idx="57">
                  <c:v>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A09-364A-B5A5-A4A93DD57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477855"/>
        <c:axId val="16036015"/>
      </c:scatterChart>
      <c:valAx>
        <c:axId val="535477855"/>
        <c:scaling>
          <c:orientation val="minMax"/>
          <c:max val="1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 sz="120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ICER</a:t>
                </a:r>
                <a:r>
                  <a:rPr lang="en-US" altLang="zh-TW" sz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Threshold (£/QALY)</a:t>
                </a:r>
                <a:endParaRPr lang="zh-TW" altLang="en-US" sz="120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16913149418247"/>
              <c:y val="0.919620143326499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6015"/>
        <c:crosses val="autoZero"/>
        <c:crossBetween val="midCat"/>
        <c:majorUnit val="10000"/>
      </c:valAx>
      <c:valAx>
        <c:axId val="1603601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 sz="120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p(cost-effective</a:t>
                </a:r>
                <a:r>
                  <a:rPr lang="en-US" altLang="zh-TW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)</a:t>
                </a:r>
                <a:endParaRPr lang="zh-TW" altLang="en-US">
                  <a:solidFill>
                    <a:schemeClr val="tx1">
                      <a:lumMod val="95000"/>
                      <a:lumOff val="5000"/>
                    </a:scheme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477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71320328786058"/>
          <c:y val="0.41522332979654136"/>
          <c:w val="0.15567382780856093"/>
          <c:h val="0.181310658851349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317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Parameters!$B$3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8</xdr:row>
      <xdr:rowOff>50800</xdr:rowOff>
    </xdr:from>
    <xdr:to>
      <xdr:col>3</xdr:col>
      <xdr:colOff>495300</xdr:colOff>
      <xdr:row>10</xdr:row>
      <xdr:rowOff>165100</xdr:rowOff>
    </xdr:to>
    <xdr:sp macro="" textlink="">
      <xdr:nvSpPr>
        <xdr:cNvPr id="2" name="Oval 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952500" y="1574800"/>
          <a:ext cx="2019300" cy="495300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1</xdr:col>
      <xdr:colOff>571500</xdr:colOff>
      <xdr:row>8</xdr:row>
      <xdr:rowOff>139700</xdr:rowOff>
    </xdr:from>
    <xdr:to>
      <xdr:col>3</xdr:col>
      <xdr:colOff>12700</xdr:colOff>
      <xdr:row>10</xdr:row>
      <xdr:rowOff>50800</xdr:rowOff>
    </xdr:to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397000" y="1663700"/>
          <a:ext cx="1092200" cy="292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Mild HCV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165100</xdr:colOff>
      <xdr:row>22</xdr:row>
      <xdr:rowOff>50800</xdr:rowOff>
    </xdr:from>
    <xdr:to>
      <xdr:col>3</xdr:col>
      <xdr:colOff>647700</xdr:colOff>
      <xdr:row>26</xdr:row>
      <xdr:rowOff>139700</xdr:rowOff>
    </xdr:to>
    <xdr:sp macro="" textlink="">
      <xdr:nvSpPr>
        <xdr:cNvPr id="6" name="Oval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990600" y="4279900"/>
          <a:ext cx="2133600" cy="850900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3</xdr:col>
      <xdr:colOff>77791</xdr:colOff>
      <xdr:row>43</xdr:row>
      <xdr:rowOff>84090</xdr:rowOff>
    </xdr:from>
    <xdr:to>
      <xdr:col>5</xdr:col>
      <xdr:colOff>603770</xdr:colOff>
      <xdr:row>47</xdr:row>
      <xdr:rowOff>156148</xdr:rowOff>
    </xdr:to>
    <xdr:sp macro="" textlink="">
      <xdr:nvSpPr>
        <xdr:cNvPr id="7" name="Oval 1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2544922" y="8307860"/>
          <a:ext cx="2170733" cy="821567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1</xdr:col>
      <xdr:colOff>76200</xdr:colOff>
      <xdr:row>30</xdr:row>
      <xdr:rowOff>12700</xdr:rowOff>
    </xdr:from>
    <xdr:to>
      <xdr:col>3</xdr:col>
      <xdr:colOff>698500</xdr:colOff>
      <xdr:row>34</xdr:row>
      <xdr:rowOff>76200</xdr:rowOff>
    </xdr:to>
    <xdr:sp macro="" textlink="">
      <xdr:nvSpPr>
        <xdr:cNvPr id="8" name="Oval 1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901700" y="5765800"/>
          <a:ext cx="2273300" cy="825500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5</xdr:col>
      <xdr:colOff>76200</xdr:colOff>
      <xdr:row>22</xdr:row>
      <xdr:rowOff>139700</xdr:rowOff>
    </xdr:from>
    <xdr:to>
      <xdr:col>7</xdr:col>
      <xdr:colOff>444500</xdr:colOff>
      <xdr:row>25</xdr:row>
      <xdr:rowOff>63500</xdr:rowOff>
    </xdr:to>
    <xdr:sp macro="" textlink="">
      <xdr:nvSpPr>
        <xdr:cNvPr id="9" name="Oval 1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203700" y="4368800"/>
          <a:ext cx="2019300" cy="495300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7</xdr:col>
      <xdr:colOff>539141</xdr:colOff>
      <xdr:row>38</xdr:row>
      <xdr:rowOff>57412</xdr:rowOff>
    </xdr:from>
    <xdr:to>
      <xdr:col>10</xdr:col>
      <xdr:colOff>323242</xdr:colOff>
      <xdr:row>43</xdr:row>
      <xdr:rowOff>6612</xdr:rowOff>
    </xdr:to>
    <xdr:sp macro="" textlink="">
      <xdr:nvSpPr>
        <xdr:cNvPr id="10" name="Oval 1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6262840" y="7468645"/>
          <a:ext cx="2237114" cy="906049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3</xdr:col>
      <xdr:colOff>97479</xdr:colOff>
      <xdr:row>36</xdr:row>
      <xdr:rowOff>93572</xdr:rowOff>
    </xdr:from>
    <xdr:to>
      <xdr:col>5</xdr:col>
      <xdr:colOff>541310</xdr:colOff>
      <xdr:row>40</xdr:row>
      <xdr:rowOff>156148</xdr:rowOff>
    </xdr:to>
    <xdr:sp macro="" textlink="">
      <xdr:nvSpPr>
        <xdr:cNvPr id="11" name="Oval 1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2564610" y="7005703"/>
          <a:ext cx="2088585" cy="812084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5</xdr:col>
      <xdr:colOff>143456</xdr:colOff>
      <xdr:row>14</xdr:row>
      <xdr:rowOff>144350</xdr:rowOff>
    </xdr:from>
    <xdr:to>
      <xdr:col>7</xdr:col>
      <xdr:colOff>572395</xdr:colOff>
      <xdr:row>17</xdr:row>
      <xdr:rowOff>196759</xdr:rowOff>
    </xdr:to>
    <xdr:sp macro="" textlink="">
      <xdr:nvSpPr>
        <xdr:cNvPr id="12" name="Oval 1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4257541" y="3024209"/>
          <a:ext cx="2074572" cy="642691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5</xdr:col>
      <xdr:colOff>88900</xdr:colOff>
      <xdr:row>30</xdr:row>
      <xdr:rowOff>177800</xdr:rowOff>
    </xdr:from>
    <xdr:to>
      <xdr:col>7</xdr:col>
      <xdr:colOff>457200</xdr:colOff>
      <xdr:row>33</xdr:row>
      <xdr:rowOff>101600</xdr:rowOff>
    </xdr:to>
    <xdr:sp macro="" textlink="">
      <xdr:nvSpPr>
        <xdr:cNvPr id="13" name="Oval 1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4216400" y="5930900"/>
          <a:ext cx="2019300" cy="495300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5</xdr:col>
      <xdr:colOff>79062</xdr:colOff>
      <xdr:row>8</xdr:row>
      <xdr:rowOff>114837</xdr:rowOff>
    </xdr:from>
    <xdr:to>
      <xdr:col>7</xdr:col>
      <xdr:colOff>447362</xdr:colOff>
      <xdr:row>11</xdr:row>
      <xdr:rowOff>32376</xdr:rowOff>
    </xdr:to>
    <xdr:sp macro="" textlink="">
      <xdr:nvSpPr>
        <xdr:cNvPr id="14" name="Oval 1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4193147" y="1778358"/>
          <a:ext cx="2013933" cy="507821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1</xdr:col>
      <xdr:colOff>88900</xdr:colOff>
      <xdr:row>14</xdr:row>
      <xdr:rowOff>139700</xdr:rowOff>
    </xdr:from>
    <xdr:to>
      <xdr:col>3</xdr:col>
      <xdr:colOff>609600</xdr:colOff>
      <xdr:row>18</xdr:row>
      <xdr:rowOff>127000</xdr:rowOff>
    </xdr:to>
    <xdr:sp macro="" textlink="">
      <xdr:nvSpPr>
        <xdr:cNvPr id="15" name="Oval 1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914400" y="2844800"/>
          <a:ext cx="2171700" cy="749300"/>
        </a:xfrm>
        <a:prstGeom prst="ellipse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</xdr:spPr>
      <xdr:txBody>
        <a:bodyPr/>
        <a:lstStyle/>
        <a:p>
          <a:r>
            <a:rPr lang="en-US" altLang="zh-TW"/>
            <a:t>hh</a:t>
          </a:r>
          <a:endParaRPr lang="zh-TW" altLang="en-US"/>
        </a:p>
      </xdr:txBody>
    </xdr:sp>
    <xdr:clientData/>
  </xdr:twoCellAnchor>
  <xdr:twoCellAnchor>
    <xdr:from>
      <xdr:col>1</xdr:col>
      <xdr:colOff>584200</xdr:colOff>
      <xdr:row>15</xdr:row>
      <xdr:rowOff>38100</xdr:rowOff>
    </xdr:from>
    <xdr:to>
      <xdr:col>3</xdr:col>
      <xdr:colOff>114300</xdr:colOff>
      <xdr:row>18</xdr:row>
      <xdr:rowOff>12700</xdr:rowOff>
    </xdr:to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409700" y="2933700"/>
          <a:ext cx="1181100" cy="546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Moderate </a:t>
          </a:r>
        </a:p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HCV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520700</xdr:colOff>
      <xdr:row>23</xdr:row>
      <xdr:rowOff>0</xdr:rowOff>
    </xdr:from>
    <xdr:to>
      <xdr:col>3</xdr:col>
      <xdr:colOff>254000</xdr:colOff>
      <xdr:row>25</xdr:row>
      <xdr:rowOff>165100</xdr:rowOff>
    </xdr:to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346200" y="4419600"/>
          <a:ext cx="1384300" cy="546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Compensated cirrhosis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397607</xdr:colOff>
      <xdr:row>30</xdr:row>
      <xdr:rowOff>127000</xdr:rowOff>
    </xdr:from>
    <xdr:to>
      <xdr:col>3</xdr:col>
      <xdr:colOff>410307</xdr:colOff>
      <xdr:row>33</xdr:row>
      <xdr:rowOff>139700</xdr:rowOff>
    </xdr:to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18222" y="6125308"/>
          <a:ext cx="1653931" cy="5988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Decompensated</a:t>
          </a:r>
          <a:r>
            <a:rPr lang="en-US" altLang="zh-TW" sz="1400" baseline="0">
              <a:latin typeface="Arial" panose="020B0604020202020204" pitchFamily="34" charset="0"/>
              <a:cs typeface="Arial" panose="020B0604020202020204" pitchFamily="34" charset="0"/>
            </a:rPr>
            <a:t> cirrhosis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368300</xdr:colOff>
      <xdr:row>18</xdr:row>
      <xdr:rowOff>165100</xdr:rowOff>
    </xdr:from>
    <xdr:to>
      <xdr:col>2</xdr:col>
      <xdr:colOff>368300</xdr:colOff>
      <xdr:row>22</xdr:row>
      <xdr:rowOff>63500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ShapeType="1"/>
        </xdr:cNvSpPr>
      </xdr:nvSpPr>
      <xdr:spPr bwMode="auto">
        <a:xfrm>
          <a:off x="2019300" y="3632200"/>
          <a:ext cx="0" cy="66040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317500</xdr:colOff>
      <xdr:row>11</xdr:row>
      <xdr:rowOff>12700</xdr:rowOff>
    </xdr:from>
    <xdr:to>
      <xdr:col>2</xdr:col>
      <xdr:colOff>330200</xdr:colOff>
      <xdr:row>14</xdr:row>
      <xdr:rowOff>114300</xdr:rowOff>
    </xdr:to>
    <xdr:sp macro="" textlink="">
      <xdr:nvSpPr>
        <xdr:cNvPr id="25" name="Line 30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ShapeType="1"/>
        </xdr:cNvSpPr>
      </xdr:nvSpPr>
      <xdr:spPr bwMode="auto">
        <a:xfrm>
          <a:off x="1968500" y="2108200"/>
          <a:ext cx="12700" cy="71120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368300</xdr:colOff>
      <xdr:row>26</xdr:row>
      <xdr:rowOff>152400</xdr:rowOff>
    </xdr:from>
    <xdr:to>
      <xdr:col>2</xdr:col>
      <xdr:colOff>368300</xdr:colOff>
      <xdr:row>30</xdr:row>
      <xdr:rowOff>25400</xdr:rowOff>
    </xdr:to>
    <xdr:sp macro="" textlink="">
      <xdr:nvSpPr>
        <xdr:cNvPr id="26" name="Line 30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ShapeType="1"/>
        </xdr:cNvSpPr>
      </xdr:nvSpPr>
      <xdr:spPr bwMode="auto">
        <a:xfrm>
          <a:off x="2019300" y="5143500"/>
          <a:ext cx="0" cy="63500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538588</xdr:colOff>
      <xdr:row>8</xdr:row>
      <xdr:rowOff>180662</xdr:rowOff>
    </xdr:from>
    <xdr:to>
      <xdr:col>6</xdr:col>
      <xdr:colOff>779888</xdr:colOff>
      <xdr:row>10</xdr:row>
      <xdr:rowOff>91762</xdr:rowOff>
    </xdr:to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652673" y="1844183"/>
          <a:ext cx="1064116" cy="304621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SVRmild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533400</xdr:colOff>
      <xdr:row>9</xdr:row>
      <xdr:rowOff>165100</xdr:rowOff>
    </xdr:from>
    <xdr:to>
      <xdr:col>4</xdr:col>
      <xdr:colOff>787042</xdr:colOff>
      <xdr:row>9</xdr:row>
      <xdr:rowOff>178873</xdr:rowOff>
    </xdr:to>
    <xdr:sp macro="" textlink="">
      <xdr:nvSpPr>
        <xdr:cNvPr id="28" name="Line 30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ShapeType="1"/>
        </xdr:cNvSpPr>
      </xdr:nvSpPr>
      <xdr:spPr bwMode="auto">
        <a:xfrm>
          <a:off x="3001851" y="2025382"/>
          <a:ext cx="1076459" cy="13773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617112</xdr:colOff>
      <xdr:row>16</xdr:row>
      <xdr:rowOff>53662</xdr:rowOff>
    </xdr:from>
    <xdr:to>
      <xdr:col>5</xdr:col>
      <xdr:colOff>89435</xdr:colOff>
      <xdr:row>16</xdr:row>
      <xdr:rowOff>62964</xdr:rowOff>
    </xdr:to>
    <xdr:sp macro="" textlink="">
      <xdr:nvSpPr>
        <xdr:cNvPr id="29" name="Line 30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ShapeType="1"/>
        </xdr:cNvSpPr>
      </xdr:nvSpPr>
      <xdr:spPr bwMode="auto">
        <a:xfrm flipV="1">
          <a:off x="3085563" y="3327042"/>
          <a:ext cx="1117957" cy="9302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482600</xdr:colOff>
      <xdr:row>23</xdr:row>
      <xdr:rowOff>38100</xdr:rowOff>
    </xdr:from>
    <xdr:to>
      <xdr:col>7</xdr:col>
      <xdr:colOff>38100</xdr:colOff>
      <xdr:row>24</xdr:row>
      <xdr:rowOff>127000</xdr:rowOff>
    </xdr:to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4610100" y="4457700"/>
          <a:ext cx="1206500" cy="279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SVR(CC)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685800</xdr:colOff>
      <xdr:row>24</xdr:row>
      <xdr:rowOff>38100</xdr:rowOff>
    </xdr:from>
    <xdr:to>
      <xdr:col>5</xdr:col>
      <xdr:colOff>0</xdr:colOff>
      <xdr:row>24</xdr:row>
      <xdr:rowOff>38100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ShapeType="1"/>
        </xdr:cNvSpPr>
      </xdr:nvSpPr>
      <xdr:spPr bwMode="auto">
        <a:xfrm>
          <a:off x="3162300" y="4648200"/>
          <a:ext cx="965200" cy="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31</xdr:row>
      <xdr:rowOff>76200</xdr:rowOff>
    </xdr:from>
    <xdr:to>
      <xdr:col>7</xdr:col>
      <xdr:colOff>25400</xdr:colOff>
      <xdr:row>32</xdr:row>
      <xdr:rowOff>177800</xdr:rowOff>
    </xdr:to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4622800" y="6019800"/>
          <a:ext cx="1181100" cy="292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HCC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736600</xdr:colOff>
      <xdr:row>32</xdr:row>
      <xdr:rowOff>38100</xdr:rowOff>
    </xdr:from>
    <xdr:to>
      <xdr:col>5</xdr:col>
      <xdr:colOff>50800</xdr:colOff>
      <xdr:row>32</xdr:row>
      <xdr:rowOff>38100</xdr:rowOff>
    </xdr:to>
    <xdr:sp macro="" textlink="">
      <xdr:nvSpPr>
        <xdr:cNvPr id="33" name="Line 30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ShapeType="1"/>
        </xdr:cNvSpPr>
      </xdr:nvSpPr>
      <xdr:spPr bwMode="auto">
        <a:xfrm>
          <a:off x="3213100" y="6172200"/>
          <a:ext cx="965200" cy="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301493</xdr:colOff>
      <xdr:row>33</xdr:row>
      <xdr:rowOff>3827</xdr:rowOff>
    </xdr:from>
    <xdr:to>
      <xdr:col>8</xdr:col>
      <xdr:colOff>574108</xdr:colOff>
      <xdr:row>37</xdr:row>
      <xdr:rowOff>139178</xdr:rowOff>
    </xdr:to>
    <xdr:sp macro="" textlink="">
      <xdr:nvSpPr>
        <xdr:cNvPr id="34" name="Line 3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ShapeType="1"/>
        </xdr:cNvSpPr>
      </xdr:nvSpPr>
      <xdr:spPr bwMode="auto">
        <a:xfrm>
          <a:off x="6025192" y="6458211"/>
          <a:ext cx="1090286" cy="90083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330548</xdr:colOff>
      <xdr:row>33</xdr:row>
      <xdr:rowOff>139178</xdr:rowOff>
    </xdr:from>
    <xdr:to>
      <xdr:col>1</xdr:col>
      <xdr:colOff>342900</xdr:colOff>
      <xdr:row>50</xdr:row>
      <xdr:rowOff>25400</xdr:rowOff>
    </xdr:to>
    <xdr:sp macro="" textlink="">
      <xdr:nvSpPr>
        <xdr:cNvPr id="36" name="Line 46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ShapeType="1"/>
        </xdr:cNvSpPr>
      </xdr:nvSpPr>
      <xdr:spPr bwMode="auto">
        <a:xfrm>
          <a:off x="1148219" y="6593562"/>
          <a:ext cx="12352" cy="3139509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347945</xdr:colOff>
      <xdr:row>50</xdr:row>
      <xdr:rowOff>0</xdr:rowOff>
    </xdr:from>
    <xdr:to>
      <xdr:col>8</xdr:col>
      <xdr:colOff>800274</xdr:colOff>
      <xdr:row>50</xdr:row>
      <xdr:rowOff>0</xdr:rowOff>
    </xdr:to>
    <xdr:sp macro="" textlink="">
      <xdr:nvSpPr>
        <xdr:cNvPr id="37" name="Line 4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ShapeType="1"/>
        </xdr:cNvSpPr>
      </xdr:nvSpPr>
      <xdr:spPr bwMode="auto">
        <a:xfrm flipV="1">
          <a:off x="1165616" y="9707671"/>
          <a:ext cx="6176028" cy="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800275</xdr:colOff>
      <xdr:row>43</xdr:row>
      <xdr:rowOff>17398</xdr:rowOff>
    </xdr:from>
    <xdr:to>
      <xdr:col>8</xdr:col>
      <xdr:colOff>800275</xdr:colOff>
      <xdr:row>50</xdr:row>
      <xdr:rowOff>1</xdr:rowOff>
    </xdr:to>
    <xdr:sp macro="" textlink="">
      <xdr:nvSpPr>
        <xdr:cNvPr id="38" name="Line 45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ShapeType="1"/>
        </xdr:cNvSpPr>
      </xdr:nvSpPr>
      <xdr:spPr bwMode="auto">
        <a:xfrm flipV="1">
          <a:off x="7341645" y="8385480"/>
          <a:ext cx="0" cy="1322192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306163</xdr:colOff>
      <xdr:row>40</xdr:row>
      <xdr:rowOff>153151</xdr:rowOff>
    </xdr:from>
    <xdr:to>
      <xdr:col>4</xdr:col>
      <xdr:colOff>312295</xdr:colOff>
      <xdr:row>43</xdr:row>
      <xdr:rowOff>83279</xdr:rowOff>
    </xdr:to>
    <xdr:sp macro="" textlink="">
      <xdr:nvSpPr>
        <xdr:cNvPr id="39" name="Line 30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ShapeType="1"/>
        </xdr:cNvSpPr>
      </xdr:nvSpPr>
      <xdr:spPr bwMode="auto">
        <a:xfrm>
          <a:off x="3595671" y="7814790"/>
          <a:ext cx="6132" cy="492259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374753</xdr:colOff>
      <xdr:row>34</xdr:row>
      <xdr:rowOff>104098</xdr:rowOff>
    </xdr:from>
    <xdr:to>
      <xdr:col>3</xdr:col>
      <xdr:colOff>343526</xdr:colOff>
      <xdr:row>37</xdr:row>
      <xdr:rowOff>0</xdr:rowOff>
    </xdr:to>
    <xdr:sp macro="" textlink="">
      <xdr:nvSpPr>
        <xdr:cNvPr id="40" name="Line 30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ShapeType="1"/>
        </xdr:cNvSpPr>
      </xdr:nvSpPr>
      <xdr:spPr bwMode="auto">
        <a:xfrm>
          <a:off x="2019507" y="6641475"/>
          <a:ext cx="791150" cy="458033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249836</xdr:colOff>
      <xdr:row>33</xdr:row>
      <xdr:rowOff>176968</xdr:rowOff>
    </xdr:from>
    <xdr:to>
      <xdr:col>6</xdr:col>
      <xdr:colOff>239427</xdr:colOff>
      <xdr:row>36</xdr:row>
      <xdr:rowOff>156149</xdr:rowOff>
    </xdr:to>
    <xdr:sp macro="" textlink="">
      <xdr:nvSpPr>
        <xdr:cNvPr id="41" name="Line 3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ShapeType="1"/>
        </xdr:cNvSpPr>
      </xdr:nvSpPr>
      <xdr:spPr bwMode="auto">
        <a:xfrm flipH="1">
          <a:off x="4361721" y="6526968"/>
          <a:ext cx="811968" cy="541312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582951</xdr:colOff>
      <xdr:row>37</xdr:row>
      <xdr:rowOff>10410</xdr:rowOff>
    </xdr:from>
    <xdr:to>
      <xdr:col>5</xdr:col>
      <xdr:colOff>72870</xdr:colOff>
      <xdr:row>40</xdr:row>
      <xdr:rowOff>41639</xdr:rowOff>
    </xdr:to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3050082" y="7109918"/>
          <a:ext cx="1134673" cy="5933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Liver Transplant 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551721</xdr:colOff>
      <xdr:row>43</xdr:row>
      <xdr:rowOff>176968</xdr:rowOff>
    </xdr:from>
    <xdr:to>
      <xdr:col>5</xdr:col>
      <xdr:colOff>114508</xdr:colOff>
      <xdr:row>47</xdr:row>
      <xdr:rowOff>41639</xdr:rowOff>
    </xdr:to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018852" y="8400738"/>
          <a:ext cx="1207541" cy="61418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400"/>
            <a:t>Post-Liver</a:t>
          </a:r>
          <a:r>
            <a:rPr lang="en-US" altLang="zh-TW" sz="1400" baseline="0"/>
            <a:t> Transplant</a:t>
          </a:r>
          <a:endParaRPr lang="zh-TW" altLang="en-US" sz="1400"/>
        </a:p>
      </xdr:txBody>
    </xdr:sp>
    <xdr:clientData/>
  </xdr:twoCellAnchor>
  <xdr:twoCellAnchor>
    <xdr:from>
      <xdr:col>5</xdr:col>
      <xdr:colOff>666231</xdr:colOff>
      <xdr:row>41</xdr:row>
      <xdr:rowOff>83279</xdr:rowOff>
    </xdr:from>
    <xdr:to>
      <xdr:col>7</xdr:col>
      <xdr:colOff>541313</xdr:colOff>
      <xdr:row>45</xdr:row>
      <xdr:rowOff>145738</xdr:rowOff>
    </xdr:to>
    <xdr:sp macro="" textlink="">
      <xdr:nvSpPr>
        <xdr:cNvPr id="44" name="Line 30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ShapeType="1"/>
        </xdr:cNvSpPr>
      </xdr:nvSpPr>
      <xdr:spPr bwMode="auto">
        <a:xfrm flipV="1">
          <a:off x="4778116" y="7932295"/>
          <a:ext cx="1519836" cy="811968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562132</xdr:colOff>
      <xdr:row>38</xdr:row>
      <xdr:rowOff>52049</xdr:rowOff>
    </xdr:from>
    <xdr:to>
      <xdr:col>7</xdr:col>
      <xdr:colOff>510082</xdr:colOff>
      <xdr:row>40</xdr:row>
      <xdr:rowOff>52050</xdr:rowOff>
    </xdr:to>
    <xdr:sp macro="" textlink="">
      <xdr:nvSpPr>
        <xdr:cNvPr id="45" name="Line 3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ShapeType="1"/>
        </xdr:cNvSpPr>
      </xdr:nvSpPr>
      <xdr:spPr bwMode="auto">
        <a:xfrm>
          <a:off x="4674017" y="7338934"/>
          <a:ext cx="1592704" cy="374755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145738</xdr:colOff>
      <xdr:row>38</xdr:row>
      <xdr:rowOff>166558</xdr:rowOff>
    </xdr:from>
    <xdr:to>
      <xdr:col>9</xdr:col>
      <xdr:colOff>780738</xdr:colOff>
      <xdr:row>42</xdr:row>
      <xdr:rowOff>72869</xdr:rowOff>
    </xdr:to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6724754" y="7453443"/>
          <a:ext cx="1457377" cy="65581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Liver-related Dealth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465070</xdr:colOff>
      <xdr:row>15</xdr:row>
      <xdr:rowOff>71549</xdr:rowOff>
    </xdr:from>
    <xdr:to>
      <xdr:col>7</xdr:col>
      <xdr:colOff>250423</xdr:colOff>
      <xdr:row>17</xdr:row>
      <xdr:rowOff>71549</xdr:rowOff>
    </xdr:to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4579155" y="3148169"/>
          <a:ext cx="1430986" cy="393521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400">
              <a:latin typeface="Arial" panose="020B0604020202020204" pitchFamily="34" charset="0"/>
              <a:cs typeface="Arial" panose="020B0604020202020204" pitchFamily="34" charset="0"/>
            </a:rPr>
            <a:t>SVRmoderate</a:t>
          </a:r>
          <a:endParaRPr lang="zh-TW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672352</xdr:colOff>
      <xdr:row>25</xdr:row>
      <xdr:rowOff>134471</xdr:rowOff>
    </xdr:from>
    <xdr:to>
      <xdr:col>5</xdr:col>
      <xdr:colOff>702233</xdr:colOff>
      <xdr:row>30</xdr:row>
      <xdr:rowOff>179294</xdr:rowOff>
    </xdr:to>
    <xdr:sp macro="" textlink="">
      <xdr:nvSpPr>
        <xdr:cNvPr id="48" name="Line 3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ShapeType="1"/>
        </xdr:cNvSpPr>
      </xdr:nvSpPr>
      <xdr:spPr bwMode="auto">
        <a:xfrm flipH="1">
          <a:off x="3137646" y="5139765"/>
          <a:ext cx="1673411" cy="101600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463175</xdr:colOff>
      <xdr:row>26</xdr:row>
      <xdr:rowOff>1</xdr:rowOff>
    </xdr:from>
    <xdr:to>
      <xdr:col>5</xdr:col>
      <xdr:colOff>717175</xdr:colOff>
      <xdr:row>30</xdr:row>
      <xdr:rowOff>74706</xdr:rowOff>
    </xdr:to>
    <xdr:sp macro="" textlink="">
      <xdr:nvSpPr>
        <xdr:cNvPr id="49" name="Line 30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ShapeType="1"/>
        </xdr:cNvSpPr>
      </xdr:nvSpPr>
      <xdr:spPr bwMode="auto">
        <a:xfrm>
          <a:off x="2928469" y="5199530"/>
          <a:ext cx="1897530" cy="851647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812800</xdr:colOff>
          <xdr:row>9</xdr:row>
          <xdr:rowOff>152400</xdr:rowOff>
        </xdr:to>
        <xdr:sp macro="" textlink="">
          <xdr:nvSpPr>
            <xdr:cNvPr id="6150" name="Group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Gender</a:t>
              </a:r>
            </a:p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6</xdr:row>
          <xdr:rowOff>12700</xdr:rowOff>
        </xdr:from>
        <xdr:to>
          <xdr:col>3</xdr:col>
          <xdr:colOff>558800</xdr:colOff>
          <xdr:row>6</xdr:row>
          <xdr:rowOff>177800</xdr:rowOff>
        </xdr:to>
        <xdr:sp macro="" textlink="">
          <xdr:nvSpPr>
            <xdr:cNvPr id="6151" name="Option 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male</a:t>
              </a:r>
            </a:p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7</xdr:row>
          <xdr:rowOff>152400</xdr:rowOff>
        </xdr:from>
        <xdr:to>
          <xdr:col>3</xdr:col>
          <xdr:colOff>787400</xdr:colOff>
          <xdr:row>9</xdr:row>
          <xdr:rowOff>12700</xdr:rowOff>
        </xdr:to>
        <xdr:sp macro="" textlink="">
          <xdr:nvSpPr>
            <xdr:cNvPr id="6152" name="Option 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female</a:t>
              </a:r>
            </a:p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524</xdr:colOff>
      <xdr:row>3</xdr:row>
      <xdr:rowOff>160520</xdr:rowOff>
    </xdr:from>
    <xdr:to>
      <xdr:col>18</xdr:col>
      <xdr:colOff>69641</xdr:colOff>
      <xdr:row>35</xdr:row>
      <xdr:rowOff>37683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40217</xdr:colOff>
      <xdr:row>5</xdr:row>
      <xdr:rowOff>5643</xdr:rowOff>
    </xdr:from>
    <xdr:to>
      <xdr:col>12</xdr:col>
      <xdr:colOff>17357</xdr:colOff>
      <xdr:row>27</xdr:row>
      <xdr:rowOff>112323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www.ncbi.nlm.nih.gov/pmc/articles/PMC3404694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94DD-DBFD-294C-B870-B12EF61019C7}">
  <sheetPr codeName="Worksheet___1"/>
  <dimension ref="A1:I14"/>
  <sheetViews>
    <sheetView topLeftCell="A13" zoomScale="75" zoomScaleNormal="70" workbookViewId="0">
      <selection activeCell="N45" sqref="N45"/>
    </sheetView>
  </sheetViews>
  <sheetFormatPr baseColWidth="10" defaultRowHeight="16" x14ac:dyDescent="0.2"/>
  <sheetData>
    <row r="1" spans="1:9" ht="23" x14ac:dyDescent="0.2">
      <c r="A1" s="18" t="s">
        <v>56</v>
      </c>
      <c r="B1" s="18"/>
      <c r="C1" s="18"/>
      <c r="D1" s="18"/>
      <c r="E1" s="19"/>
      <c r="F1" s="19"/>
      <c r="G1" s="19"/>
    </row>
    <row r="2" spans="1:9" x14ac:dyDescent="0.2">
      <c r="A2" s="20" t="s">
        <v>57</v>
      </c>
      <c r="B2" s="20"/>
      <c r="C2" s="20"/>
      <c r="D2" s="20"/>
      <c r="E2" s="20"/>
      <c r="F2" s="20"/>
      <c r="G2" s="20"/>
      <c r="H2" s="20"/>
      <c r="I2" s="21"/>
    </row>
    <row r="14" spans="1:9" ht="18" x14ac:dyDescent="0.2">
      <c r="F14" s="17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BEBE5-F331-214A-9BB8-BE0732D30E21}">
  <sheetPr codeName="Worksheet___2"/>
  <dimension ref="A1:N87"/>
  <sheetViews>
    <sheetView topLeftCell="C1" zoomScale="82" zoomScaleNormal="128" workbookViewId="0">
      <selection activeCell="D3" sqref="D3"/>
    </sheetView>
  </sheetViews>
  <sheetFormatPr baseColWidth="10" defaultRowHeight="16" x14ac:dyDescent="0.2"/>
  <cols>
    <col min="1" max="1" width="24.33203125" customWidth="1"/>
    <col min="2" max="2" width="20.1640625" customWidth="1"/>
    <col min="3" max="3" width="24" customWidth="1"/>
    <col min="4" max="4" width="29.83203125" customWidth="1"/>
    <col min="5" max="5" width="29.5" customWidth="1"/>
    <col min="6" max="6" width="23.1640625" customWidth="1"/>
    <col min="7" max="7" width="29.33203125" customWidth="1"/>
    <col min="9" max="9" width="14.6640625" customWidth="1"/>
  </cols>
  <sheetData>
    <row r="1" spans="1:7" x14ac:dyDescent="0.2">
      <c r="A1" s="1" t="s">
        <v>0</v>
      </c>
    </row>
    <row r="2" spans="1:7" ht="17" thickBot="1" x14ac:dyDescent="0.25"/>
    <row r="3" spans="1:7" ht="17" thickBot="1" x14ac:dyDescent="0.25">
      <c r="B3">
        <v>1</v>
      </c>
      <c r="D3" s="71">
        <v>0</v>
      </c>
    </row>
    <row r="5" spans="1:7" x14ac:dyDescent="0.2">
      <c r="A5" s="1" t="s">
        <v>1</v>
      </c>
      <c r="B5" s="1" t="s">
        <v>6</v>
      </c>
      <c r="C5" s="1" t="s">
        <v>7</v>
      </c>
    </row>
    <row r="7" spans="1:7" x14ac:dyDescent="0.2">
      <c r="A7" s="2" t="s">
        <v>43</v>
      </c>
      <c r="B7" s="23">
        <v>45</v>
      </c>
      <c r="C7" t="s">
        <v>199</v>
      </c>
    </row>
    <row r="8" spans="1:7" x14ac:dyDescent="0.2">
      <c r="A8" s="2" t="s">
        <v>47</v>
      </c>
      <c r="B8" s="23">
        <f>IF(B3=2,0,1)</f>
        <v>1</v>
      </c>
      <c r="C8" t="s">
        <v>48</v>
      </c>
    </row>
    <row r="9" spans="1:7" x14ac:dyDescent="0.2">
      <c r="A9" s="2" t="s">
        <v>2</v>
      </c>
      <c r="B9" s="27">
        <v>3.5000000000000003E-2</v>
      </c>
      <c r="C9" s="2" t="s">
        <v>4</v>
      </c>
      <c r="D9" s="2"/>
    </row>
    <row r="10" spans="1:7" x14ac:dyDescent="0.2">
      <c r="A10" s="2" t="s">
        <v>3</v>
      </c>
      <c r="B10" s="27">
        <v>3.5000000000000003E-2</v>
      </c>
      <c r="C10" s="2" t="s">
        <v>5</v>
      </c>
      <c r="D10" s="2"/>
    </row>
    <row r="12" spans="1:7" x14ac:dyDescent="0.2">
      <c r="A12" s="1" t="s">
        <v>26</v>
      </c>
      <c r="C12" t="s">
        <v>28</v>
      </c>
    </row>
    <row r="14" spans="1:7" x14ac:dyDescent="0.2">
      <c r="A14" s="1" t="s">
        <v>8</v>
      </c>
      <c r="B14" s="1" t="s">
        <v>15</v>
      </c>
      <c r="C14" s="1" t="s">
        <v>1</v>
      </c>
      <c r="D14" s="1" t="s">
        <v>188</v>
      </c>
      <c r="E14" s="1" t="s">
        <v>187</v>
      </c>
      <c r="F14" s="1" t="s">
        <v>212</v>
      </c>
      <c r="G14" s="1" t="s">
        <v>29</v>
      </c>
    </row>
    <row r="15" spans="1:7" x14ac:dyDescent="0.2">
      <c r="A15" s="4" t="s">
        <v>9</v>
      </c>
      <c r="B15" s="2" t="s">
        <v>10</v>
      </c>
      <c r="C15" s="10" t="s">
        <v>32</v>
      </c>
      <c r="D15" s="2">
        <f>IF($D$3=0,E15,F15)</f>
        <v>2.5000000000000001E-2</v>
      </c>
      <c r="E15" s="16">
        <v>2.5000000000000001E-2</v>
      </c>
      <c r="F15" s="2">
        <f ca="1">BETAINV(RAND(),'Fitting distribution'!G5,'Fitting distribution'!H5)</f>
        <v>3.0891094873383929E-2</v>
      </c>
      <c r="G15" t="s">
        <v>30</v>
      </c>
    </row>
    <row r="16" spans="1:7" x14ac:dyDescent="0.2">
      <c r="A16" s="4" t="s">
        <v>10</v>
      </c>
      <c r="B16" s="2" t="s">
        <v>11</v>
      </c>
      <c r="C16" s="10" t="s">
        <v>33</v>
      </c>
      <c r="D16" s="2">
        <f t="shared" ref="D16:D27" si="0">IF($D$3=0,E16,F16)</f>
        <v>3.6999999999999998E-2</v>
      </c>
      <c r="E16" s="16">
        <v>3.6999999999999998E-2</v>
      </c>
      <c r="F16" s="2">
        <f ca="1">BETAINV(RAND(),'Fitting distribution'!G6,'Fitting distribution'!H6)</f>
        <v>3.5936865004710716E-2</v>
      </c>
      <c r="G16" s="8" t="s">
        <v>30</v>
      </c>
    </row>
    <row r="17" spans="1:8" x14ac:dyDescent="0.2">
      <c r="A17" s="4" t="s">
        <v>11</v>
      </c>
      <c r="B17" s="2" t="s">
        <v>12</v>
      </c>
      <c r="C17" s="10" t="s">
        <v>34</v>
      </c>
      <c r="D17" s="2">
        <f t="shared" si="0"/>
        <v>3.9E-2</v>
      </c>
      <c r="E17" s="16">
        <v>3.9E-2</v>
      </c>
      <c r="F17" s="2">
        <f ca="1">BETAINV(RAND(),'Fitting distribution'!G7,'Fitting distribution'!H7)</f>
        <v>3.1314218304892914E-2</v>
      </c>
      <c r="G17" s="8" t="s">
        <v>30</v>
      </c>
    </row>
    <row r="18" spans="1:8" x14ac:dyDescent="0.2">
      <c r="B18" s="2" t="s">
        <v>14</v>
      </c>
      <c r="C18" s="10" t="s">
        <v>35</v>
      </c>
      <c r="D18" s="2">
        <f t="shared" si="0"/>
        <v>1.4E-2</v>
      </c>
      <c r="E18" s="16">
        <v>1.4E-2</v>
      </c>
      <c r="F18" s="2">
        <f ca="1">BETAINV(RAND(),'Fitting distribution'!G8,'Fitting distribution'!H8)</f>
        <v>1.7688464486477429E-2</v>
      </c>
      <c r="G18" t="s">
        <v>30</v>
      </c>
    </row>
    <row r="19" spans="1:8" x14ac:dyDescent="0.2">
      <c r="A19" s="4" t="s">
        <v>76</v>
      </c>
      <c r="B19" s="2" t="s">
        <v>12</v>
      </c>
      <c r="C19" s="10" t="s">
        <v>77</v>
      </c>
      <c r="D19" s="2">
        <f t="shared" si="0"/>
        <v>3.3400000000000001E-3</v>
      </c>
      <c r="E19" s="59">
        <v>3.3400000000000001E-3</v>
      </c>
      <c r="F19" s="2">
        <f ca="1">BETAINV(RAND(),'Fitting distribution'!G9,'Fitting distribution'!H9)</f>
        <v>3.326052814348013E-3</v>
      </c>
      <c r="G19" t="s">
        <v>175</v>
      </c>
      <c r="H19" s="62" t="s">
        <v>174</v>
      </c>
    </row>
    <row r="20" spans="1:8" x14ac:dyDescent="0.2">
      <c r="A20" s="4" t="s">
        <v>12</v>
      </c>
      <c r="B20" s="2" t="s">
        <v>14</v>
      </c>
      <c r="C20" s="10" t="s">
        <v>36</v>
      </c>
      <c r="D20" s="2">
        <f t="shared" si="0"/>
        <v>1.4E-2</v>
      </c>
      <c r="E20" s="16">
        <v>1.4E-2</v>
      </c>
      <c r="F20" s="2">
        <f ca="1">BETAINV(RAND(),'Fitting distribution'!G10,'Fitting distribution'!H10)</f>
        <v>5.7131491536835961E-3</v>
      </c>
      <c r="G20" t="s">
        <v>30</v>
      </c>
    </row>
    <row r="21" spans="1:8" x14ac:dyDescent="0.2">
      <c r="A21" s="4"/>
      <c r="B21" s="2" t="s">
        <v>23</v>
      </c>
      <c r="C21" s="10" t="s">
        <v>37</v>
      </c>
      <c r="D21" s="2">
        <f t="shared" si="0"/>
        <v>0.03</v>
      </c>
      <c r="E21" s="16">
        <v>0.03</v>
      </c>
      <c r="F21" s="2">
        <f ca="1">BETAINV(RAND(),'Fitting distribution'!G11,'Fitting distribution'!H11)</f>
        <v>4.1802848025263128E-2</v>
      </c>
      <c r="G21" s="7" t="s">
        <v>168</v>
      </c>
    </row>
    <row r="22" spans="1:8" x14ac:dyDescent="0.2">
      <c r="A22" s="4"/>
      <c r="B22" s="2" t="s">
        <v>22</v>
      </c>
      <c r="C22" s="10" t="s">
        <v>38</v>
      </c>
      <c r="D22" s="2">
        <f t="shared" si="0"/>
        <v>0.13</v>
      </c>
      <c r="E22" s="16">
        <v>0.13</v>
      </c>
      <c r="F22" s="2">
        <f ca="1">BETAINV(RAND(),'Fitting distribution'!G12,'Fitting distribution'!H12)</f>
        <v>0.13043639719934808</v>
      </c>
      <c r="G22" t="s">
        <v>30</v>
      </c>
    </row>
    <row r="23" spans="1:8" x14ac:dyDescent="0.2">
      <c r="A23" s="4" t="s">
        <v>14</v>
      </c>
      <c r="B23" s="2" t="s">
        <v>23</v>
      </c>
      <c r="C23" s="10" t="s">
        <v>39</v>
      </c>
      <c r="D23" s="2">
        <f t="shared" si="0"/>
        <v>0</v>
      </c>
      <c r="E23" s="16">
        <v>0</v>
      </c>
      <c r="F23" s="2">
        <f>E23</f>
        <v>0</v>
      </c>
      <c r="G23" t="s">
        <v>30</v>
      </c>
    </row>
    <row r="24" spans="1:8" x14ac:dyDescent="0.2">
      <c r="A24" s="4"/>
      <c r="B24" s="2" t="s">
        <v>22</v>
      </c>
      <c r="C24" s="10" t="s">
        <v>40</v>
      </c>
      <c r="D24" s="2">
        <f t="shared" si="0"/>
        <v>0.43</v>
      </c>
      <c r="E24" s="16">
        <v>0.43</v>
      </c>
      <c r="F24" s="2">
        <f ca="1">BETAINV(RAND(),'Fitting distribution'!G14,'Fitting distribution'!H14)</f>
        <v>0.45512801647470313</v>
      </c>
      <c r="G24" t="s">
        <v>30</v>
      </c>
    </row>
    <row r="25" spans="1:8" x14ac:dyDescent="0.2">
      <c r="A25" s="4" t="s">
        <v>25</v>
      </c>
      <c r="B25" s="2" t="s">
        <v>22</v>
      </c>
      <c r="C25" s="10" t="s">
        <v>41</v>
      </c>
      <c r="D25" s="2">
        <f t="shared" si="0"/>
        <v>0.21</v>
      </c>
      <c r="E25" s="16">
        <v>0.21</v>
      </c>
      <c r="F25" s="2">
        <f ca="1">BETAINV(RAND(),'Fitting distribution'!G15,'Fitting distribution'!H15)</f>
        <v>0.1789510874810733</v>
      </c>
      <c r="G25" s="7" t="s">
        <v>168</v>
      </c>
      <c r="H25" s="6"/>
    </row>
    <row r="26" spans="1:8" x14ac:dyDescent="0.2">
      <c r="B26" s="2" t="s">
        <v>27</v>
      </c>
      <c r="C26" s="10" t="s">
        <v>103</v>
      </c>
      <c r="D26" s="2">
        <f t="shared" si="0"/>
        <v>0.79</v>
      </c>
      <c r="E26" s="16">
        <f>1-tpLT2LRD</f>
        <v>0.79</v>
      </c>
      <c r="F26" s="2">
        <f ca="1">1-F25</f>
        <v>0.82104891251892664</v>
      </c>
      <c r="G26" s="7" t="s">
        <v>168</v>
      </c>
    </row>
    <row r="27" spans="1:8" x14ac:dyDescent="0.2">
      <c r="A27" s="4" t="s">
        <v>27</v>
      </c>
      <c r="B27" s="2" t="s">
        <v>22</v>
      </c>
      <c r="C27" s="10" t="s">
        <v>42</v>
      </c>
      <c r="D27" s="2">
        <f t="shared" si="0"/>
        <v>5.7000000000000002E-2</v>
      </c>
      <c r="E27" s="16">
        <v>5.7000000000000002E-2</v>
      </c>
      <c r="F27" s="2">
        <f ca="1">BETAINV(RAND(),'Fitting distribution'!G17,'Fitting distribution'!H17)</f>
        <v>5.834793171371766E-2</v>
      </c>
      <c r="G27" s="7" t="s">
        <v>168</v>
      </c>
    </row>
    <row r="31" spans="1:8" x14ac:dyDescent="0.2">
      <c r="A31" s="1" t="s">
        <v>24</v>
      </c>
      <c r="B31" s="1"/>
      <c r="C31" t="s">
        <v>107</v>
      </c>
    </row>
    <row r="33" spans="1:8" x14ac:dyDescent="0.2">
      <c r="A33" s="1" t="s">
        <v>16</v>
      </c>
      <c r="B33" s="1"/>
      <c r="C33" s="5" t="s">
        <v>105</v>
      </c>
      <c r="D33" s="5"/>
    </row>
    <row r="34" spans="1:8" x14ac:dyDescent="0.2">
      <c r="A34" s="1" t="s">
        <v>8</v>
      </c>
      <c r="B34" s="1" t="s">
        <v>15</v>
      </c>
      <c r="C34" s="1" t="s">
        <v>188</v>
      </c>
      <c r="D34" s="1" t="s">
        <v>187</v>
      </c>
      <c r="E34" s="1" t="s">
        <v>212</v>
      </c>
      <c r="F34" s="1" t="s">
        <v>29</v>
      </c>
      <c r="G34" s="1" t="s">
        <v>147</v>
      </c>
      <c r="H34" s="1" t="s">
        <v>84</v>
      </c>
    </row>
    <row r="35" spans="1:8" x14ac:dyDescent="0.2">
      <c r="A35" s="2" t="s">
        <v>9</v>
      </c>
      <c r="B35" s="2" t="s">
        <v>97</v>
      </c>
      <c r="C35" s="2">
        <f>IF($D$3=0,D35,E35)</f>
        <v>0.99852928149811193</v>
      </c>
      <c r="D35" s="32">
        <f>1-EXP(-H35*1)</f>
        <v>0.99852928149811193</v>
      </c>
      <c r="E35" s="63">
        <f ca="1">1-EXP(-(-1/(12/52))*LN(1-BETAINV(RAND(),'Fitting distribution'!F23,'Fitting distribution'!G23))*1)</f>
        <v>0.99959871598297667</v>
      </c>
      <c r="F35" s="2" t="s">
        <v>108</v>
      </c>
      <c r="G35" s="24">
        <v>0.77800000000000002</v>
      </c>
      <c r="H35" s="2">
        <f>(-1/(12/52))*LN(1-G35)</f>
        <v>6.5220042208093831</v>
      </c>
    </row>
    <row r="36" spans="1:8" x14ac:dyDescent="0.2">
      <c r="A36" s="2" t="s">
        <v>19</v>
      </c>
      <c r="B36" s="2" t="s">
        <v>98</v>
      </c>
      <c r="C36" s="2">
        <f t="shared" ref="C36:C37" si="1">IF($D$3=0,D36,E36)</f>
        <v>0.99852928149811193</v>
      </c>
      <c r="D36" s="32">
        <f t="shared" ref="D36:D37" si="2">1-EXP(-H36*1)</f>
        <v>0.99852928149811193</v>
      </c>
      <c r="E36" s="63">
        <f ca="1">1-EXP(-(-1/(12/52))*LN(1-BETAINV(RAND(),'Fitting distribution'!F24,'Fitting distribution'!G24))*1)</f>
        <v>0.99958211567659805</v>
      </c>
      <c r="F36" s="2" t="s">
        <v>108</v>
      </c>
      <c r="G36" s="24">
        <v>0.77800000000000002</v>
      </c>
      <c r="H36" s="2">
        <f>(-1/(12/52))*LN(1-G36)</f>
        <v>6.5220042208093831</v>
      </c>
    </row>
    <row r="37" spans="1:8" x14ac:dyDescent="0.2">
      <c r="A37" s="2" t="s">
        <v>20</v>
      </c>
      <c r="B37" s="2" t="s">
        <v>99</v>
      </c>
      <c r="C37" s="2">
        <f t="shared" si="1"/>
        <v>0.97035217281602271</v>
      </c>
      <c r="D37" s="32">
        <f t="shared" si="2"/>
        <v>0.97035217281602271</v>
      </c>
      <c r="E37" s="63">
        <f ca="1">1-EXP(-(-1/(12/52))*LN(1-BETAINV(RAND(),'Fitting distribution'!F25,'Fitting distribution'!G25))*1)</f>
        <v>0.98652426681784255</v>
      </c>
      <c r="F37" s="2" t="s">
        <v>108</v>
      </c>
      <c r="G37" s="24">
        <v>0.55600000000000005</v>
      </c>
      <c r="H37" s="2">
        <f>(-1/(12/52))*LN(1-G37)</f>
        <v>3.5183664383829538</v>
      </c>
    </row>
    <row r="38" spans="1:8" x14ac:dyDescent="0.2">
      <c r="A38" s="2"/>
      <c r="B38" s="2"/>
      <c r="C38" s="2"/>
      <c r="F38" s="2"/>
    </row>
    <row r="39" spans="1:8" x14ac:dyDescent="0.2">
      <c r="A39" s="1" t="s">
        <v>17</v>
      </c>
      <c r="B39" s="1"/>
      <c r="C39" s="5" t="s">
        <v>106</v>
      </c>
      <c r="F39" s="5"/>
    </row>
    <row r="40" spans="1:8" x14ac:dyDescent="0.2">
      <c r="A40" s="1" t="s">
        <v>18</v>
      </c>
      <c r="B40" s="1" t="s">
        <v>15</v>
      </c>
      <c r="C40" s="1" t="s">
        <v>188</v>
      </c>
      <c r="D40" s="1" t="s">
        <v>187</v>
      </c>
      <c r="E40" s="1" t="s">
        <v>212</v>
      </c>
      <c r="F40" s="1" t="s">
        <v>29</v>
      </c>
      <c r="G40" s="1" t="s">
        <v>198</v>
      </c>
      <c r="H40" s="1" t="s">
        <v>84</v>
      </c>
    </row>
    <row r="41" spans="1:8" x14ac:dyDescent="0.2">
      <c r="A41" s="2" t="s">
        <v>21</v>
      </c>
      <c r="B41" s="2" t="s">
        <v>100</v>
      </c>
      <c r="C41" s="2">
        <f>IF($D$3=0,D41,E41)</f>
        <v>0.48406037624627107</v>
      </c>
      <c r="D41" s="25">
        <f>1-EXP(-H41*1)</f>
        <v>0.48406037624627107</v>
      </c>
      <c r="E41" s="63">
        <f ca="1">1-EXP(-1*(-1/(72/52))*LN(1-BETAINV(RAND(),'Fitting distribution'!F29,'Fitting distribution'!G29))*1)</f>
        <v>0.45946501553106023</v>
      </c>
      <c r="F41" s="2" t="s">
        <v>85</v>
      </c>
      <c r="G41" s="24">
        <v>0.6</v>
      </c>
      <c r="H41" s="2">
        <f>(-1/(72/52))*LN(1-G41)</f>
        <v>0.66176552857577864</v>
      </c>
    </row>
    <row r="42" spans="1:8" x14ac:dyDescent="0.2">
      <c r="A42" s="2" t="s">
        <v>19</v>
      </c>
      <c r="B42" s="2" t="s">
        <v>101</v>
      </c>
      <c r="C42" s="2">
        <f t="shared" ref="C42:C43" si="3">IF($D$3=0,D42,E42)</f>
        <v>0.40261718578270667</v>
      </c>
      <c r="D42" s="25">
        <f t="shared" ref="D42:D43" si="4">1-EXP(-H42*1)</f>
        <v>0.40261718578270667</v>
      </c>
      <c r="E42" s="63">
        <f ca="1">1-EXP(-1*(-1/(72/52))*LN(1-BETAINV(RAND(),'Fitting distribution'!F30,'Fitting distribution'!G30))*1)</f>
        <v>0.2948998440072248</v>
      </c>
      <c r="F42" s="2" t="s">
        <v>85</v>
      </c>
      <c r="G42" s="24">
        <v>0.51</v>
      </c>
      <c r="H42" s="2">
        <f t="shared" ref="H42:H43" si="5">(-1/(72/52))*LN(1-G42)</f>
        <v>0.51519714124483562</v>
      </c>
    </row>
    <row r="43" spans="1:8" x14ac:dyDescent="0.2">
      <c r="A43" s="2" t="s">
        <v>20</v>
      </c>
      <c r="B43" s="2" t="s">
        <v>102</v>
      </c>
      <c r="C43" s="2">
        <f t="shared" si="3"/>
        <v>0.25116289175678652</v>
      </c>
      <c r="D43" s="25">
        <f t="shared" si="4"/>
        <v>0.25116289175678652</v>
      </c>
      <c r="E43" s="63">
        <f ca="1">1-EXP(-1*(-1/(72/52))*LN(1-BETAINV(RAND(),'Fitting distribution'!F31,'Fitting distribution'!G31))*1)</f>
        <v>0.29879653384538507</v>
      </c>
      <c r="F43" s="2" t="s">
        <v>85</v>
      </c>
      <c r="G43" s="24">
        <v>0.33</v>
      </c>
      <c r="H43" s="2">
        <f t="shared" si="5"/>
        <v>0.28923379809792388</v>
      </c>
    </row>
    <row r="45" spans="1:8" x14ac:dyDescent="0.2">
      <c r="A45" s="1" t="s">
        <v>31</v>
      </c>
      <c r="B45" s="3"/>
    </row>
    <row r="47" spans="1:8" x14ac:dyDescent="0.2">
      <c r="A47" s="1" t="s">
        <v>1</v>
      </c>
      <c r="B47" s="1" t="s">
        <v>188</v>
      </c>
      <c r="C47" s="1" t="s">
        <v>187</v>
      </c>
      <c r="D47" s="1" t="s">
        <v>212</v>
      </c>
      <c r="E47" s="1" t="s">
        <v>29</v>
      </c>
    </row>
    <row r="48" spans="1:8" x14ac:dyDescent="0.2">
      <c r="A48" s="2" t="s">
        <v>67</v>
      </c>
      <c r="B48" s="2">
        <f>IF($D$3=0,C48,D48)</f>
        <v>0.77</v>
      </c>
      <c r="C48" s="16">
        <v>0.77</v>
      </c>
      <c r="D48" s="70">
        <f ca="1">BETAINV(RAND(),'Fitting distribution'!C38,'Fitting distribution'!D38)</f>
        <v>0.75559929703780004</v>
      </c>
      <c r="E48" s="2" t="s">
        <v>30</v>
      </c>
      <c r="F48" s="2" t="s">
        <v>86</v>
      </c>
    </row>
    <row r="49" spans="1:7" x14ac:dyDescent="0.2">
      <c r="A49" s="2" t="s">
        <v>68</v>
      </c>
      <c r="B49" s="2">
        <f t="shared" ref="B49:B57" si="6">IF($D$3=0,C49,D49)</f>
        <v>0.66</v>
      </c>
      <c r="C49" s="16">
        <v>0.66</v>
      </c>
      <c r="D49" s="70">
        <f ca="1">BETAINV(RAND(),'Fitting distribution'!C39,'Fitting distribution'!D39)</f>
        <v>0.61321784680176017</v>
      </c>
      <c r="E49" s="2" t="s">
        <v>30</v>
      </c>
      <c r="F49" s="2" t="s">
        <v>87</v>
      </c>
    </row>
    <row r="50" spans="1:7" x14ac:dyDescent="0.2">
      <c r="A50" s="2" t="s">
        <v>69</v>
      </c>
      <c r="B50" s="2">
        <f t="shared" si="6"/>
        <v>0.55000000000000004</v>
      </c>
      <c r="C50" s="16">
        <v>0.55000000000000004</v>
      </c>
      <c r="D50" s="70">
        <f ca="1">BETAINV(RAND(),'Fitting distribution'!C40,'Fitting distribution'!D40)</f>
        <v>0.61721309345628117</v>
      </c>
      <c r="E50" s="2" t="s">
        <v>30</v>
      </c>
      <c r="F50" s="2" t="s">
        <v>88</v>
      </c>
    </row>
    <row r="51" spans="1:7" x14ac:dyDescent="0.2">
      <c r="A51" s="2" t="s">
        <v>70</v>
      </c>
      <c r="B51" s="2">
        <f t="shared" si="6"/>
        <v>0.45</v>
      </c>
      <c r="C51" s="16">
        <v>0.45</v>
      </c>
      <c r="D51" s="70">
        <f ca="1">BETAINV(RAND(),'Fitting distribution'!C41,'Fitting distribution'!D41)</f>
        <v>0.46778281622789508</v>
      </c>
      <c r="E51" s="2" t="s">
        <v>30</v>
      </c>
      <c r="F51" s="2" t="s">
        <v>89</v>
      </c>
    </row>
    <row r="52" spans="1:7" x14ac:dyDescent="0.2">
      <c r="A52" s="2" t="s">
        <v>71</v>
      </c>
      <c r="B52" s="2">
        <f t="shared" si="6"/>
        <v>0.45</v>
      </c>
      <c r="C52" s="16">
        <v>0.45</v>
      </c>
      <c r="D52" s="70">
        <f ca="1">BETAINV(RAND(),'Fitting distribution'!C42,'Fitting distribution'!D42)</f>
        <v>0.43324975427756385</v>
      </c>
      <c r="E52" s="2" t="s">
        <v>30</v>
      </c>
      <c r="F52" s="2" t="s">
        <v>90</v>
      </c>
    </row>
    <row r="53" spans="1:7" x14ac:dyDescent="0.2">
      <c r="A53" s="2" t="s">
        <v>72</v>
      </c>
      <c r="B53" s="2">
        <f t="shared" si="6"/>
        <v>0.45</v>
      </c>
      <c r="C53" s="16">
        <v>0.45</v>
      </c>
      <c r="D53" s="70">
        <f ca="1">BETAINV(RAND(),'Fitting distribution'!C43,'Fitting distribution'!D43)</f>
        <v>0.44070513005463097</v>
      </c>
      <c r="E53" s="2" t="s">
        <v>30</v>
      </c>
      <c r="F53" s="2" t="s">
        <v>91</v>
      </c>
    </row>
    <row r="54" spans="1:7" x14ac:dyDescent="0.2">
      <c r="A54" s="2" t="s">
        <v>73</v>
      </c>
      <c r="B54" s="2">
        <f t="shared" si="6"/>
        <v>0.67</v>
      </c>
      <c r="C54" s="16">
        <v>0.67</v>
      </c>
      <c r="D54" s="70">
        <f ca="1">BETAINV(RAND(),'Fitting distribution'!C44,'Fitting distribution'!D44)</f>
        <v>0.6780552809685696</v>
      </c>
      <c r="E54" s="2" t="s">
        <v>81</v>
      </c>
      <c r="F54" s="2" t="s">
        <v>92</v>
      </c>
    </row>
    <row r="55" spans="1:7" x14ac:dyDescent="0.2">
      <c r="A55" s="2" t="s">
        <v>78</v>
      </c>
      <c r="B55" s="2">
        <f t="shared" si="6"/>
        <v>0.82</v>
      </c>
      <c r="C55" s="16">
        <v>0.82</v>
      </c>
      <c r="D55" s="70">
        <f ca="1">BETAINV(RAND(),'Fitting distribution'!C45,'Fitting distribution'!D45)</f>
        <v>0.7582280197016924</v>
      </c>
      <c r="E55" s="2" t="s">
        <v>81</v>
      </c>
      <c r="F55" s="2" t="s">
        <v>93</v>
      </c>
    </row>
    <row r="56" spans="1:7" x14ac:dyDescent="0.2">
      <c r="A56" s="2" t="s">
        <v>79</v>
      </c>
      <c r="B56" s="2">
        <f t="shared" si="6"/>
        <v>0.72</v>
      </c>
      <c r="C56" s="16">
        <v>0.72</v>
      </c>
      <c r="D56" s="70">
        <f ca="1">BETAINV(RAND(),'Fitting distribution'!C46,'Fitting distribution'!D46)</f>
        <v>0.69906345633570321</v>
      </c>
      <c r="E56" s="2" t="s">
        <v>81</v>
      </c>
      <c r="F56" s="2" t="s">
        <v>94</v>
      </c>
    </row>
    <row r="57" spans="1:7" x14ac:dyDescent="0.2">
      <c r="A57" s="2" t="s">
        <v>80</v>
      </c>
      <c r="B57" s="2">
        <f t="shared" si="6"/>
        <v>0.61</v>
      </c>
      <c r="C57" s="16">
        <v>0.61</v>
      </c>
      <c r="D57" s="70">
        <f ca="1">BETAINV(RAND(),'Fitting distribution'!C47,'Fitting distribution'!D47)</f>
        <v>0.65892405738765869</v>
      </c>
      <c r="E57" s="2" t="s">
        <v>81</v>
      </c>
      <c r="F57" s="2" t="s">
        <v>95</v>
      </c>
    </row>
    <row r="58" spans="1:7" x14ac:dyDescent="0.2">
      <c r="A58" s="2"/>
      <c r="B58" s="2"/>
      <c r="C58" s="2"/>
    </row>
    <row r="59" spans="1:7" x14ac:dyDescent="0.2">
      <c r="A59" s="26" t="s">
        <v>111</v>
      </c>
    </row>
    <row r="61" spans="1:7" x14ac:dyDescent="0.2">
      <c r="A61" s="26" t="s">
        <v>124</v>
      </c>
      <c r="B61" s="2"/>
      <c r="C61" s="2"/>
      <c r="D61" s="2"/>
      <c r="E61" s="2"/>
      <c r="F61" s="2"/>
      <c r="G61" s="2"/>
    </row>
    <row r="62" spans="1:7" x14ac:dyDescent="0.2">
      <c r="A62" s="2"/>
      <c r="B62" s="2"/>
      <c r="C62" s="2"/>
      <c r="D62" s="2"/>
      <c r="E62" s="2"/>
      <c r="F62" s="2"/>
      <c r="G62" s="2"/>
    </row>
    <row r="63" spans="1:7" x14ac:dyDescent="0.2">
      <c r="A63" s="37" t="s">
        <v>125</v>
      </c>
      <c r="B63" s="3" t="s">
        <v>122</v>
      </c>
      <c r="C63" s="3" t="s">
        <v>132</v>
      </c>
      <c r="D63" s="3" t="s">
        <v>82</v>
      </c>
      <c r="E63" s="2"/>
      <c r="F63" s="3" t="s">
        <v>138</v>
      </c>
      <c r="G63" s="2"/>
    </row>
    <row r="64" spans="1:7" x14ac:dyDescent="0.2">
      <c r="A64" s="2" t="s">
        <v>131</v>
      </c>
      <c r="B64" s="34">
        <f>C64*F64</f>
        <v>38026.455780000004</v>
      </c>
      <c r="C64" s="33">
        <v>34982.94</v>
      </c>
      <c r="D64" s="2" t="s">
        <v>137</v>
      </c>
      <c r="E64" s="2"/>
      <c r="F64" s="2">
        <f>108.7/100</f>
        <v>1.087</v>
      </c>
      <c r="G64" s="2"/>
    </row>
    <row r="66" spans="1:9" x14ac:dyDescent="0.2">
      <c r="A66" s="2" t="s">
        <v>133</v>
      </c>
      <c r="B66" s="2"/>
      <c r="C66" s="3" t="s">
        <v>139</v>
      </c>
      <c r="D66" s="2" t="s">
        <v>135</v>
      </c>
      <c r="E66" s="2"/>
      <c r="F66" s="2" t="s">
        <v>134</v>
      </c>
      <c r="G66" s="35" t="s">
        <v>136</v>
      </c>
    </row>
    <row r="67" spans="1:9" x14ac:dyDescent="0.2">
      <c r="A67" s="2"/>
      <c r="B67" s="34">
        <f>C67*F71</f>
        <v>1609.1705825864281</v>
      </c>
      <c r="C67" s="34">
        <f>462.47/168*5*7*12</f>
        <v>1156.1750000000002</v>
      </c>
      <c r="D67" s="2" t="s">
        <v>119</v>
      </c>
      <c r="E67" s="2"/>
      <c r="F67" s="2"/>
      <c r="G67" s="2"/>
    </row>
    <row r="68" spans="1:9" x14ac:dyDescent="0.2">
      <c r="A68" s="9" t="s">
        <v>140</v>
      </c>
      <c r="B68" s="36">
        <f>B64+B67</f>
        <v>39635.62636258643</v>
      </c>
      <c r="C68" s="2"/>
      <c r="D68" s="2"/>
      <c r="E68" s="2"/>
      <c r="F68" s="2"/>
      <c r="G68" s="2"/>
    </row>
    <row r="69" spans="1:9" x14ac:dyDescent="0.2">
      <c r="A69" s="2"/>
      <c r="B69" s="2"/>
      <c r="C69" s="2"/>
      <c r="D69" s="2"/>
      <c r="E69" s="2"/>
      <c r="F69" s="2"/>
      <c r="G69" s="2"/>
    </row>
    <row r="70" spans="1:9" x14ac:dyDescent="0.2">
      <c r="A70" s="37" t="s">
        <v>126</v>
      </c>
      <c r="B70" s="3" t="s">
        <v>122</v>
      </c>
      <c r="C70" s="3" t="s">
        <v>128</v>
      </c>
      <c r="D70" s="3" t="s">
        <v>82</v>
      </c>
      <c r="E70" s="2"/>
      <c r="F70" s="3" t="s">
        <v>129</v>
      </c>
      <c r="G70" s="3" t="s">
        <v>7</v>
      </c>
    </row>
    <row r="71" spans="1:9" x14ac:dyDescent="0.2">
      <c r="A71" s="9" t="s">
        <v>141</v>
      </c>
      <c r="B71" s="36">
        <f>C71*F$71</f>
        <v>16542.998719590269</v>
      </c>
      <c r="C71" s="34">
        <v>11886</v>
      </c>
      <c r="D71" s="2" t="s">
        <v>120</v>
      </c>
      <c r="E71" s="2"/>
      <c r="F71" s="2">
        <f>108.7/78.1</f>
        <v>1.3918053777208708</v>
      </c>
      <c r="G71" s="2" t="s">
        <v>127</v>
      </c>
    </row>
    <row r="72" spans="1:9" x14ac:dyDescent="0.2">
      <c r="A72" s="2"/>
      <c r="B72" s="2"/>
      <c r="C72" s="2"/>
      <c r="D72" s="2"/>
      <c r="E72" s="2"/>
      <c r="F72" s="2"/>
      <c r="G72" s="2"/>
    </row>
    <row r="73" spans="1:9" x14ac:dyDescent="0.2">
      <c r="A73" s="4"/>
    </row>
    <row r="75" spans="1:9" x14ac:dyDescent="0.2">
      <c r="A75" s="1" t="s">
        <v>112</v>
      </c>
      <c r="C75" t="s">
        <v>123</v>
      </c>
    </row>
    <row r="76" spans="1:9" x14ac:dyDescent="0.2">
      <c r="A76" s="3" t="s">
        <v>118</v>
      </c>
      <c r="B76" s="3" t="s">
        <v>1</v>
      </c>
      <c r="C76" s="3" t="s">
        <v>189</v>
      </c>
      <c r="D76" s="3" t="s">
        <v>190</v>
      </c>
      <c r="E76" s="3" t="s">
        <v>191</v>
      </c>
      <c r="F76" s="3" t="s">
        <v>177</v>
      </c>
      <c r="G76" s="3" t="s">
        <v>29</v>
      </c>
      <c r="I76" s="3" t="s">
        <v>178</v>
      </c>
    </row>
    <row r="77" spans="1:9" x14ac:dyDescent="0.2">
      <c r="A77" s="2" t="s">
        <v>9</v>
      </c>
      <c r="B77" s="9" t="s">
        <v>113</v>
      </c>
      <c r="C77" s="70">
        <f>IF($D$3=0,D77,E77)</f>
        <v>201.35205011234899</v>
      </c>
      <c r="D77" s="36">
        <f t="shared" ref="D77:D85" si="7">F77*I$77</f>
        <v>201.35205011234899</v>
      </c>
      <c r="E77" s="70">
        <f ca="1">I$77*GAMMAINV(RAND(),'Fitting distribution'!C51,'Fitting distribution'!D51)</f>
        <v>217.774201908317</v>
      </c>
      <c r="F77" s="33">
        <v>138.00117510000001</v>
      </c>
      <c r="G77" s="2" t="s">
        <v>120</v>
      </c>
      <c r="I77" s="2">
        <f>108.7/74.5</f>
        <v>1.4590604026845637</v>
      </c>
    </row>
    <row r="78" spans="1:9" x14ac:dyDescent="0.2">
      <c r="A78" s="2" t="s">
        <v>10</v>
      </c>
      <c r="B78" s="9" t="s">
        <v>114</v>
      </c>
      <c r="C78" s="70">
        <f t="shared" ref="C78:C85" si="8">IF($D$3=0,D78,E78)</f>
        <v>1046.1463087248321</v>
      </c>
      <c r="D78" s="36">
        <f t="shared" si="7"/>
        <v>1046.1463087248321</v>
      </c>
      <c r="E78" s="70">
        <f ca="1">I$77*GAMMAINV(RAND(),'Fitting distribution'!C52,'Fitting distribution'!D52)</f>
        <v>1070.0616384071113</v>
      </c>
      <c r="F78" s="33">
        <v>717</v>
      </c>
      <c r="G78" s="2" t="s">
        <v>120</v>
      </c>
    </row>
    <row r="79" spans="1:9" x14ac:dyDescent="0.2">
      <c r="A79" s="2" t="s">
        <v>11</v>
      </c>
      <c r="B79" s="9" t="s">
        <v>142</v>
      </c>
      <c r="C79" s="70">
        <f t="shared" si="8"/>
        <v>1660.4107382550335</v>
      </c>
      <c r="D79" s="36">
        <f t="shared" si="7"/>
        <v>1660.4107382550335</v>
      </c>
      <c r="E79" s="70">
        <f ca="1">I$77*GAMMAINV(RAND(),'Fitting distribution'!C53,'Fitting distribution'!D53)</f>
        <v>1128.8595562306639</v>
      </c>
      <c r="F79" s="33">
        <v>1138</v>
      </c>
      <c r="G79" s="2" t="s">
        <v>120</v>
      </c>
    </row>
    <row r="80" spans="1:9" x14ac:dyDescent="0.2">
      <c r="A80" s="2" t="s">
        <v>12</v>
      </c>
      <c r="B80" s="9" t="s">
        <v>143</v>
      </c>
      <c r="C80" s="70">
        <f t="shared" si="8"/>
        <v>13306.630872483222</v>
      </c>
      <c r="D80" s="36">
        <f t="shared" si="7"/>
        <v>13306.630872483222</v>
      </c>
      <c r="E80" s="70">
        <f ca="1">I$77*GAMMAINV(RAND(),'Fitting distribution'!C54,'Fitting distribution'!D54)</f>
        <v>13222.416821281344</v>
      </c>
      <c r="F80" s="33">
        <v>9120</v>
      </c>
      <c r="G80" s="2" t="s">
        <v>120</v>
      </c>
    </row>
    <row r="81" spans="1:14" x14ac:dyDescent="0.2">
      <c r="A81" s="2" t="s">
        <v>14</v>
      </c>
      <c r="B81" s="9" t="s">
        <v>115</v>
      </c>
      <c r="C81" s="70">
        <f t="shared" si="8"/>
        <v>11857.78389261745</v>
      </c>
      <c r="D81" s="36">
        <f t="shared" si="7"/>
        <v>11857.78389261745</v>
      </c>
      <c r="E81" s="70">
        <f ca="1">I$77*GAMMAINV(RAND(),'Fitting distribution'!C55,'Fitting distribution'!D55)</f>
        <v>7262.4441238355439</v>
      </c>
      <c r="F81" s="33">
        <v>8127</v>
      </c>
      <c r="G81" s="2" t="s">
        <v>120</v>
      </c>
    </row>
    <row r="82" spans="1:14" x14ac:dyDescent="0.2">
      <c r="A82" s="2" t="s">
        <v>25</v>
      </c>
      <c r="B82" s="9" t="s">
        <v>116</v>
      </c>
      <c r="C82" s="70">
        <f t="shared" si="8"/>
        <v>39876.12080536913</v>
      </c>
      <c r="D82" s="36">
        <f t="shared" si="7"/>
        <v>39876.12080536913</v>
      </c>
      <c r="E82" s="70">
        <f ca="1">I$77*GAMMAINV(RAND(),'Fitting distribution'!C56,'Fitting distribution'!D56)</f>
        <v>43853.133729950285</v>
      </c>
      <c r="F82" s="33">
        <v>27330</v>
      </c>
      <c r="G82" s="2" t="s">
        <v>120</v>
      </c>
    </row>
    <row r="83" spans="1:14" x14ac:dyDescent="0.2">
      <c r="A83" s="2" t="s">
        <v>179</v>
      </c>
      <c r="B83" s="9" t="s">
        <v>180</v>
      </c>
      <c r="C83" s="70">
        <f t="shared" si="8"/>
        <v>13799.793288590603</v>
      </c>
      <c r="D83" s="36">
        <f t="shared" si="7"/>
        <v>13799.793288590603</v>
      </c>
      <c r="E83" s="70">
        <f ca="1">I$77*GAMMAINV(RAND(),'Fitting distribution'!C57,'Fitting distribution'!D57)</f>
        <v>16812.619357905431</v>
      </c>
      <c r="F83" s="33">
        <v>9458</v>
      </c>
      <c r="G83" s="2" t="s">
        <v>120</v>
      </c>
    </row>
    <row r="84" spans="1:14" x14ac:dyDescent="0.2">
      <c r="A84" s="2" t="s">
        <v>27</v>
      </c>
      <c r="B84" s="9" t="s">
        <v>117</v>
      </c>
      <c r="C84" s="70">
        <f t="shared" si="8"/>
        <v>2020.7986577181207</v>
      </c>
      <c r="D84" s="36">
        <f t="shared" si="7"/>
        <v>2020.7986577181207</v>
      </c>
      <c r="E84" s="70">
        <f ca="1">I$77*GAMMAINV(RAND(),'Fitting distribution'!C58,'Fitting distribution'!D58)</f>
        <v>1836.1598314700398</v>
      </c>
      <c r="F84" s="33">
        <v>1385</v>
      </c>
      <c r="G84" s="2" t="s">
        <v>120</v>
      </c>
    </row>
    <row r="85" spans="1:14" x14ac:dyDescent="0.2">
      <c r="A85" s="2" t="s">
        <v>130</v>
      </c>
      <c r="B85" s="9" t="s">
        <v>144</v>
      </c>
      <c r="C85" s="70">
        <f t="shared" si="8"/>
        <v>377.896644295302</v>
      </c>
      <c r="D85" s="36">
        <f t="shared" si="7"/>
        <v>377.896644295302</v>
      </c>
      <c r="E85" s="70">
        <f ca="1">I$77*GAMMAINV(RAND(),'Fitting distribution'!C59,'Fitting distribution'!D59)</f>
        <v>249.28490522998109</v>
      </c>
      <c r="F85" s="33">
        <v>259</v>
      </c>
      <c r="G85" s="2" t="s">
        <v>120</v>
      </c>
    </row>
    <row r="87" spans="1:14" x14ac:dyDescent="0.2">
      <c r="N87">
        <v>1</v>
      </c>
    </row>
  </sheetData>
  <phoneticPr fontId="1" type="noConversion"/>
  <hyperlinks>
    <hyperlink ref="H19" r:id="rId1" xr:uid="{E5F54066-69E6-FE4F-8B88-B4B872A98D83}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6D79-6C40-4E47-8BA5-ADB502C55A4D}">
  <sheetPr codeName="Worksheet___3"/>
  <dimension ref="A1:L62"/>
  <sheetViews>
    <sheetView zoomScale="116" workbookViewId="0">
      <selection activeCell="F6" sqref="F6"/>
    </sheetView>
  </sheetViews>
  <sheetFormatPr baseColWidth="10" defaultRowHeight="16" x14ac:dyDescent="0.2"/>
  <sheetData>
    <row r="1" spans="1:12" ht="33" x14ac:dyDescent="0.2">
      <c r="A1" s="15" t="s">
        <v>50</v>
      </c>
      <c r="B1" s="15"/>
      <c r="C1" s="4"/>
    </row>
    <row r="2" spans="1:12" x14ac:dyDescent="0.2">
      <c r="A2" s="5" t="s">
        <v>49</v>
      </c>
      <c r="B2" s="5"/>
      <c r="C2" s="5"/>
      <c r="D2" s="7"/>
      <c r="E2" s="7"/>
      <c r="F2" s="7"/>
      <c r="G2" s="7"/>
      <c r="H2" s="7"/>
      <c r="I2" s="7"/>
      <c r="J2" s="7"/>
      <c r="K2" s="7"/>
      <c r="L2" s="7"/>
    </row>
    <row r="4" spans="1:12" x14ac:dyDescent="0.2">
      <c r="A4" s="4" t="s">
        <v>46</v>
      </c>
      <c r="B4" s="4"/>
      <c r="C4" s="4"/>
      <c r="F4" t="s">
        <v>51</v>
      </c>
    </row>
    <row r="5" spans="1:12" x14ac:dyDescent="0.2">
      <c r="A5" s="4"/>
      <c r="B5" s="4"/>
      <c r="C5" s="4"/>
    </row>
    <row r="6" spans="1:12" x14ac:dyDescent="0.2">
      <c r="A6" s="4" t="s">
        <v>43</v>
      </c>
      <c r="B6" s="4" t="s">
        <v>44</v>
      </c>
      <c r="C6" s="4" t="s">
        <v>45</v>
      </c>
    </row>
    <row r="7" spans="1:12" x14ac:dyDescent="0.2">
      <c r="A7" s="13">
        <v>45</v>
      </c>
      <c r="B7" s="14">
        <v>2.3470000000000001E-3</v>
      </c>
      <c r="C7" s="14">
        <v>1.4250000000000001E-3</v>
      </c>
      <c r="D7" s="12"/>
    </row>
    <row r="8" spans="1:12" x14ac:dyDescent="0.2">
      <c r="A8" s="13">
        <v>46</v>
      </c>
      <c r="B8" s="14">
        <v>2.4880000000000002E-3</v>
      </c>
      <c r="C8" s="14">
        <v>1.5640000000000001E-3</v>
      </c>
      <c r="D8" s="12"/>
    </row>
    <row r="9" spans="1:12" x14ac:dyDescent="0.2">
      <c r="A9" s="13">
        <v>47</v>
      </c>
      <c r="B9" s="14">
        <v>2.696E-3</v>
      </c>
      <c r="C9" s="14">
        <v>1.6949999999999999E-3</v>
      </c>
      <c r="D9" s="12"/>
    </row>
    <row r="10" spans="1:12" x14ac:dyDescent="0.2">
      <c r="A10" s="13">
        <v>48</v>
      </c>
      <c r="B10" s="14">
        <v>2.8519999999999999E-3</v>
      </c>
      <c r="C10" s="14">
        <v>1.8400000000000001E-3</v>
      </c>
      <c r="D10" s="12"/>
    </row>
    <row r="11" spans="1:12" x14ac:dyDescent="0.2">
      <c r="A11" s="13">
        <v>49</v>
      </c>
      <c r="B11" s="14">
        <v>3.189E-3</v>
      </c>
      <c r="C11" s="14">
        <v>1.9430000000000001E-3</v>
      </c>
      <c r="D11" s="12"/>
    </row>
    <row r="12" spans="1:12" x14ac:dyDescent="0.2">
      <c r="A12" s="13">
        <v>50</v>
      </c>
      <c r="B12" s="14">
        <v>3.3790000000000001E-3</v>
      </c>
      <c r="C12" s="14">
        <v>2.1689999999999999E-3</v>
      </c>
      <c r="D12" s="12"/>
    </row>
    <row r="13" spans="1:12" x14ac:dyDescent="0.2">
      <c r="A13" s="13">
        <v>51</v>
      </c>
      <c r="B13" s="14">
        <v>3.6059999999999998E-3</v>
      </c>
      <c r="C13" s="14">
        <v>2.3579999999999999E-3</v>
      </c>
      <c r="D13" s="12"/>
    </row>
    <row r="14" spans="1:12" x14ac:dyDescent="0.2">
      <c r="A14" s="13">
        <v>52</v>
      </c>
      <c r="B14" s="14">
        <v>3.9069999999999999E-3</v>
      </c>
      <c r="C14" s="14">
        <v>2.5569999999999998E-3</v>
      </c>
      <c r="D14" s="12"/>
    </row>
    <row r="15" spans="1:12" x14ac:dyDescent="0.2">
      <c r="A15" s="13">
        <v>53</v>
      </c>
      <c r="B15" s="14">
        <v>4.1250000000000002E-3</v>
      </c>
      <c r="C15" s="14">
        <v>2.6970000000000002E-3</v>
      </c>
      <c r="D15" s="12"/>
    </row>
    <row r="16" spans="1:12" x14ac:dyDescent="0.2">
      <c r="A16" s="13">
        <v>54</v>
      </c>
      <c r="B16" s="14">
        <v>4.4780000000000002E-3</v>
      </c>
      <c r="C16" s="14">
        <v>2.9139999999999999E-3</v>
      </c>
      <c r="D16" s="12"/>
    </row>
    <row r="17" spans="1:4" x14ac:dyDescent="0.2">
      <c r="A17" s="13">
        <v>55</v>
      </c>
      <c r="B17" s="14">
        <v>4.7600000000000003E-3</v>
      </c>
      <c r="C17" s="14">
        <v>3.1939999999999998E-3</v>
      </c>
      <c r="D17" s="12"/>
    </row>
    <row r="18" spans="1:4" x14ac:dyDescent="0.2">
      <c r="A18" s="13">
        <v>56</v>
      </c>
      <c r="B18" s="14">
        <v>5.3889999999999997E-3</v>
      </c>
      <c r="C18" s="14">
        <v>3.542E-3</v>
      </c>
      <c r="D18" s="12"/>
    </row>
    <row r="19" spans="1:4" x14ac:dyDescent="0.2">
      <c r="A19" s="13">
        <v>57</v>
      </c>
      <c r="B19" s="14">
        <v>5.8560000000000001E-3</v>
      </c>
      <c r="C19" s="14">
        <v>3.8159999999999999E-3</v>
      </c>
      <c r="D19" s="12"/>
    </row>
    <row r="20" spans="1:4" x14ac:dyDescent="0.2">
      <c r="A20" s="13">
        <v>58</v>
      </c>
      <c r="B20" s="14">
        <v>6.3940000000000004E-3</v>
      </c>
      <c r="C20" s="14">
        <v>4.2300000000000003E-3</v>
      </c>
      <c r="D20" s="12"/>
    </row>
    <row r="21" spans="1:4" x14ac:dyDescent="0.2">
      <c r="A21" s="13">
        <v>59</v>
      </c>
      <c r="B21" s="14">
        <v>6.9300000000000004E-3</v>
      </c>
      <c r="C21" s="14">
        <v>4.6160000000000003E-3</v>
      </c>
      <c r="D21" s="12"/>
    </row>
    <row r="22" spans="1:4" x14ac:dyDescent="0.2">
      <c r="A22" s="13">
        <v>60</v>
      </c>
      <c r="B22" s="14">
        <v>7.5950000000000002E-3</v>
      </c>
      <c r="C22" s="14">
        <v>5.0540000000000003E-3</v>
      </c>
      <c r="D22" s="12"/>
    </row>
    <row r="23" spans="1:4" x14ac:dyDescent="0.2">
      <c r="A23" s="13">
        <v>61</v>
      </c>
      <c r="B23" s="14">
        <v>8.3129999999999992E-3</v>
      </c>
      <c r="C23" s="14">
        <v>5.4920000000000004E-3</v>
      </c>
      <c r="D23" s="12"/>
    </row>
    <row r="24" spans="1:4" x14ac:dyDescent="0.2">
      <c r="A24" s="13">
        <v>62</v>
      </c>
      <c r="B24" s="14">
        <v>9.2230000000000003E-3</v>
      </c>
      <c r="C24" s="14">
        <v>6.2639999999999996E-3</v>
      </c>
      <c r="D24" s="12"/>
    </row>
    <row r="25" spans="1:4" x14ac:dyDescent="0.2">
      <c r="A25" s="13">
        <v>63</v>
      </c>
      <c r="B25" s="14">
        <v>1.0178E-2</v>
      </c>
      <c r="C25" s="14">
        <v>6.7140000000000003E-3</v>
      </c>
      <c r="D25" s="12"/>
    </row>
    <row r="26" spans="1:4" x14ac:dyDescent="0.2">
      <c r="A26" s="13">
        <v>64</v>
      </c>
      <c r="B26" s="14">
        <v>1.0947E-2</v>
      </c>
      <c r="C26" s="14">
        <v>7.2639999999999996E-3</v>
      </c>
      <c r="D26" s="12"/>
    </row>
    <row r="27" spans="1:4" x14ac:dyDescent="0.2">
      <c r="A27" s="13">
        <v>65</v>
      </c>
      <c r="B27" s="14">
        <v>1.2024999999999999E-2</v>
      </c>
      <c r="C27" s="14">
        <v>7.9880000000000003E-3</v>
      </c>
      <c r="D27" s="12"/>
    </row>
    <row r="28" spans="1:4" x14ac:dyDescent="0.2">
      <c r="A28" s="13">
        <v>66</v>
      </c>
      <c r="B28" s="14">
        <v>1.333E-2</v>
      </c>
      <c r="C28" s="14">
        <v>8.5730000000000008E-3</v>
      </c>
      <c r="D28" s="12"/>
    </row>
    <row r="29" spans="1:4" x14ac:dyDescent="0.2">
      <c r="A29" s="13">
        <v>67</v>
      </c>
      <c r="B29" s="14">
        <v>1.4437E-2</v>
      </c>
      <c r="C29" s="14">
        <v>9.3799999999999994E-3</v>
      </c>
      <c r="D29" s="12"/>
    </row>
    <row r="30" spans="1:4" x14ac:dyDescent="0.2">
      <c r="A30" s="13">
        <v>68</v>
      </c>
      <c r="B30" s="14">
        <v>1.5740000000000001E-2</v>
      </c>
      <c r="C30" s="14">
        <v>1.0330000000000001E-2</v>
      </c>
      <c r="D30" s="12"/>
    </row>
    <row r="31" spans="1:4" x14ac:dyDescent="0.2">
      <c r="A31" s="13">
        <v>69</v>
      </c>
      <c r="B31" s="14">
        <v>1.7288999999999999E-2</v>
      </c>
      <c r="C31" s="14">
        <v>1.1296E-2</v>
      </c>
      <c r="D31" s="12"/>
    </row>
    <row r="32" spans="1:4" x14ac:dyDescent="0.2">
      <c r="A32" s="13">
        <v>70</v>
      </c>
      <c r="B32" s="14">
        <v>1.8286E-2</v>
      </c>
      <c r="C32" s="14">
        <v>1.2437E-2</v>
      </c>
      <c r="D32" s="12"/>
    </row>
    <row r="33" spans="1:4" x14ac:dyDescent="0.2">
      <c r="A33" s="13">
        <v>71</v>
      </c>
      <c r="B33" s="14">
        <v>2.0275999999999999E-2</v>
      </c>
      <c r="C33" s="14">
        <v>1.3337E-2</v>
      </c>
      <c r="D33" s="12"/>
    </row>
    <row r="34" spans="1:4" x14ac:dyDescent="0.2">
      <c r="A34" s="13">
        <v>72</v>
      </c>
      <c r="B34" s="14">
        <v>2.2325999999999999E-2</v>
      </c>
      <c r="C34" s="14">
        <v>1.5240999999999999E-2</v>
      </c>
      <c r="D34" s="12"/>
    </row>
    <row r="35" spans="1:4" x14ac:dyDescent="0.2">
      <c r="A35" s="13">
        <v>73</v>
      </c>
      <c r="B35" s="14">
        <v>2.5499999999999998E-2</v>
      </c>
      <c r="C35" s="14">
        <v>1.7347000000000001E-2</v>
      </c>
      <c r="D35" s="12"/>
    </row>
    <row r="36" spans="1:4" x14ac:dyDescent="0.2">
      <c r="A36" s="13">
        <v>74</v>
      </c>
      <c r="B36" s="14">
        <v>2.8122999999999999E-2</v>
      </c>
      <c r="C36" s="14">
        <v>1.9167E-2</v>
      </c>
      <c r="D36" s="12"/>
    </row>
    <row r="37" spans="1:4" x14ac:dyDescent="0.2">
      <c r="A37" s="13">
        <v>75</v>
      </c>
      <c r="B37" s="14">
        <v>3.1401999999999999E-2</v>
      </c>
      <c r="C37" s="14">
        <v>2.1437000000000001E-2</v>
      </c>
      <c r="D37" s="12"/>
    </row>
    <row r="38" spans="1:4" x14ac:dyDescent="0.2">
      <c r="A38" s="13">
        <v>76</v>
      </c>
      <c r="B38" s="14">
        <v>3.5115E-2</v>
      </c>
      <c r="C38" s="14">
        <v>2.4216999999999999E-2</v>
      </c>
      <c r="D38" s="12"/>
    </row>
    <row r="39" spans="1:4" x14ac:dyDescent="0.2">
      <c r="A39" s="13">
        <v>77</v>
      </c>
      <c r="B39" s="14">
        <v>3.8837999999999998E-2</v>
      </c>
      <c r="C39" s="14">
        <v>2.7307999999999999E-2</v>
      </c>
      <c r="D39" s="12"/>
    </row>
    <row r="40" spans="1:4" x14ac:dyDescent="0.2">
      <c r="A40" s="13">
        <v>78</v>
      </c>
      <c r="B40" s="14">
        <v>4.3520999999999997E-2</v>
      </c>
      <c r="C40" s="14">
        <v>3.0960999999999999E-2</v>
      </c>
      <c r="D40" s="12"/>
    </row>
    <row r="41" spans="1:4" x14ac:dyDescent="0.2">
      <c r="A41" s="13">
        <v>79</v>
      </c>
      <c r="B41" s="14">
        <v>4.8099000000000003E-2</v>
      </c>
      <c r="C41" s="14">
        <v>3.4480999999999998E-2</v>
      </c>
      <c r="D41" s="12"/>
    </row>
    <row r="42" spans="1:4" x14ac:dyDescent="0.2">
      <c r="A42" s="13">
        <v>80</v>
      </c>
      <c r="B42" s="14">
        <v>5.3982000000000002E-2</v>
      </c>
      <c r="C42" s="14">
        <v>3.8462999999999997E-2</v>
      </c>
      <c r="D42" s="12"/>
    </row>
    <row r="43" spans="1:4" x14ac:dyDescent="0.2">
      <c r="A43" s="13">
        <v>81</v>
      </c>
      <c r="B43" s="14">
        <v>6.0070999999999999E-2</v>
      </c>
      <c r="C43" s="14">
        <v>4.3633999999999999E-2</v>
      </c>
      <c r="D43" s="12"/>
    </row>
    <row r="44" spans="1:4" x14ac:dyDescent="0.2">
      <c r="A44" s="13">
        <v>82</v>
      </c>
      <c r="B44" s="14">
        <v>6.6512000000000002E-2</v>
      </c>
      <c r="C44" s="14">
        <v>4.8958000000000002E-2</v>
      </c>
      <c r="D44" s="12"/>
    </row>
    <row r="45" spans="1:4" x14ac:dyDescent="0.2">
      <c r="A45" s="13">
        <v>83</v>
      </c>
      <c r="B45" s="14">
        <v>7.5396000000000005E-2</v>
      </c>
      <c r="C45" s="14">
        <v>5.6269E-2</v>
      </c>
      <c r="D45" s="12"/>
    </row>
    <row r="46" spans="1:4" x14ac:dyDescent="0.2">
      <c r="A46" s="13">
        <v>84</v>
      </c>
      <c r="B46" s="14">
        <v>8.4754999999999997E-2</v>
      </c>
      <c r="C46" s="14">
        <v>6.3935000000000006E-2</v>
      </c>
      <c r="D46" s="12"/>
    </row>
    <row r="47" spans="1:4" x14ac:dyDescent="0.2">
      <c r="A47" s="13">
        <v>85</v>
      </c>
      <c r="B47" s="14">
        <v>9.4663999999999998E-2</v>
      </c>
      <c r="C47" s="14">
        <v>7.2461999999999999E-2</v>
      </c>
      <c r="D47" s="12"/>
    </row>
    <row r="48" spans="1:4" x14ac:dyDescent="0.2">
      <c r="A48" s="13">
        <v>86</v>
      </c>
      <c r="B48" s="14">
        <v>0.106853</v>
      </c>
      <c r="C48" s="14">
        <v>8.3094000000000001E-2</v>
      </c>
      <c r="D48" s="12"/>
    </row>
    <row r="49" spans="1:4" x14ac:dyDescent="0.2">
      <c r="A49" s="13">
        <v>87</v>
      </c>
      <c r="B49" s="14">
        <v>0.118585</v>
      </c>
      <c r="C49" s="14">
        <v>9.3462000000000003E-2</v>
      </c>
      <c r="D49" s="12"/>
    </row>
    <row r="50" spans="1:4" x14ac:dyDescent="0.2">
      <c r="A50" s="13">
        <v>88</v>
      </c>
      <c r="B50" s="14">
        <v>0.13335900000000001</v>
      </c>
      <c r="C50" s="14">
        <v>0.106434</v>
      </c>
      <c r="D50" s="12"/>
    </row>
    <row r="51" spans="1:4" x14ac:dyDescent="0.2">
      <c r="A51" s="13">
        <v>89</v>
      </c>
      <c r="B51" s="14">
        <v>0.14985100000000001</v>
      </c>
      <c r="C51" s="14">
        <v>0.11894200000000001</v>
      </c>
      <c r="D51" s="12"/>
    </row>
    <row r="52" spans="1:4" x14ac:dyDescent="0.2">
      <c r="A52" s="13">
        <v>90</v>
      </c>
      <c r="B52" s="14">
        <v>0.15953000000000001</v>
      </c>
      <c r="C52" s="14">
        <v>0.13438700000000001</v>
      </c>
      <c r="D52" s="12"/>
    </row>
    <row r="53" spans="1:4" x14ac:dyDescent="0.2">
      <c r="A53" s="13">
        <v>91</v>
      </c>
      <c r="B53" s="14">
        <v>0.17905499999999999</v>
      </c>
      <c r="C53" s="14">
        <v>0.150755</v>
      </c>
      <c r="D53" s="12"/>
    </row>
    <row r="54" spans="1:4" x14ac:dyDescent="0.2">
      <c r="A54" s="13">
        <v>92</v>
      </c>
      <c r="B54" s="14">
        <v>0.19694999999999999</v>
      </c>
      <c r="C54" s="14">
        <v>0.16707900000000001</v>
      </c>
      <c r="D54" s="12"/>
    </row>
    <row r="55" spans="1:4" x14ac:dyDescent="0.2">
      <c r="A55" s="13">
        <v>93</v>
      </c>
      <c r="B55" s="14">
        <v>0.21504400000000001</v>
      </c>
      <c r="C55" s="14">
        <v>0.18434400000000001</v>
      </c>
      <c r="D55" s="12"/>
    </row>
    <row r="56" spans="1:4" x14ac:dyDescent="0.2">
      <c r="A56" s="13">
        <v>94</v>
      </c>
      <c r="B56" s="14">
        <v>0.23808599999999999</v>
      </c>
      <c r="C56" s="14">
        <v>0.20446700000000001</v>
      </c>
      <c r="D56" s="12"/>
    </row>
    <row r="57" spans="1:4" x14ac:dyDescent="0.2">
      <c r="A57" s="13">
        <v>95</v>
      </c>
      <c r="B57" s="14">
        <v>0.26101200000000002</v>
      </c>
      <c r="C57" s="14">
        <v>0.22821</v>
      </c>
      <c r="D57" s="12"/>
    </row>
    <row r="58" spans="1:4" x14ac:dyDescent="0.2">
      <c r="A58" s="13">
        <v>96</v>
      </c>
      <c r="B58" s="14">
        <v>0.28671400000000002</v>
      </c>
      <c r="C58" s="14">
        <v>0.25076500000000002</v>
      </c>
      <c r="D58" s="12"/>
    </row>
    <row r="59" spans="1:4" x14ac:dyDescent="0.2">
      <c r="A59" s="13">
        <v>97</v>
      </c>
      <c r="B59" s="14">
        <v>0.30411300000000002</v>
      </c>
      <c r="C59" s="14">
        <v>0.26705800000000002</v>
      </c>
      <c r="D59" s="12"/>
    </row>
    <row r="60" spans="1:4" x14ac:dyDescent="0.2">
      <c r="A60" s="13">
        <v>98</v>
      </c>
      <c r="B60" s="14">
        <v>0.32589200000000002</v>
      </c>
      <c r="C60" s="14">
        <v>0.29126000000000002</v>
      </c>
      <c r="D60" s="12"/>
    </row>
    <row r="61" spans="1:4" x14ac:dyDescent="0.2">
      <c r="A61" s="13">
        <v>99</v>
      </c>
      <c r="B61" s="14">
        <v>0.36953999999999998</v>
      </c>
      <c r="C61" s="14">
        <v>0.30952600000000002</v>
      </c>
      <c r="D61" s="12"/>
    </row>
    <row r="62" spans="1:4" x14ac:dyDescent="0.2">
      <c r="A62" s="13">
        <v>100</v>
      </c>
      <c r="B62" s="14">
        <v>0.38438600000000001</v>
      </c>
      <c r="C62" s="14">
        <v>0.34336299999999997</v>
      </c>
      <c r="D6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A57C7-E1FB-444B-A5F5-D1E06728718F}">
  <sheetPr codeName="Worksheet___4"/>
  <dimension ref="A1:W38"/>
  <sheetViews>
    <sheetView zoomScale="94" zoomScaleNormal="94" workbookViewId="0">
      <selection activeCell="I36" sqref="I36"/>
    </sheetView>
  </sheetViews>
  <sheetFormatPr baseColWidth="10" defaultRowHeight="16" x14ac:dyDescent="0.2"/>
  <cols>
    <col min="1" max="1" width="11" bestFit="1" customWidth="1"/>
    <col min="3" max="3" width="11" bestFit="1" customWidth="1"/>
    <col min="5" max="6" width="11" bestFit="1" customWidth="1"/>
    <col min="7" max="7" width="15.33203125" customWidth="1"/>
    <col min="8" max="8" width="19" customWidth="1"/>
    <col min="9" max="13" width="11" bestFit="1" customWidth="1"/>
    <col min="14" max="14" width="17.1640625" customWidth="1"/>
    <col min="15" max="17" width="11" bestFit="1" customWidth="1"/>
    <col min="18" max="18" width="17" customWidth="1"/>
    <col min="19" max="19" width="18.6640625" customWidth="1"/>
  </cols>
  <sheetData>
    <row r="1" spans="1:21" x14ac:dyDescent="0.2">
      <c r="A1" t="s">
        <v>53</v>
      </c>
    </row>
    <row r="3" spans="1:21" ht="18" x14ac:dyDescent="0.2">
      <c r="H3" s="29" t="s">
        <v>104</v>
      </c>
    </row>
    <row r="4" spans="1:21" x14ac:dyDescent="0.2">
      <c r="A4" s="39" t="s">
        <v>52</v>
      </c>
      <c r="B4" s="2"/>
      <c r="C4" s="4" t="s">
        <v>54</v>
      </c>
      <c r="D4" s="2"/>
      <c r="E4" s="22" t="s">
        <v>58</v>
      </c>
      <c r="F4" s="22" t="s">
        <v>59</v>
      </c>
      <c r="G4" s="22" t="s">
        <v>20</v>
      </c>
      <c r="H4" s="22" t="s">
        <v>60</v>
      </c>
      <c r="I4" s="22" t="s">
        <v>14</v>
      </c>
      <c r="J4" s="22" t="s">
        <v>13</v>
      </c>
      <c r="K4" s="22" t="s">
        <v>61</v>
      </c>
      <c r="L4" s="22" t="s">
        <v>76</v>
      </c>
      <c r="M4" s="22" t="s">
        <v>62</v>
      </c>
      <c r="N4" s="22" t="s">
        <v>63</v>
      </c>
      <c r="O4" s="22" t="s">
        <v>75</v>
      </c>
      <c r="P4" s="28" t="s">
        <v>74</v>
      </c>
      <c r="Q4" s="22" t="s">
        <v>64</v>
      </c>
      <c r="R4" s="22" t="s">
        <v>214</v>
      </c>
      <c r="S4" s="22" t="s">
        <v>215</v>
      </c>
      <c r="T4" s="4" t="s">
        <v>149</v>
      </c>
      <c r="U4" s="95" t="s">
        <v>216</v>
      </c>
    </row>
    <row r="5" spans="1:21" x14ac:dyDescent="0.2">
      <c r="A5" s="13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21" x14ac:dyDescent="0.2">
      <c r="A6" s="13">
        <v>0</v>
      </c>
      <c r="B6" s="2"/>
      <c r="C6" s="2"/>
      <c r="D6" s="2"/>
      <c r="E6" s="2">
        <v>322</v>
      </c>
      <c r="F6" s="2">
        <v>42</v>
      </c>
      <c r="G6" s="2">
        <v>33</v>
      </c>
      <c r="H6" s="2"/>
      <c r="I6" s="2"/>
      <c r="J6" s="2"/>
      <c r="K6" s="2"/>
      <c r="L6" s="2"/>
      <c r="M6" s="2"/>
      <c r="N6" s="2"/>
      <c r="O6" s="2"/>
      <c r="P6" s="2"/>
      <c r="Q6" s="16">
        <f>SUM(E6:P6)</f>
        <v>397</v>
      </c>
      <c r="R6" s="16">
        <f t="shared" ref="R6:R36" si="0">(E6*(cPR+cMild)+F6*(cPR+cModerate)+G6*(cPR+cCom)+H6*(cDecom)+I6*(cHCC)+J6*(cLT+cLTC)+K6*cPLT+cSVR*SUM(K6,O6,P6))/(1+cDR)^cycle</f>
        <v>6731137.5511423722</v>
      </c>
      <c r="S6" s="2"/>
      <c r="T6">
        <f>(E6*(cPR+cMild)+F6*(cPR+cModerate)+G6*(cPR+cCom)+H6*(cDecom)+I6*(cHCC)+J6*(cLT+cLTC)+K6*cPLT+cSVR*SUM(K6,O6,P6))</f>
        <v>6731137.5511423722</v>
      </c>
    </row>
    <row r="7" spans="1:21" x14ac:dyDescent="0.2">
      <c r="A7" s="13">
        <v>1</v>
      </c>
      <c r="B7" s="2"/>
      <c r="C7" s="16">
        <f t="shared" ref="C7:C36" si="1">IF(male=0,VLOOKUP(cycle+Age,lifetable,3,1),IF(male=1,VLOOKUP(cycle+Age,lifetable,2,1),"error"))</f>
        <v>2.4880000000000002E-3</v>
      </c>
      <c r="D7" s="2"/>
      <c r="E7" s="16">
        <f>(E6*(1-prSVRmi))*(1-tpMi2Mo-mr)</f>
        <v>161.56590707106761</v>
      </c>
      <c r="F7" s="16">
        <f>F6*(1-prSVRmo)*(1-tpMo2Com-mr)+(E6*(1-prSVRmi)*tpMi2Mo)</f>
        <v>28.252635160495711</v>
      </c>
      <c r="G7" s="31">
        <f>(G6*(1-prSVRcc))*(1-tpCom2Decom-tpCom2HCC-mr)+(F6*(1-prSVRmo)*tpMo2Com)</f>
        <v>24.268758841067136</v>
      </c>
      <c r="H7" s="16">
        <f>H6*(1-tpDecom2HCC-tpDecom2LRD-tpDecom2LT)+(G6*(1-prSVRcc)*tpCom2Decom)+L6*tpSRF42Decom</f>
        <v>0.96375335830901576</v>
      </c>
      <c r="I7" s="16">
        <f>I6*(1-tpHCC2LRD-tpHCC2LT)+H6*tpDecom2HCC+(G6*(1-prSVRcc)*tpCom2HCC)</f>
        <v>0.34596274400836469</v>
      </c>
      <c r="J7" s="16">
        <f t="shared" ref="J7:J36" si="2">H6*tpDecom2LT+I6*tpHCC2LT</f>
        <v>0</v>
      </c>
      <c r="K7" s="16">
        <f t="shared" ref="K7:K36" si="3">K6*(1-tpPLT2LRD)+J6*tpLR2PLT</f>
        <v>0</v>
      </c>
      <c r="L7" s="16">
        <f t="shared" ref="L7:L36" si="4">L6*(1-tpSRF42Decom-mr)+G6*prSVRcc</f>
        <v>8.2883754279739552</v>
      </c>
      <c r="M7" s="16">
        <f t="shared" ref="M7:M36" si="5">M6+H6*tpDecom2LRD+I6*tpHCC2LRD+J6*tpLT2LRD+K6*tpPLT2LRD</f>
        <v>0</v>
      </c>
      <c r="N7" s="16">
        <f>N6+mr*(E6*(1-prSVRmi)+F6*(1-prSVRmo)+G6*(1-prSVRcc)+L6+O6+P6)</f>
        <v>0.53724444290521856</v>
      </c>
      <c r="O7" s="16">
        <f t="shared" ref="O7:O36" si="6">O6*(1-mr)+E6*prSVRmi</f>
        <v>155.86744115129929</v>
      </c>
      <c r="P7" s="16">
        <f t="shared" ref="P7:P36" si="7">P6*(1-mr)+F6*prSVRmo</f>
        <v>16.909921802873679</v>
      </c>
      <c r="Q7" s="16">
        <f>SUM(E7:P7)</f>
        <v>397</v>
      </c>
      <c r="R7" s="16">
        <f t="shared" si="0"/>
        <v>3600240.3084307923</v>
      </c>
      <c r="S7" s="16">
        <f t="shared" ref="S7:S36" si="8">(E7*uMild+F7*uModerate+G7*uCom+H7*uDecom+I7*uHCC+J7*uLT+K7*uPLT+L7*uSVRcc+O7*uSVRmi+P7*uSVRmo)/(1+oDR)^cycle</f>
        <v>291.81838812799771</v>
      </c>
      <c r="T7">
        <f>(E7*(cPR+cMild)+F7*(cPR+cModerate)+G7*(cPR+cCom)+H7*(cDecom)+I7*(cHCC)+J7*(cLT+cLTC)+K7*cPLT+cSVR*SUM(K7,O7,P7))</f>
        <v>3726248.71922587</v>
      </c>
      <c r="U7">
        <f>(E7*uMild+F7*uModerate+G7*uCom+H7*uDecom+I7*uHCC+J7*uLT+K7*uPLT+L7*uSVRcc+O7*uSVRmi+P7*uSVRmo)</f>
        <v>302.03203171247759</v>
      </c>
    </row>
    <row r="8" spans="1:21" x14ac:dyDescent="0.2">
      <c r="A8" s="13">
        <v>2</v>
      </c>
      <c r="B8" s="2"/>
      <c r="C8" s="16">
        <f t="shared" si="1"/>
        <v>2.696E-3</v>
      </c>
      <c r="D8" s="2"/>
      <c r="E8" s="16">
        <f>(E7*(1-prSVRmi))*(1-tpMi2Mo-mr)</f>
        <v>81.049563122122535</v>
      </c>
      <c r="F8" s="16">
        <f>F7*(1-prSVRmo)*(1-tpMo2Com-mr)+(E7*(1-prSVRmi)*tpMi2Mo)</f>
        <v>18.291620287989211</v>
      </c>
      <c r="G8" s="31">
        <f>(G7*(1-prSVRcc))*(1-tpCom2Decom-tpCom2HCC-mr)+(F7*(1-prSVRmo)*tpMo2Com)</f>
        <v>17.785637077981306</v>
      </c>
      <c r="H8" s="16">
        <f>H7*(1-tpDecom2HCC-tpDecom2LRD-tpDecom2LT)+(G7*(1-prSVRcc)*tpCom2Decom)+L7*tpSRF42Decom</f>
        <v>1.5325039883493485</v>
      </c>
      <c r="I8" s="16">
        <f>I7*(1-tpHCC2LRD-tpHCC2LT)+H7*tpDecom2HCC+(G7*(1-prSVRcc)*tpCom2HCC)</f>
        <v>0.46511817177784698</v>
      </c>
      <c r="J8" s="16">
        <f t="shared" ref="J8:J36" si="9">H7*tpDecom2LT+I7*tpHCC2LT</f>
        <v>2.8912600749270472E-2</v>
      </c>
      <c r="K8" s="16">
        <f t="shared" ref="K8:K36" si="10">K7*(1-tpPLT2LRD)+J7*tpLR2PLT</f>
        <v>0</v>
      </c>
      <c r="L8" s="16">
        <f t="shared" ref="L8:L36" si="11">L7*(1-tpSRF42Decom-mr)+G7*prSVRcc</f>
        <v>14.333758443761205</v>
      </c>
      <c r="M8" s="16">
        <f t="shared" ref="M8:M36" si="12">M7+H7*tpDecom2LRD+I7*tpHCC2LRD+J7*tpLT2LRD+K7*tpPLT2LRD</f>
        <v>0.27405191650376887</v>
      </c>
      <c r="N8" s="16">
        <f>N7+mr*(E7*(1-prSVRmi)+F7*(1-prSVRmo)+G7*(1-prSVRcc)+L7+O7+P7)</f>
        <v>1.3446289824615765</v>
      </c>
      <c r="O8" s="16">
        <f t="shared" ref="O8:O36" si="13">O7*(1-mr)+E7*prSVRmi</f>
        <v>233.65487629534644</v>
      </c>
      <c r="P8" s="16">
        <f t="shared" ref="P8:P36" si="14">P7*(1-mr)+F7*prSVRmo</f>
        <v>28.239329112957464</v>
      </c>
      <c r="Q8" s="16">
        <f t="shared" ref="Q8:Q36" si="15">SUM(E8:P8)</f>
        <v>396.99999999999994</v>
      </c>
      <c r="R8" s="16">
        <f t="shared" si="0"/>
        <v>1987485.4472241532</v>
      </c>
      <c r="S8" s="16">
        <f t="shared" si="8"/>
        <v>285.51199066825285</v>
      </c>
      <c r="T8">
        <f>(E8*(cPR+cMild)+F8*(cPR+cModerate)+G8*(cPR+cCom)+H8*(cDecom)+I8*(cHCC)+J8*(cLT+cLTC)+K8*cPLT+cSVR*SUM(K8,O8,P8))</f>
        <v>2129044.0982026933</v>
      </c>
      <c r="U8">
        <f>(E8*uMild+F8*uModerate+G8*uCom+H8*uDecom+I8*uHCC+J8*uLT+K8*uPLT+L8*uSVRcc+O8*uSVRmi+P8*uSVRmo)</f>
        <v>305.84758220359913</v>
      </c>
    </row>
    <row r="9" spans="1:21" x14ac:dyDescent="0.2">
      <c r="A9" s="13">
        <v>3</v>
      </c>
      <c r="B9" s="2"/>
      <c r="C9" s="16">
        <f t="shared" si="1"/>
        <v>2.8519999999999999E-3</v>
      </c>
      <c r="D9" s="2"/>
      <c r="E9" s="16">
        <f>(E8*(1-prSVRmi))*(1-tpMi2Mo-mr)</f>
        <v>40.652002900561499</v>
      </c>
      <c r="F9" s="16">
        <f>F8*(1-prSVRmo)*(1-tpMo2Com-mr)+(E8*(1-prSVRmi)*tpMi2Mo)</f>
        <v>11.537049858371034</v>
      </c>
      <c r="G9" s="31">
        <f>(G8*(1-prSVRcc))*(1-tpCom2Decom-tpCom2HCC-mr)+(F8*(1-prSVRmo)*tpMo2Com)</f>
        <v>12.978980345647637</v>
      </c>
      <c r="H9" s="16">
        <f>H8*(1-tpDecom2HCC-tpDecom2LRD-tpDecom2LT)+(G8*(1-prSVRcc)*tpCom2Decom)+L8*tpSRF42Decom</f>
        <v>1.8331463040505376</v>
      </c>
      <c r="I9" s="16">
        <f>I8*(1-tpHCC2LRD-tpHCC2LT)+H8*tpDecom2HCC+(G8*(1-prSVRcc)*tpCom2HCC)</f>
        <v>0.4730320442786069</v>
      </c>
      <c r="J9" s="16">
        <f t="shared" si="9"/>
        <v>4.5975119650480456E-2</v>
      </c>
      <c r="K9" s="16">
        <f t="shared" si="10"/>
        <v>2.2840954591923673E-2</v>
      </c>
      <c r="L9" s="16">
        <f t="shared" si="11"/>
        <v>18.712095851719944</v>
      </c>
      <c r="M9" s="16">
        <f t="shared" si="12"/>
        <v>0.67934989501100518</v>
      </c>
      <c r="N9" s="16">
        <f>N8+mr*(E8*(1-prSVRmi)+F8*(1-prSVRmo)+G8*(1-prSVRcc)+L8+O8+P8)</f>
        <v>2.3208408883912766</v>
      </c>
      <c r="O9" s="16">
        <f t="shared" si="13"/>
        <v>272.22137460764264</v>
      </c>
      <c r="P9" s="16">
        <f t="shared" si="14"/>
        <v>35.523311230083387</v>
      </c>
      <c r="Q9" s="16">
        <f t="shared" si="15"/>
        <v>396.99999999999994</v>
      </c>
      <c r="R9" s="16">
        <f t="shared" si="0"/>
        <v>1144294.9586183839</v>
      </c>
      <c r="S9" s="16">
        <f t="shared" si="8"/>
        <v>277.20433078045858</v>
      </c>
      <c r="T9">
        <f>(E9*(cPR+cMild)+F9*(cPR+cModerate)+G9*(cPR+cCom)+H9*(cDecom)+I9*(cHCC)+J9*(cLT+cLTC)+K9*cPLT+cSVR*SUM(K9,O9,P9))</f>
        <v>1268700.2748925872</v>
      </c>
      <c r="U9">
        <f>(E9*uMild+F9*uModerate+G9*uCom+H9*uDecom+I9*uHCC+J9*uLT+K9*uPLT+L9*uSVRcc+O9*uSVRmi+P9*uSVRmo)</f>
        <v>307.34139656370706</v>
      </c>
    </row>
    <row r="10" spans="1:21" x14ac:dyDescent="0.2">
      <c r="A10" s="13">
        <v>4</v>
      </c>
      <c r="B10" s="2"/>
      <c r="C10" s="16">
        <f t="shared" si="1"/>
        <v>3.189E-3</v>
      </c>
      <c r="D10" s="2"/>
      <c r="E10" s="16">
        <f>(E9*(1-prSVRmi))*(1-tpMi2Mo-mr)</f>
        <v>20.382743585026986</v>
      </c>
      <c r="F10" s="16">
        <f>F9*(1-prSVRmo)*(1-tpMo2Com-mr)+(E9*(1-prSVRmi)*tpMi2Mo)</f>
        <v>7.1394007820323386</v>
      </c>
      <c r="G10" s="31">
        <f>(G9*(1-prSVRcc))*(1-tpCom2Decom-tpCom2HCC-mr)+(F9*(1-prSVRmo)*tpMo2Com)</f>
        <v>9.4280385405124765</v>
      </c>
      <c r="H10" s="16">
        <f>H9*(1-tpDecom2HCC-tpDecom2LRD-tpDecom2LT)+(G9*(1-prSVRcc)*tpCom2Decom)+L9*tpSRF42Decom</f>
        <v>1.9557237895797195</v>
      </c>
      <c r="I10" s="16">
        <f>I9*(1-tpHCC2LRD-tpHCC2LT)+H9*tpDecom2HCC+(G9*(1-prSVRcc)*tpCom2HCC)</f>
        <v>0.43136030303523742</v>
      </c>
      <c r="J10" s="16">
        <f t="shared" si="9"/>
        <v>5.4994389121516128E-2</v>
      </c>
      <c r="K10" s="16">
        <f t="shared" si="10"/>
        <v>5.7859364704063582E-2</v>
      </c>
      <c r="L10" s="16">
        <f t="shared" si="11"/>
        <v>21.84976281357142</v>
      </c>
      <c r="M10" s="16">
        <f t="shared" si="12"/>
        <v>1.1320194031157167</v>
      </c>
      <c r="N10" s="16">
        <f>N9+mr*(E9*(1-prSVRmi)+F9*(1-prSVRmo)+G9*(1-prSVRcc)+L9+O9+P9)</f>
        <v>3.4817706292885506</v>
      </c>
      <c r="O10" s="16">
        <f t="shared" si="13"/>
        <v>291.03128446322916</v>
      </c>
      <c r="P10" s="16">
        <f t="shared" si="14"/>
        <v>40.055041936782771</v>
      </c>
      <c r="Q10" s="16">
        <f t="shared" si="15"/>
        <v>397</v>
      </c>
      <c r="R10" s="16">
        <f t="shared" si="0"/>
        <v>695271.77593002585</v>
      </c>
      <c r="S10" s="16">
        <f t="shared" si="8"/>
        <v>268.00637370068688</v>
      </c>
      <c r="T10">
        <f>(E10*(cPR+cMild)+F10*(cPR+cModerate)+G10*(cPR+cCom)+H10*(cDecom)+I10*(cHCC)+J10*(cLT+cLTC)+K10*cPLT+cSVR*SUM(K10,O10,P10))</f>
        <v>797840.35456509562</v>
      </c>
      <c r="U10">
        <f>(E10*uMild+F10*uModerate+G10*uCom+H10*uDecom+I10*uHCC+J10*uLT+K10*uPLT+L10*uSVRcc+O10*uSVRmi+P10*uSVRmo)</f>
        <v>307.5434781356372</v>
      </c>
    </row>
    <row r="11" spans="1:21" x14ac:dyDescent="0.2">
      <c r="A11" s="13">
        <v>5</v>
      </c>
      <c r="B11" s="2"/>
      <c r="C11" s="16">
        <f t="shared" si="1"/>
        <v>3.3790000000000001E-3</v>
      </c>
      <c r="D11" s="2"/>
      <c r="E11" s="16">
        <f>(E10*(1-prSVRmi))*(1-tpMi2Mo-mr)</f>
        <v>10.217823970294035</v>
      </c>
      <c r="F11" s="16">
        <f>F10*(1-prSVRmo)*(1-tpMo2Com-mr)+(E10*(1-prSVRmi)*tpMi2Mo)</f>
        <v>4.3556473260935391</v>
      </c>
      <c r="G11" s="31">
        <f>(G10*(1-prSVRcc))*(1-tpCom2Decom-tpCom2HCC-mr)+(F10*(1-prSVRmo)*tpMo2Com)</f>
        <v>6.8198290530937484</v>
      </c>
      <c r="H11" s="16">
        <f>H10*(1-tpDecom2HCC-tpDecom2LRD-tpDecom2LT)+(G10*(1-prSVRcc)*tpCom2Decom)+L10*tpSRF42Decom</f>
        <v>1.9637485975564111</v>
      </c>
      <c r="I11" s="16">
        <f>I10*(1-tpHCC2LRD-tpHCC2LT)+H10*tpDecom2HCC+(G10*(1-prSVRcc)*tpCom2HCC)</f>
        <v>0.37209641742336247</v>
      </c>
      <c r="J11" s="16">
        <f t="shared" si="9"/>
        <v>5.8671713687391581E-2</v>
      </c>
      <c r="K11" s="16">
        <f t="shared" si="10"/>
        <v>9.8006948321929688E-2</v>
      </c>
      <c r="L11" s="16">
        <f t="shared" si="11"/>
        <v>24.070927680656581</v>
      </c>
      <c r="M11" s="16">
        <f t="shared" si="12"/>
        <v>1.5865952315698824</v>
      </c>
      <c r="N11" s="16">
        <f>N10+mr*(E10*(1-prSVRmi)+F10*(1-prSVRmo)+G10*(1-prSVRcc)+L10+O10+P10)</f>
        <v>4.7481433784606368</v>
      </c>
      <c r="O11" s="16">
        <f t="shared" si="13"/>
        <v>299.91436828172732</v>
      </c>
      <c r="P11" s="16">
        <f t="shared" si="14"/>
        <v>42.794141401115098</v>
      </c>
      <c r="Q11" s="16">
        <f t="shared" si="15"/>
        <v>396.99999999999994</v>
      </c>
      <c r="R11" s="16">
        <f t="shared" si="0"/>
        <v>450693.8729387396</v>
      </c>
      <c r="S11" s="16">
        <f t="shared" si="8"/>
        <v>258.53744636097673</v>
      </c>
      <c r="T11">
        <f>(E11*(cPR+cMild)+F11*(cPR+cModerate)+G11*(cPR+cCom)+H11*(cDecom)+I11*(cHCC)+J11*(cLT+cLTC)+K11*cPLT+cSVR*SUM(K11,O11,P11))</f>
        <v>535282.94092829351</v>
      </c>
      <c r="U11">
        <f>(E11*uMild+F11*uModerate+G11*uCom+H11*uDecom+I11*uHCC+J11*uLT+K11*uPLT+L11*uSVRcc+O11*uSVRmi+P11*uSVRmo)</f>
        <v>307.06138453984545</v>
      </c>
    </row>
    <row r="12" spans="1:21" x14ac:dyDescent="0.2">
      <c r="A12" s="13">
        <v>6</v>
      </c>
      <c r="B12" s="2"/>
      <c r="C12" s="16">
        <f t="shared" si="1"/>
        <v>3.6059999999999998E-3</v>
      </c>
      <c r="D12" s="2"/>
      <c r="E12" s="16">
        <f>(E11*(1-prSVRmi))*(1-tpMi2Mo-mr)</f>
        <v>5.120975708846089</v>
      </c>
      <c r="F12" s="16">
        <f>F11*(1-prSVRmo)*(1-tpMo2Com-mr)+(E11*(1-prSVRmi)*tpMi2Mo)</f>
        <v>2.6281270042265947</v>
      </c>
      <c r="G12" s="31">
        <f>(G11*(1-prSVRcc))*(1-tpCom2Decom-tpCom2HCC-mr)+(F11*(1-prSVRmo)*tpMo2Com)</f>
        <v>4.9141311485264882</v>
      </c>
      <c r="H12" s="16">
        <f>H11*(1-tpDecom2HCC-tpDecom2LRD-tpDecom2LT)+(G11*(1-prSVRcc)*tpCom2Decom)+L11*tpSRF42Decom</f>
        <v>1.9016239416414276</v>
      </c>
      <c r="I12" s="16">
        <f>I11*(1-tpHCC2LRD-tpHCC2LT)+H11*tpDecom2HCC+(G11*(1-prSVRcc)*tpCom2HCC)</f>
        <v>0.31108461323275127</v>
      </c>
      <c r="J12" s="16">
        <f t="shared" si="9"/>
        <v>5.8912457926692328E-2</v>
      </c>
      <c r="K12" s="16">
        <f t="shared" si="10"/>
        <v>0.13877120608061905</v>
      </c>
      <c r="L12" s="16">
        <f t="shared" si="11"/>
        <v>25.616619003248712</v>
      </c>
      <c r="M12" s="16">
        <f t="shared" si="12"/>
        <v>2.0197914646729638</v>
      </c>
      <c r="N12" s="16">
        <f>N11+mr*(E11*(1-prSVRmi)+F11*(1-prSVRmo)+G11*(1-prSVRcc)+L11+O11+P11)</f>
        <v>6.1175584704990573</v>
      </c>
      <c r="O12" s="16">
        <f t="shared" si="13"/>
        <v>303.77892078518209</v>
      </c>
      <c r="P12" s="16">
        <f t="shared" si="14"/>
        <v>44.393484195916429</v>
      </c>
      <c r="Q12" s="16">
        <f t="shared" si="15"/>
        <v>396.99999999999989</v>
      </c>
      <c r="R12" s="16">
        <f t="shared" si="0"/>
        <v>313595.61277629156</v>
      </c>
      <c r="S12" s="16">
        <f t="shared" si="8"/>
        <v>249.08076305150274</v>
      </c>
      <c r="T12">
        <f>(E12*(cPR+cMild)+F12*(cPR+cModerate)+G12*(cPR+cCom)+H12*(cDecom)+I12*(cHCC)+J12*(cLT+cLTC)+K12*cPLT+cSVR*SUM(K12,O12,P12))</f>
        <v>385489.07732352847</v>
      </c>
      <c r="U12">
        <f>(E12*uMild+F12*uModerate+G12*uCom+H12*uDecom+I12*uHCC+J12*uLT+K12*uPLT+L12*uSVRcc+O12*uSVRmi+P12*uSVRmo)</f>
        <v>306.18385467101587</v>
      </c>
    </row>
    <row r="13" spans="1:21" x14ac:dyDescent="0.2">
      <c r="A13" s="13">
        <v>7</v>
      </c>
      <c r="B13" s="2"/>
      <c r="C13" s="16">
        <f t="shared" si="1"/>
        <v>3.9069999999999999E-3</v>
      </c>
      <c r="D13" s="2"/>
      <c r="E13" s="16">
        <f>(E12*(1-prSVRmi))*(1-tpMi2Mo-mr)</f>
        <v>2.5657386829683735</v>
      </c>
      <c r="F13" s="16">
        <f>F12*(1-prSVRmo)*(1-tpMo2Com-mr)+(E12*(1-prSVRmi)*tpMi2Mo)</f>
        <v>1.5718268585803281</v>
      </c>
      <c r="G13" s="31">
        <f>(G12*(1-prSVRcc))*(1-tpCom2Decom-tpCom2HCC-mr)+(F12*(1-prSVRmo)*tpMo2Com)</f>
        <v>3.5285625362474851</v>
      </c>
      <c r="H13" s="16">
        <f>H12*(1-tpDecom2HCC-tpDecom2LRD-tpDecom2LT)+(G12*(1-prSVRcc)*tpCom2Decom)+L12*tpSRF42Decom</f>
        <v>1.7998163498594983</v>
      </c>
      <c r="I13" s="16">
        <f>I12*(1-tpHCC2LRD-tpHCC2LT)+H12*tpDecom2HCC+(G12*(1-prSVRcc)*tpCom2HCC)</f>
        <v>0.2554593373487149</v>
      </c>
      <c r="J13" s="16">
        <f t="shared" si="9"/>
        <v>5.7048718249242826E-2</v>
      </c>
      <c r="K13" s="16">
        <f t="shared" si="10"/>
        <v>0.17740208909611072</v>
      </c>
      <c r="L13" s="16">
        <f t="shared" si="11"/>
        <v>26.665222755068179</v>
      </c>
      <c r="M13" s="16">
        <f t="shared" si="12"/>
        <v>2.4210505356876331</v>
      </c>
      <c r="N13" s="16">
        <f>N12+mr*(E12*(1-prSVRmi)+F12*(1-prSVRmo)+G12*(1-prSVRcc)+L12+O12+P12)</f>
        <v>7.6087862153636809</v>
      </c>
      <c r="O13" s="16">
        <f t="shared" si="13"/>
        <v>305.07091797004642</v>
      </c>
      <c r="P13" s="16">
        <f t="shared" si="14"/>
        <v>45.278167951484228</v>
      </c>
      <c r="Q13" s="16">
        <f t="shared" si="15"/>
        <v>396.99999999999994</v>
      </c>
      <c r="R13" s="16">
        <f t="shared" si="0"/>
        <v>233991.61599498487</v>
      </c>
      <c r="S13" s="16">
        <f t="shared" si="8"/>
        <v>239.76446662142982</v>
      </c>
      <c r="T13">
        <f>(E13*(cPR+cMild)+F13*(cPR+cModerate)+G13*(cPR+cCom)+H13*(cDecom)+I13*(cHCC)+J13*(cLT+cLTC)+K13*cPLT+cSVR*SUM(K13,O13,P13))</f>
        <v>297702.6806916584</v>
      </c>
      <c r="U13">
        <f>(E13*uMild+F13*uModerate+G13*uCom+H13*uDecom+I13*uHCC+J13*uLT+K13*uPLT+L13*uSVRcc+O13*uSVRmi+P13*uSVRmo)</f>
        <v>305.04735883073334</v>
      </c>
    </row>
    <row r="14" spans="1:21" x14ac:dyDescent="0.2">
      <c r="A14" s="13">
        <v>8</v>
      </c>
      <c r="B14" s="2"/>
      <c r="C14" s="16">
        <f t="shared" si="1"/>
        <v>4.1250000000000002E-3</v>
      </c>
      <c r="D14" s="2"/>
      <c r="E14" s="16">
        <f>(E13*(1-prSVRmi))*(1-tpMi2Mo-mr)</f>
        <v>1.2852115586882562</v>
      </c>
      <c r="F14" s="16">
        <f>F13*(1-prSVRmo)*(1-tpMo2Com-mr)+(E13*(1-prSVRmi)*tpMi2Mo)</f>
        <v>0.93346085927365829</v>
      </c>
      <c r="G14" s="31">
        <f>(G13*(1-prSVRcc))*(1-tpCom2Decom-tpCom2HCC-mr)+(F13*(1-prSVRmo)*tpMo2Com)</f>
        <v>2.5261184648548491</v>
      </c>
      <c r="H14" s="16">
        <f>H13*(1-tpDecom2HCC-tpDecom2LRD-tpDecom2LT)+(G13*(1-prSVRcc)*tpCom2Decom)+L13*tpSRF42Decom</f>
        <v>1.6787605730559307</v>
      </c>
      <c r="I14" s="16">
        <f>I13*(1-tpHCC2LRD-tpHCC2LT)+H13*tpDecom2HCC+(G13*(1-prSVRcc)*tpCom2HCC)</f>
        <v>0.20780171110938517</v>
      </c>
      <c r="J14" s="16">
        <f t="shared" si="9"/>
        <v>5.3994490495784947E-2</v>
      </c>
      <c r="K14" s="16">
        <f t="shared" si="10"/>
        <v>0.21235865743453422</v>
      </c>
      <c r="L14" s="16">
        <f t="shared" si="11"/>
        <v>27.352410837550174</v>
      </c>
      <c r="M14" s="16">
        <f t="shared" si="12"/>
        <v>2.786966326140135</v>
      </c>
      <c r="N14" s="16">
        <f>N13+mr*(E13*(1-prSVRmi)+F13*(1-prSVRmo)+G13*(1-prSVRcc)+L13+O13+P13)</f>
        <v>9.1842036407262864</v>
      </c>
      <c r="O14" s="16">
        <f t="shared" si="13"/>
        <v>305.05447286564726</v>
      </c>
      <c r="P14" s="16">
        <f t="shared" si="14"/>
        <v>45.724240015023632</v>
      </c>
      <c r="Q14" s="16">
        <f t="shared" si="15"/>
        <v>396.99999999999989</v>
      </c>
      <c r="R14" s="16">
        <f t="shared" si="0"/>
        <v>185821.31072699645</v>
      </c>
      <c r="S14" s="16">
        <f t="shared" si="8"/>
        <v>230.68013335031128</v>
      </c>
      <c r="T14">
        <f>(E14*(cPR+cMild)+F14*(cPR+cModerate)+G14*(cPR+cCom)+H14*(cDecom)+I14*(cHCC)+J14*(cLT+cLTC)+K14*cPLT+cSVR*SUM(K14,O14,P14))</f>
        <v>244691.18122569344</v>
      </c>
      <c r="U14">
        <f>(E14*uMild+F14*uModerate+G14*uCom+H14*uDecom+I14*uHCC+J14*uLT+K14*uPLT+L14*uSVRcc+O14*uSVRmi+P14*uSVRmo)</f>
        <v>303.76168424361276</v>
      </c>
    </row>
    <row r="15" spans="1:21" x14ac:dyDescent="0.2">
      <c r="A15" s="13">
        <v>9</v>
      </c>
      <c r="B15" s="2"/>
      <c r="C15" s="16">
        <f t="shared" si="1"/>
        <v>4.4780000000000002E-3</v>
      </c>
      <c r="D15" s="2"/>
      <c r="E15" s="16">
        <f>(E14*(1-prSVRmi))*(1-tpMi2Mo-mr)</f>
        <v>0.64354495479106899</v>
      </c>
      <c r="F15" s="16">
        <f>F14*(1-prSVRmo)*(1-tpMo2Com-mr)+(E14*(1-prSVRmi)*tpMi2Mo)</f>
        <v>0.55108124299628591</v>
      </c>
      <c r="G15" s="31">
        <f>(G14*(1-prSVRcc))*(1-tpCom2Decom-tpCom2HCC-mr)+(F14*(1-prSVRmo)*tpMo2Com)</f>
        <v>1.8035553545445222</v>
      </c>
      <c r="H15" s="16">
        <f>H14*(1-tpDecom2HCC-tpDecom2LRD-tpDecom2LT)+(G14*(1-prSVRcc)*tpCom2Decom)+L14*tpSRF42Decom</f>
        <v>1.5517876841473823</v>
      </c>
      <c r="I15" s="16">
        <f>I14*(1-tpHCC2LRD-tpHCC2LT)+H14*tpDecom2HCC+(G14*(1-prSVRcc)*tpCom2HCC)</f>
        <v>0.16843274080335627</v>
      </c>
      <c r="J15" s="16">
        <f t="shared" si="9"/>
        <v>5.0362817191677921E-2</v>
      </c>
      <c r="K15" s="16">
        <f t="shared" si="10"/>
        <v>0.24290986145243587</v>
      </c>
      <c r="L15" s="16">
        <f t="shared" si="11"/>
        <v>27.773036908175367</v>
      </c>
      <c r="M15" s="16">
        <f t="shared" si="12"/>
        <v>3.1180032228923245</v>
      </c>
      <c r="N15" s="16">
        <f>N14+mr*(E14*(1-prSVRmi)+F14*(1-prSVRmo)+G14*(1-prSVRcc)+L14+O14+P14)</f>
        <v>10.891412033760457</v>
      </c>
      <c r="O15" s="16">
        <f t="shared" si="13"/>
        <v>304.31055892680962</v>
      </c>
      <c r="P15" s="16">
        <f t="shared" si="14"/>
        <v>45.895314252435426</v>
      </c>
      <c r="Q15" s="16">
        <f t="shared" si="15"/>
        <v>396.99999999999994</v>
      </c>
      <c r="R15" s="16">
        <f t="shared" si="0"/>
        <v>155238.03952176444</v>
      </c>
      <c r="S15" s="16">
        <f t="shared" si="8"/>
        <v>221.83002052201539</v>
      </c>
      <c r="T15">
        <f>(E15*(cPR+cMild)+F15*(cPR+cModerate)+G15*(cPR+cCom)+H15*(cDecom)+I15*(cHCC)+J15*(cLT+cLTC)+K15*cPLT+cSVR*SUM(K15,O15,P15))</f>
        <v>211573.51318903724</v>
      </c>
      <c r="U15">
        <f>(E15*uMild+F15*uModerate+G15*uCom+H15*uDecom+I15*uHCC+J15*uLT+K15*uPLT+L15*uSVRcc+O15*uSVRmi+P15*uSVRmo)</f>
        <v>302.33154784242777</v>
      </c>
    </row>
    <row r="16" spans="1:21" x14ac:dyDescent="0.2">
      <c r="A16" s="13">
        <v>10</v>
      </c>
      <c r="B16" s="2"/>
      <c r="C16" s="16">
        <f t="shared" si="1"/>
        <v>4.7600000000000003E-3</v>
      </c>
      <c r="D16" s="2"/>
      <c r="E16" s="16">
        <f>(E15*(1-prSVRmi))*(1-tpMi2Mo-mr)</f>
        <v>0.32214911887025166</v>
      </c>
      <c r="F16" s="16">
        <f>F15*(1-prSVRmo)*(1-tpMo2Com-mr)+(E15*(1-prSVRmi)*tpMi2Mo)</f>
        <v>0.32375956042113962</v>
      </c>
      <c r="G16" s="31">
        <f>(G15*(1-prSVRcc))*(1-tpCom2Decom-tpCom2HCC-mr)+(F15*(1-prSVRmo)*tpMo2Com)</f>
        <v>1.2847409397939997</v>
      </c>
      <c r="H16" s="16">
        <f>H15*(1-tpDecom2HCC-tpDecom2LRD-tpDecom2LT)+(G15*(1-prSVRcc)*tpCom2Decom)+L15*tpSRF42Decom</f>
        <v>1.4272107682529371</v>
      </c>
      <c r="I16" s="16">
        <f>I15*(1-tpHCC2LRD-tpHCC2LT)+H15*tpDecom2HCC+(G15*(1-prSVRcc)*tpCom2HCC)</f>
        <v>0.13663965830352801</v>
      </c>
      <c r="J16" s="16">
        <f t="shared" si="9"/>
        <v>4.655363052442147E-2</v>
      </c>
      <c r="K16" s="16">
        <f t="shared" si="10"/>
        <v>0.26885062493107259</v>
      </c>
      <c r="L16" s="16">
        <f t="shared" si="11"/>
        <v>28.001061487509986</v>
      </c>
      <c r="M16" s="16">
        <f t="shared" si="12"/>
        <v>3.4165837540899688</v>
      </c>
      <c r="N16" s="16">
        <f>N15+mr*(E15*(1-prSVRmi)+F15*(1-prSVRmo)+G15*(1-prSVRcc)+L15+O15+P15)</f>
        <v>12.700167842250424</v>
      </c>
      <c r="O16" s="16">
        <f t="shared" si="13"/>
        <v>303.1735552792656</v>
      </c>
      <c r="P16" s="16">
        <f t="shared" si="14"/>
        <v>45.898727335786639</v>
      </c>
      <c r="Q16" s="16">
        <f t="shared" si="15"/>
        <v>396.99999999999994</v>
      </c>
      <c r="R16" s="16">
        <f t="shared" si="0"/>
        <v>134796.69514940763</v>
      </c>
      <c r="S16" s="16">
        <f t="shared" si="8"/>
        <v>213.24504905872681</v>
      </c>
      <c r="T16">
        <f>(E16*(cPR+cMild)+F16*(cPR+cModerate)+G16*(cPR+cCom)+H16*(cDecom)+I16*(cHCC)+J16*(cLT+cLTC)+K16*cPLT+cSVR*SUM(K16,O16,P16))</f>
        <v>190144.05111357747</v>
      </c>
      <c r="U16">
        <f>(E16*uMild+F16*uModerate+G16*uCom+H16*uDecom+I16*uHCC+J16*uLT+K16*uPLT+L16*uSVRcc+O16*uSVRmi+P16*uSVRmo)</f>
        <v>300.80320191083018</v>
      </c>
    </row>
    <row r="17" spans="1:21" x14ac:dyDescent="0.2">
      <c r="A17" s="13">
        <v>11</v>
      </c>
      <c r="B17" s="2"/>
      <c r="C17" s="16">
        <f t="shared" si="1"/>
        <v>5.3889999999999997E-3</v>
      </c>
      <c r="D17" s="2"/>
      <c r="E17" s="16">
        <f>(E16*(1-prSVRmi))*(1-tpMi2Mo-mr)</f>
        <v>0.16115855483341154</v>
      </c>
      <c r="F17" s="16">
        <f>F16*(1-prSVRmo)*(1-tpMo2Com-mr)+(E16*(1-prSVRmi)*tpMi2Mo)</f>
        <v>0.18936524615910041</v>
      </c>
      <c r="G17" s="31">
        <f>(G16*(1-prSVRcc))*(1-tpCom2Decom-tpCom2HCC-mr)+(F16*(1-prSVRmo)*tpMo2Com)</f>
        <v>0.91304398086945715</v>
      </c>
      <c r="H17" s="16">
        <f>H16*(1-tpDecom2HCC-tpDecom2LRD-tpDecom2LT)+(G16*(1-prSVRcc)*tpCom2Decom)+L16*tpSRF42Decom</f>
        <v>1.3099200458628928</v>
      </c>
      <c r="I17" s="16">
        <f>I16*(1-tpHCC2LRD-tpHCC2LT)+H16*tpDecom2HCC+(G16*(1-prSVRcc)*tpCom2HCC)</f>
        <v>0.11133441965131019</v>
      </c>
      <c r="J17" s="16">
        <f t="shared" si="9"/>
        <v>4.281632304758811E-2</v>
      </c>
      <c r="K17" s="16">
        <f t="shared" si="10"/>
        <v>0.29030350742429439</v>
      </c>
      <c r="L17" s="16">
        <f t="shared" si="11"/>
        <v>28.079319471382505</v>
      </c>
      <c r="M17" s="16">
        <f t="shared" si="12"/>
        <v>3.6859769550645671</v>
      </c>
      <c r="N17" s="16">
        <f>N16+mr*(E16*(1-prSVRmi)+F16*(1-prSVRmo)+G16*(1-prSVRcc)+L16+O16+P16)</f>
        <v>14.739338624890376</v>
      </c>
      <c r="O17" s="16">
        <f t="shared" si="13"/>
        <v>301.69569261355338</v>
      </c>
      <c r="P17" s="16">
        <f t="shared" si="14"/>
        <v>45.781730257261088</v>
      </c>
      <c r="Q17" s="16">
        <f t="shared" si="15"/>
        <v>396.99999999999994</v>
      </c>
      <c r="R17" s="16">
        <f t="shared" si="0"/>
        <v>120348.85965819078</v>
      </c>
      <c r="S17" s="16">
        <f t="shared" si="8"/>
        <v>204.85786630882924</v>
      </c>
      <c r="T17">
        <f>(E17*(cPR+cMild)+F17*(cPR+cModerate)+G17*(cPR+cCom)+H17*(cDecom)+I17*(cHCC)+J17*(cLT+cLTC)+K17*cPLT+cSVR*SUM(K17,O17,P17))</f>
        <v>175705.69060566946</v>
      </c>
      <c r="U17">
        <f>(E17*uMild+F17*uModerate+G17*uCom+H17*uDecom+I17*uHCC+J17*uLT+K17*uPLT+L17*uSVRcc+O17*uSVRmi+P17*uSVRmo)</f>
        <v>299.0862811498771</v>
      </c>
    </row>
    <row r="18" spans="1:21" x14ac:dyDescent="0.2">
      <c r="A18" s="13">
        <v>12</v>
      </c>
      <c r="B18" s="2"/>
      <c r="C18" s="16">
        <f t="shared" si="1"/>
        <v>5.8560000000000001E-3</v>
      </c>
      <c r="D18" s="2"/>
      <c r="E18" s="16">
        <f>(E17*(1-prSVRmi))*(1-tpMi2Mo-mr)</f>
        <v>8.0582466861053192E-2</v>
      </c>
      <c r="F18" s="16">
        <f>F17*(1-prSVRmo)*(1-tpMo2Com-mr)+(E17*(1-prSVRmi)*tpMi2Mo)</f>
        <v>0.11035422318178248</v>
      </c>
      <c r="G18" s="31">
        <f>(G17*(1-prSVRcc))*(1-tpCom2Decom-tpCom2HCC-mr)+(F17*(1-prSVRmo)*tpMo2Com)</f>
        <v>0.64766568965798654</v>
      </c>
      <c r="H18" s="16">
        <f>H17*(1-tpDecom2HCC-tpDecom2LRD-tpDecom2LT)+(G17*(1-prSVRcc)*tpCom2Decom)+L17*tpSRF42Decom</f>
        <v>1.2024440122761599</v>
      </c>
      <c r="I18" s="16">
        <f>I17*(1-tpHCC2LRD-tpHCC2LT)+H17*tpDecom2HCC+(G17*(1-prSVRcc)*tpCom2HCC)</f>
        <v>9.1371596843991515E-2</v>
      </c>
      <c r="J18" s="16">
        <f t="shared" si="9"/>
        <v>3.9297601375886781E-2</v>
      </c>
      <c r="K18" s="16">
        <f t="shared" si="10"/>
        <v>0.3075811027087042</v>
      </c>
      <c r="L18" s="16">
        <f t="shared" si="11"/>
        <v>28.050424816059973</v>
      </c>
      <c r="M18" s="16">
        <f t="shared" si="12"/>
        <v>3.9296790892399844</v>
      </c>
      <c r="N18" s="16">
        <f>N17+mr*(E17*(1-prSVRmi)+F17*(1-prSVRmo)+G17*(1-prSVRcc)+L17+O17+P17)</f>
        <v>16.943752146129878</v>
      </c>
      <c r="O18" s="16">
        <f t="shared" si="13"/>
        <v>300.00697310829639</v>
      </c>
      <c r="P18" s="16">
        <f t="shared" si="14"/>
        <v>45.589874147368192</v>
      </c>
      <c r="Q18" s="16">
        <f t="shared" si="15"/>
        <v>397</v>
      </c>
      <c r="R18" s="16">
        <f t="shared" si="0"/>
        <v>109598.60798288415</v>
      </c>
      <c r="S18" s="16">
        <f t="shared" si="8"/>
        <v>196.70731950348835</v>
      </c>
      <c r="T18">
        <f>(E18*(cPR+cMild)+F18*(cPR+cModerate)+G18*(cPR+cCom)+H18*(cDecom)+I18*(cHCC)+J18*(cLT+cLTC)+K18*cPLT+cSVR*SUM(K18,O18,P18))</f>
        <v>165611.02141172683</v>
      </c>
      <c r="U18">
        <f>(E18*uMild+F18*uModerate+G18*uCom+H18*uDecom+I18*uHCC+J18*uLT+K18*uPLT+L18*uSVRcc+O18*uSVRmi+P18*uSVRmo)</f>
        <v>297.23826517233766</v>
      </c>
    </row>
    <row r="19" spans="1:21" x14ac:dyDescent="0.2">
      <c r="A19" s="13">
        <v>13</v>
      </c>
      <c r="B19" s="2"/>
      <c r="C19" s="16">
        <f t="shared" si="1"/>
        <v>6.3940000000000004E-3</v>
      </c>
      <c r="D19" s="2"/>
      <c r="E19" s="16">
        <f>(E18*(1-prSVRmi))*(1-tpMi2Mo-mr)</f>
        <v>4.0270460495874925E-2</v>
      </c>
      <c r="F19" s="16">
        <f>F18*(1-prSVRmo)*(1-tpMo2Com-mr)+(E18*(1-prSVRmi)*tpMi2Mo)</f>
        <v>6.4102414846249706E-2</v>
      </c>
      <c r="G19" s="31">
        <f>(G18*(1-prSVRcc))*(1-tpCom2Decom-tpCom2HCC-mr)+(F18*(1-prSVRmo)*tpMo2Com)</f>
        <v>0.45862942116761579</v>
      </c>
      <c r="H19" s="16">
        <f>H18*(1-tpDecom2HCC-tpDecom2LRD-tpDecom2LT)+(G18*(1-prSVRcc)*tpCom2Decom)+L18*tpSRF42Decom</f>
        <v>1.1058220210096699</v>
      </c>
      <c r="I19" s="16">
        <f>I18*(1-tpHCC2LRD-tpHCC2LT)+H18*tpDecom2HCC+(G18*(1-prSVRcc)*tpCom2HCC)</f>
        <v>7.5705971803067068E-2</v>
      </c>
      <c r="J19" s="16">
        <f t="shared" si="9"/>
        <v>3.6073320368284797E-2</v>
      </c>
      <c r="K19" s="16">
        <f t="shared" si="10"/>
        <v>0.32109408494125863</v>
      </c>
      <c r="L19" s="16">
        <f t="shared" si="11"/>
        <v>27.940051568406599</v>
      </c>
      <c r="M19" s="16">
        <f t="shared" si="12"/>
        <v>4.1510712166221335</v>
      </c>
      <c r="N19" s="16">
        <f>N18+mr*(E18*(1-prSVRmi)+F18*(1-prSVRmo)+G18*(1-prSVRcc)+L18+O18+P18)</f>
        <v>19.336641220023065</v>
      </c>
      <c r="O19" s="16">
        <f t="shared" si="13"/>
        <v>298.12773530146956</v>
      </c>
      <c r="P19" s="16">
        <f t="shared" si="14"/>
        <v>45.342802998846608</v>
      </c>
      <c r="Q19" s="16">
        <f t="shared" si="15"/>
        <v>396.99999999999994</v>
      </c>
      <c r="R19" s="16">
        <f t="shared" si="0"/>
        <v>101195.77026238818</v>
      </c>
      <c r="S19" s="16">
        <f t="shared" si="8"/>
        <v>188.77998922440113</v>
      </c>
      <c r="T19">
        <f>(E19*(cPR+cMild)+F19*(cPR+cModerate)+G19*(cPR+cCom)+H19*(cDecom)+I19*(cHCC)+J19*(cLT+cLTC)+K19*cPLT+cSVR*SUM(K19,O19,P19))</f>
        <v>158265.73818400071</v>
      </c>
      <c r="U19">
        <f>(E19*uMild+F19*uModerate+G19*uCom+H19*uDecom+I19*uHCC+J19*uLT+K19*uPLT+L19*uSVRcc+O19*uSVRmi+P19*uSVRmo)</f>
        <v>295.2436082209673</v>
      </c>
    </row>
    <row r="20" spans="1:21" x14ac:dyDescent="0.2">
      <c r="A20" s="13">
        <v>14</v>
      </c>
      <c r="B20" s="2"/>
      <c r="C20" s="16">
        <f t="shared" si="1"/>
        <v>6.9300000000000004E-3</v>
      </c>
      <c r="D20" s="2"/>
      <c r="E20" s="16">
        <f>(E19*(1-prSVRmi))*(1-tpMi2Mo-mr)</f>
        <v>2.0113712595895481E-2</v>
      </c>
      <c r="F20" s="16">
        <f>F19*(1-prSVRmo)*(1-tpMo2Com-mr)+(E19*(1-prSVRmi)*tpMi2Mo)</f>
        <v>3.7130867729486365E-2</v>
      </c>
      <c r="G20" s="31">
        <f>(G19*(1-prSVRcc))*(1-tpCom2Decom-tpCom2HCC-mr)+(F19*(1-prSVRmo)*tpMo2Com)</f>
        <v>0.32427331263955861</v>
      </c>
      <c r="H20" s="16">
        <f>H19*(1-tpDecom2HCC-tpDecom2LRD-tpDecom2LT)+(G19*(1-prSVRcc)*tpCom2Decom)+L19*tpSRF42Decom</f>
        <v>1.0201228720430595</v>
      </c>
      <c r="I20" s="16">
        <f>I19*(1-tpHCC2LRD-tpHCC2LT)+H19*tpDecom2HCC+(G19*(1-prSVRcc)*tpCom2HCC)</f>
        <v>6.3442054434917433E-2</v>
      </c>
      <c r="J20" s="16">
        <f t="shared" si="9"/>
        <v>3.3174660630290093E-2</v>
      </c>
      <c r="K20" s="16">
        <f t="shared" si="10"/>
        <v>0.33128964519055187</v>
      </c>
      <c r="L20" s="16">
        <f t="shared" si="11"/>
        <v>27.768297930464261</v>
      </c>
      <c r="M20" s="16">
        <f t="shared" si="12"/>
        <v>4.3532594073477018</v>
      </c>
      <c r="N20" s="16">
        <f>N19+mr*(E19*(1-prSVRmi)+F19*(1-prSVRmo)+G19*(1-prSVRcc)+L19+O19+P19)</f>
        <v>21.913305998902771</v>
      </c>
      <c r="O20" s="16">
        <f t="shared" si="13"/>
        <v>296.08120343008966</v>
      </c>
      <c r="P20" s="16">
        <f t="shared" si="14"/>
        <v>45.054386107931876</v>
      </c>
      <c r="Q20" s="16">
        <f t="shared" si="15"/>
        <v>397</v>
      </c>
      <c r="R20" s="16">
        <f t="shared" si="0"/>
        <v>94340.709382202826</v>
      </c>
      <c r="S20" s="16">
        <f t="shared" si="8"/>
        <v>181.07632021345705</v>
      </c>
      <c r="T20">
        <f>(E20*(cPR+cMild)+F20*(cPR+cModerate)+G20*(cPR+cCom)+H20*(cDecom)+I20*(cHCC)+J20*(cLT+cLTC)+K20*cPLT+cSVR*SUM(K20,O20,P20))</f>
        <v>152708.78952251477</v>
      </c>
      <c r="U20">
        <f>(E20*uMild+F20*uModerate+G20*uCom+H20*uDecom+I20*uHCC+J20*uLT+K20*uPLT+L20*uSVRcc+O20*uSVRmi+P20*uSVRmo)</f>
        <v>293.10724767779607</v>
      </c>
    </row>
    <row r="21" spans="1:21" x14ac:dyDescent="0.2">
      <c r="A21" s="13">
        <v>15</v>
      </c>
      <c r="B21" s="2"/>
      <c r="C21" s="16">
        <f t="shared" si="1"/>
        <v>7.5950000000000002E-3</v>
      </c>
      <c r="D21" s="2"/>
      <c r="E21" s="16">
        <f>(E20*(1-prSVRmi))*(1-tpMi2Mo-mr)</f>
        <v>1.0039207957649546E-2</v>
      </c>
      <c r="F21" s="16">
        <f>F20*(1-prSVRmo)*(1-tpMo2Com-mr)+(E20*(1-prSVRmi)*tpMi2Mo)</f>
        <v>2.1451601833275113E-2</v>
      </c>
      <c r="G21" s="31">
        <f>(G20*(1-prSVRcc))*(1-tpCom2Decom-tpCom2HCC-mr)+(F20*(1-prSVRmo)*tpMo2Com)</f>
        <v>0.22893444340359251</v>
      </c>
      <c r="H21" s="16">
        <f>H20*(1-tpDecom2HCC-tpDecom2LRD-tpDecom2LT)+(G20*(1-prSVRcc)*tpCom2Decom)+L20*tpSRF42Decom</f>
        <v>0.9448378950942985</v>
      </c>
      <c r="I21" s="16">
        <f>I20*(1-tpHCC2LRD-tpHCC2LT)+H20*tpDecom2HCC+(G20*(1-prSVRcc)*tpCom2HCC)</f>
        <v>5.3843281692550135E-2</v>
      </c>
      <c r="J21" s="16">
        <f t="shared" si="9"/>
        <v>3.0603686161291783E-2</v>
      </c>
      <c r="K21" s="16">
        <f t="shared" si="10"/>
        <v>0.33861411731261959</v>
      </c>
      <c r="L21" s="16">
        <f t="shared" si="11"/>
        <v>27.54609701551674</v>
      </c>
      <c r="M21" s="16">
        <f t="shared" si="12"/>
        <v>4.5390056526285365</v>
      </c>
      <c r="N21" s="16">
        <f>N20+mr*(E20*(1-prSVRmi)+F20*(1-prSVRmo)+G20*(1-prSVRcc)+L20+O20+P20)</f>
        <v>24.717222586161419</v>
      </c>
      <c r="O21" s="16">
        <f t="shared" si="13"/>
        <v>293.84220294132501</v>
      </c>
      <c r="P21" s="16">
        <f t="shared" si="14"/>
        <v>44.727147570913047</v>
      </c>
      <c r="Q21" s="16">
        <f t="shared" si="15"/>
        <v>397</v>
      </c>
      <c r="R21" s="16">
        <f t="shared" si="0"/>
        <v>88532.612127833796</v>
      </c>
      <c r="S21" s="16">
        <f t="shared" si="8"/>
        <v>173.57288126675687</v>
      </c>
      <c r="T21">
        <f>(E21*(cPR+cMild)+F21*(cPR+cModerate)+G21*(cPR+cCom)+H21*(cDecom)+I21*(cHCC)+J21*(cLT+cLTC)+K21*cPLT+cSVR*SUM(K21,O21,P21))</f>
        <v>148323.0082118008</v>
      </c>
      <c r="U21">
        <f>(E21*uMild+F21*uModerate+G21*uCom+H21*uDecom+I21*uHCC+J21*uLT+K21*uPLT+L21*uSVRcc+O21*uSVRmi+P21*uSVRmo)</f>
        <v>290.79512368054452</v>
      </c>
    </row>
    <row r="22" spans="1:21" x14ac:dyDescent="0.2">
      <c r="A22" s="13">
        <v>16</v>
      </c>
      <c r="B22" s="2"/>
      <c r="C22" s="16">
        <f t="shared" si="1"/>
        <v>8.3129999999999992E-3</v>
      </c>
      <c r="D22" s="2"/>
      <c r="E22" s="16">
        <f>(E21*(1-prSVRmi))*(1-tpMi2Mo-mr)</f>
        <v>5.0070763229518979E-3</v>
      </c>
      <c r="F22" s="16">
        <f>F21*(1-prSVRmo)*(1-tpMo2Com-mr)+(E21*(1-prSVRmi)*tpMi2Mo)</f>
        <v>1.2363631041654397E-2</v>
      </c>
      <c r="G22" s="31">
        <f>(G21*(1-prSVRcc))*(1-tpCom2Decom-tpCom2HCC-mr)+(F21*(1-prSVRmo)*tpMo2Com)</f>
        <v>0.1613975848187324</v>
      </c>
      <c r="H22" s="16">
        <f>H21*(1-tpDecom2HCC-tpDecom2LRD-tpDecom2LT)+(G21*(1-prSVRcc)*tpCom2Decom)+L21*tpSRF42Decom</f>
        <v>0.87912601503616539</v>
      </c>
      <c r="I22" s="16">
        <f>I21*(1-tpHCC2LRD-tpHCC2LT)+H21*tpDecom2HCC+(G21*(1-prSVRcc)*tpCom2HCC)</f>
        <v>4.6318485588132376E-2</v>
      </c>
      <c r="J22" s="16">
        <f t="shared" si="9"/>
        <v>2.8345136852828953E-2</v>
      </c>
      <c r="K22" s="16">
        <f t="shared" si="10"/>
        <v>0.34349002469322076</v>
      </c>
      <c r="L22" s="16">
        <f t="shared" si="11"/>
        <v>27.282602183822899</v>
      </c>
      <c r="M22" s="16">
        <f t="shared" si="12"/>
        <v>4.7107149688992829</v>
      </c>
      <c r="N22" s="16">
        <f>N21+mr*(E21*(1-prSVRmi)+F21*(1-prSVRmo)+G21*(1-prSVRcc)+L21+O21+P21)</f>
        <v>27.7623150251525</v>
      </c>
      <c r="O22" s="16">
        <f t="shared" si="13"/>
        <v>291.40435229105498</v>
      </c>
      <c r="P22" s="16">
        <f t="shared" si="14"/>
        <v>44.363967576716696</v>
      </c>
      <c r="Q22" s="16">
        <f t="shared" si="15"/>
        <v>397</v>
      </c>
      <c r="R22" s="16">
        <f t="shared" si="0"/>
        <v>83459.629594691025</v>
      </c>
      <c r="S22" s="16">
        <f t="shared" si="8"/>
        <v>166.26208862954005</v>
      </c>
      <c r="T22">
        <f>(E22*(cPR+cMild)+F22*(cPR+cModerate)+G22*(cPR+cCom)+H22*(cDecom)+I22*(cHCC)+J22*(cLT+cLTC)+K22*cPLT+cSVR*SUM(K22,O22,P22))</f>
        <v>144717.83260645048</v>
      </c>
      <c r="U22">
        <f>(E22*uMild+F22*uModerate+G22*uCom+H22*uDecom+I22*uHCC+J22*uLT+K22*uPLT+L22*uSVRcc+O22*uSVRmi+P22*uSVRmo)</f>
        <v>288.29614063634864</v>
      </c>
    </row>
    <row r="23" spans="1:21" x14ac:dyDescent="0.2">
      <c r="A23" s="13">
        <v>17</v>
      </c>
      <c r="B23" s="2"/>
      <c r="C23" s="16">
        <f t="shared" si="1"/>
        <v>9.2230000000000003E-3</v>
      </c>
      <c r="D23" s="2"/>
      <c r="E23" s="16">
        <f>(E22*(1-prSVRmi))*(1-tpMi2Mo-mr)</f>
        <v>2.4949391188046868E-3</v>
      </c>
      <c r="F23" s="16">
        <f>F22*(1-prSVRmo)*(1-tpMo2Com-mr)+(E22*(1-prSVRmi)*tpMi2Mo)</f>
        <v>7.1090096419867315E-3</v>
      </c>
      <c r="G23" s="31">
        <f>(G22*(1-prSVRcc))*(1-tpCom2Decom-tpCom2HCC-mr)+(F22*(1-prSVRmo)*tpMo2Com)</f>
        <v>0.11361347312457917</v>
      </c>
      <c r="H23" s="16">
        <f>H22*(1-tpDecom2HCC-tpDecom2LRD-tpDecom2LT)+(G22*(1-prSVRcc)*tpCom2Decom)+L22*tpSRF42Decom</f>
        <v>0.82199553924087188</v>
      </c>
      <c r="I23" s="16">
        <f>I22*(1-tpHCC2LRD-tpHCC2LT)+H22*tpDecom2HCC+(G22*(1-prSVRcc)*tpCom2HCC)</f>
        <v>4.0401348005445148E-2</v>
      </c>
      <c r="J23" s="16">
        <f t="shared" si="9"/>
        <v>2.637378045108496E-2</v>
      </c>
      <c r="K23" s="16">
        <f t="shared" si="10"/>
        <v>0.34630375139944203</v>
      </c>
      <c r="L23" s="16">
        <f t="shared" si="11"/>
        <v>26.980387936713168</v>
      </c>
      <c r="M23" s="16">
        <f t="shared" si="12"/>
        <v>4.8704497098034896</v>
      </c>
      <c r="N23" s="16">
        <f>N22+mr*(E22*(1-prSVRmi)+F22*(1-prSVRmo)+G22*(1-prSVRcc)+L22+O22+P22)</f>
        <v>31.111940321285129</v>
      </c>
      <c r="O23" s="16">
        <f t="shared" si="13"/>
        <v>288.71915367712336</v>
      </c>
      <c r="P23" s="16">
        <f t="shared" si="14"/>
        <v>43.959776514092681</v>
      </c>
      <c r="Q23" s="16">
        <f t="shared" si="15"/>
        <v>397</v>
      </c>
      <c r="R23" s="16">
        <f t="shared" si="0"/>
        <v>78909.303125914812</v>
      </c>
      <c r="S23" s="16">
        <f t="shared" si="8"/>
        <v>159.11502907914073</v>
      </c>
      <c r="T23">
        <f>(E23*(cPR+cMild)+F23*(cPR+cModerate)+G23*(cPR+cCom)+H23*(cDecom)+I23*(cHCC)+J23*(cLT+cLTC)+K23*cPLT+cSVR*SUM(K23,O23,P23))</f>
        <v>141616.59708408304</v>
      </c>
      <c r="U23">
        <f>(E23*uMild+F23*uModerate+G23*uCom+H23*uDecom+I23*uHCC+J23*uLT+K23*uPLT+L23*uSVRcc+O23*uSVRmi+P23*uSVRmo)</f>
        <v>285.55985252038806</v>
      </c>
    </row>
    <row r="24" spans="1:21" x14ac:dyDescent="0.2">
      <c r="A24" s="13">
        <v>18</v>
      </c>
      <c r="B24" s="2"/>
      <c r="C24" s="16">
        <f t="shared" si="1"/>
        <v>1.0178E-2</v>
      </c>
      <c r="D24" s="2"/>
      <c r="E24" s="16">
        <f>(E23*(1-prSVRmi))*(1-tpMi2Mo-mr)</f>
        <v>1.2419554936308472E-3</v>
      </c>
      <c r="F24" s="16">
        <f>F23*(1-prSVRmo)*(1-tpMo2Com-mr)+(E23*(1-prSVRmi)*tpMi2Mo)</f>
        <v>4.0786255957981606E-3</v>
      </c>
      <c r="G24" s="31">
        <f>(G23*(1-prSVRcc))*(1-tpCom2Decom-tpCom2HCC-mr)+(F23*(1-prSVRmo)*tpMo2Com)</f>
        <v>7.9860059363355801E-2</v>
      </c>
      <c r="H24" s="16">
        <f>H23*(1-tpDecom2HCC-tpDecom2LRD-tpDecom2LT)+(G23*(1-prSVRcc)*tpCom2Decom)+L23*tpSRF42Decom</f>
        <v>0.77240085252379309</v>
      </c>
      <c r="I24" s="16">
        <f>I23*(1-tpHCC2LRD-tpHCC2LT)+H23*tpDecom2HCC+(G23*(1-prSVRcc)*tpCom2HCC)</f>
        <v>3.5727797697885033E-2</v>
      </c>
      <c r="J24" s="16">
        <f t="shared" si="9"/>
        <v>2.4659866177226156E-2</v>
      </c>
      <c r="K24" s="16">
        <f t="shared" si="10"/>
        <v>0.34739972412603093</v>
      </c>
      <c r="L24" s="16">
        <f t="shared" si="11"/>
        <v>26.644202541037181</v>
      </c>
      <c r="M24" s="16">
        <f t="shared" si="12"/>
        <v>5.0199595172716407</v>
      </c>
      <c r="N24" s="16">
        <f>N23+mr*(E23*(1-prSVRmi)+F23*(1-prSVRmo)+G23*(1-prSVRcc)+L23+O23+P23)</f>
        <v>34.773475110359335</v>
      </c>
      <c r="O24" s="16">
        <f t="shared" si="13"/>
        <v>285.78177783216614</v>
      </c>
      <c r="P24" s="16">
        <f t="shared" si="14"/>
        <v>43.515216118188</v>
      </c>
      <c r="Q24" s="16">
        <f t="shared" si="15"/>
        <v>397</v>
      </c>
      <c r="R24" s="16">
        <f t="shared" si="0"/>
        <v>74748.828924511865</v>
      </c>
      <c r="S24" s="16">
        <f t="shared" si="8"/>
        <v>152.13012357680691</v>
      </c>
      <c r="T24">
        <f>(E24*(cPR+cMild)+F24*(cPR+cModerate)+G24*(cPR+cCom)+H24*(cDecom)+I24*(cHCC)+J24*(cLT+cLTC)+K24*cPLT+cSVR*SUM(K24,O24,P24))</f>
        <v>138845.14210469995</v>
      </c>
      <c r="U24">
        <f>(E24*uMild+F24*uModerate+G24*uCom+H24*uDecom+I24*uHCC+J24*uLT+K24*uPLT+L24*uSVRcc+O24*uSVRmi+P24*uSVRmo)</f>
        <v>282.58006085632138</v>
      </c>
    </row>
    <row r="25" spans="1:21" x14ac:dyDescent="0.2">
      <c r="A25" s="13">
        <v>19</v>
      </c>
      <c r="B25" s="2"/>
      <c r="C25" s="16">
        <f t="shared" si="1"/>
        <v>1.0947E-2</v>
      </c>
      <c r="D25" s="2"/>
      <c r="E25" s="16">
        <f>(E24*(1-prSVRmi))*(1-tpMi2Mo-mr)</f>
        <v>6.1774014532373143E-4</v>
      </c>
      <c r="F25" s="16">
        <f>F24*(1-prSVRmo)*(1-tpMo2Com-mr)+(E24*(1-prSVRmi)*tpMi2Mo)</f>
        <v>2.3356972821987803E-3</v>
      </c>
      <c r="G25" s="31">
        <f>(G24*(1-prSVRcc))*(1-tpCom2Decom-tpCom2HCC-mr)+(F24*(1-prSVRmo)*tpMo2Com)</f>
        <v>5.6068156705324598E-2</v>
      </c>
      <c r="H25" s="16">
        <f>H24*(1-tpDecom2HCC-tpDecom2LRD-tpDecom2LT)+(G24*(1-prSVRcc)*tpCom2Decom)+L24*tpSRF42Decom</f>
        <v>0.72932702553251105</v>
      </c>
      <c r="I25" s="16">
        <f>I24*(1-tpHCC2LRD-tpHCC2LT)+H24*tpDecom2HCC+(G24*(1-prSVRcc)*tpCom2HCC)</f>
        <v>3.2015687085976588E-2</v>
      </c>
      <c r="J25" s="16">
        <f t="shared" si="9"/>
        <v>2.3172025575713791E-2</v>
      </c>
      <c r="K25" s="16">
        <f t="shared" si="10"/>
        <v>0.34707923413085584</v>
      </c>
      <c r="L25" s="16">
        <f t="shared" si="11"/>
        <v>26.283594702778952</v>
      </c>
      <c r="M25" s="16">
        <f t="shared" si="12"/>
        <v>5.1607149372822256</v>
      </c>
      <c r="N25" s="16">
        <f>N24+mr*(E24*(1-prSVRmi)+F24*(1-prSVRmo)+G24*(1-prSVRcc)+L24+O24+P24)</f>
        <v>38.670651729698555</v>
      </c>
      <c r="O25" s="16">
        <f t="shared" si="13"/>
        <v>282.65392589168096</v>
      </c>
      <c r="P25" s="16">
        <f t="shared" si="14"/>
        <v>43.040497172101439</v>
      </c>
      <c r="Q25" s="16">
        <f t="shared" si="15"/>
        <v>397.00000000000006</v>
      </c>
      <c r="R25" s="16">
        <f t="shared" si="0"/>
        <v>70903.319595130786</v>
      </c>
      <c r="S25" s="16">
        <f t="shared" si="8"/>
        <v>145.34023819192626</v>
      </c>
      <c r="T25">
        <f>(E25*(cPR+cMild)+F25*(cPR+cModerate)+G25*(cPR+cCom)+H25*(cDecom)+I25*(cHCC)+J25*(cLT+cLTC)+K25*cPLT+cSVR*SUM(K25,O25,P25))</f>
        <v>136311.72532671568</v>
      </c>
      <c r="U25">
        <f>(E25*uMild+F25*uModerate+G25*uCom+H25*uDecom+I25*uHCC+J25*uLT+K25*uPLT+L25*uSVRcc+O25*uSVRmi+P25*uSVRmo)</f>
        <v>279.41679938914768</v>
      </c>
    </row>
    <row r="26" spans="1:21" x14ac:dyDescent="0.2">
      <c r="A26" s="13">
        <v>20</v>
      </c>
      <c r="B26" s="2"/>
      <c r="C26" s="16">
        <f t="shared" si="1"/>
        <v>1.2024999999999999E-2</v>
      </c>
      <c r="D26" s="2"/>
      <c r="E26" s="16">
        <f>(E25*(1-prSVRmi))*(1-tpMi2Mo-mr)</f>
        <v>3.0691613536867765E-4</v>
      </c>
      <c r="F26" s="16">
        <f>F25*(1-prSVRmo)*(1-tpMo2Com-mr)+(E25*(1-prSVRmi)*tpMi2Mo)</f>
        <v>1.3348684830537185E-3</v>
      </c>
      <c r="G26" s="31">
        <f>(G25*(1-prSVRcc))*(1-tpCom2Decom-tpCom2HCC-mr)+(F25*(1-prSVRmo)*tpMo2Com)</f>
        <v>3.9307408422648238E-2</v>
      </c>
      <c r="H26" s="16">
        <f>H25*(1-tpDecom2HCC-tpDecom2LRD-tpDecom2LT)+(G25*(1-prSVRcc)*tpCom2Decom)+L25*tpSRF42Decom</f>
        <v>0.6918487801340738</v>
      </c>
      <c r="I26" s="16">
        <f>I25*(1-tpHCC2LRD-tpHCC2LT)+H25*tpDecom2HCC+(G25*(1-prSVRcc)*tpCom2HCC)</f>
        <v>2.9047322825106209E-2</v>
      </c>
      <c r="J26" s="16">
        <f t="shared" si="9"/>
        <v>2.1879810765975331E-2</v>
      </c>
      <c r="K26" s="16">
        <f t="shared" si="10"/>
        <v>0.34560161799021094</v>
      </c>
      <c r="L26" s="16">
        <f t="shared" si="11"/>
        <v>25.893829510544336</v>
      </c>
      <c r="M26" s="16">
        <f t="shared" si="12"/>
        <v>5.2939438377647816</v>
      </c>
      <c r="N26" s="16">
        <f>N25+mr*(E25*(1-prSVRmi)+F25*(1-prSVRmo)+G25*(1-prSVRcc)+L25+O25+P25)</f>
        <v>42.903712885100298</v>
      </c>
      <c r="O26" s="16">
        <f t="shared" si="13"/>
        <v>279.25531145636069</v>
      </c>
      <c r="P26" s="16">
        <f t="shared" si="14"/>
        <v>42.523875585473519</v>
      </c>
      <c r="Q26" s="16">
        <f t="shared" si="15"/>
        <v>397.00000000000011</v>
      </c>
      <c r="R26" s="16">
        <f t="shared" si="0"/>
        <v>67292.288964276304</v>
      </c>
      <c r="S26" s="16">
        <f t="shared" si="8"/>
        <v>138.70331950443733</v>
      </c>
      <c r="T26">
        <f>(E26*(cPR+cMild)+F26*(cPR+cModerate)+G26*(cPR+cCom)+H26*(cDecom)+I26*(cHCC)+J26*(cLT+cLTC)+K26*cPLT+cSVR*SUM(K26,O26,P26))</f>
        <v>133897.44717824241</v>
      </c>
      <c r="U26">
        <f>(E26*uMild+F26*uModerate+G26*uCom+H26*uDecom+I26*uHCC+J26*uLT+K26*uPLT+L26*uSVRcc+O26*uSVRmi+P26*uSVRmo)</f>
        <v>275.99032047567403</v>
      </c>
    </row>
    <row r="27" spans="1:21" x14ac:dyDescent="0.2">
      <c r="A27" s="13">
        <v>21</v>
      </c>
      <c r="B27" s="2"/>
      <c r="C27" s="16">
        <f t="shared" si="1"/>
        <v>1.333E-2</v>
      </c>
      <c r="D27" s="2"/>
      <c r="E27" s="16">
        <f>(E26*(1-prSVRmi))*(1-tpMi2Mo-mr)</f>
        <v>1.5228063241614964E-4</v>
      </c>
      <c r="F27" s="16">
        <f>F26*(1-prSVRmo)*(1-tpMo2Com-mr)+(E26*(1-prSVRmi)*tpMi2Mo)</f>
        <v>7.612517202788858E-4</v>
      </c>
      <c r="G27" s="31">
        <f>(G26*(1-prSVRcc))*(1-tpCom2Decom-tpCom2HCC-mr)+(F26*(1-prSVRmo)*tpMo2Com)</f>
        <v>2.75119375340405E-2</v>
      </c>
      <c r="H27" s="16">
        <f>H26*(1-tpDecom2HCC-tpDecom2LRD-tpDecom2LT)+(G26*(1-prSVRcc)*tpCom2Decom)+L26*tpSRF42Decom</f>
        <v>0.65910044195213724</v>
      </c>
      <c r="I27" s="16">
        <f>I26*(1-tpHCC2LRD-tpHCC2LT)+H26*tpDecom2HCC+(G26*(1-prSVRcc)*tpCom2HCC)</f>
        <v>2.6654944776968087E-2</v>
      </c>
      <c r="J27" s="16">
        <f t="shared" si="9"/>
        <v>2.0755463404022213E-2</v>
      </c>
      <c r="K27" s="16">
        <f t="shared" si="10"/>
        <v>0.34318737626988943</v>
      </c>
      <c r="L27" s="16">
        <f t="shared" si="11"/>
        <v>25.472051934970459</v>
      </c>
      <c r="M27" s="16">
        <f t="shared" si="12"/>
        <v>5.4206685804833041</v>
      </c>
      <c r="N27" s="16">
        <f>N26+mr*(E26*(1-prSVRmi)+F26*(1-prSVRmo)+G26*(1-prSVRcc)+L26+O26+P26)</f>
        <v>47.538599302757987</v>
      </c>
      <c r="O27" s="16">
        <f t="shared" si="13"/>
        <v>275.53298672058742</v>
      </c>
      <c r="P27" s="16">
        <f t="shared" si="14"/>
        <v>41.957569764911192</v>
      </c>
      <c r="Q27" s="16">
        <f t="shared" si="15"/>
        <v>397.00000000000006</v>
      </c>
      <c r="R27" s="16">
        <f t="shared" si="0"/>
        <v>63861.853877858091</v>
      </c>
      <c r="S27" s="16">
        <f t="shared" si="8"/>
        <v>132.19574002481929</v>
      </c>
      <c r="T27">
        <f>(E27*(cPR+cMild)+F27*(cPR+cModerate)+G27*(cPR+cCom)+H27*(cDecom)+I27*(cHCC)+J27*(cLT+cLTC)+K27*cPLT+cSVR*SUM(K27,O27,P27))</f>
        <v>131519.11184407052</v>
      </c>
      <c r="U27">
        <f>(E27*uMild+F27*uModerate+G27*uCom+H27*uDecom+I27*uHCC+J27*uLT+K27*uPLT+L27*uSVRcc+O27*uSVRmi+P27*uSVRmo)</f>
        <v>272.2480676944765</v>
      </c>
    </row>
    <row r="28" spans="1:21" x14ac:dyDescent="0.2">
      <c r="A28" s="13">
        <v>22</v>
      </c>
      <c r="B28" s="2"/>
      <c r="C28" s="16">
        <f t="shared" si="1"/>
        <v>1.4437E-2</v>
      </c>
      <c r="D28" s="2"/>
      <c r="E28" s="16">
        <f>(E27*(1-prSVRmi))*(1-tpMi2Mo-mr)</f>
        <v>7.5469141271682509E-5</v>
      </c>
      <c r="F28" s="16">
        <f>F27*(1-prSVRmo)*(1-tpMo2Com-mr)+(E27*(1-prSVRmi)*tpMi2Mo)</f>
        <v>4.333314622987053E-4</v>
      </c>
      <c r="G28" s="31">
        <f>(G27*(1-prSVRcc))*(1-tpCom2Decom-tpCom2HCC-mr)+(F27*(1-prSVRmo)*tpMo2Com)</f>
        <v>1.9229451457539092E-2</v>
      </c>
      <c r="H28" s="16">
        <f>H27*(1-tpDecom2HCC-tpDecom2LRD-tpDecom2LT)+(G27*(1-prSVRcc)*tpCom2Decom)+L27*tpSRF42Decom</f>
        <v>0.63029709494532782</v>
      </c>
      <c r="I28" s="16">
        <f>I27*(1-tpHCC2LRD-tpHCC2LT)+H27*tpDecom2HCC+(G27*(1-prSVRcc)*tpCom2HCC)</f>
        <v>2.4709152146633957E-2</v>
      </c>
      <c r="J28" s="16">
        <f t="shared" si="9"/>
        <v>1.9773013258564117E-2</v>
      </c>
      <c r="K28" s="16">
        <f t="shared" si="10"/>
        <v>0.34002251191168326</v>
      </c>
      <c r="L28" s="16">
        <f t="shared" si="11"/>
        <v>25.026145245511373</v>
      </c>
      <c r="M28" s="16">
        <f t="shared" si="12"/>
        <v>5.5417335919534061</v>
      </c>
      <c r="N28" s="16">
        <f>N27+mr*(E27*(1-prSVRmi)+F27*(1-prSVRmo)+G27*(1-prSVRcc)+L27+O27+P27)</f>
        <v>52.490255610649037</v>
      </c>
      <c r="O28" s="16">
        <f t="shared" si="13"/>
        <v>271.55519070432251</v>
      </c>
      <c r="P28" s="16">
        <f t="shared" si="14"/>
        <v>41.352134823240462</v>
      </c>
      <c r="Q28" s="16">
        <f t="shared" si="15"/>
        <v>397.00000000000011</v>
      </c>
      <c r="R28" s="16">
        <f t="shared" si="0"/>
        <v>60596.72793383785</v>
      </c>
      <c r="S28" s="16">
        <f t="shared" si="8"/>
        <v>125.85300085690689</v>
      </c>
      <c r="T28">
        <f>(E28*(cPR+cMild)+F28*(cPR+cModerate)+G28*(cPR+cCom)+H28*(cDecom)+I28*(cHCC)+J28*(cLT+cLTC)+K28*cPLT+cSVR*SUM(K28,O28,P28))</f>
        <v>129162.62701423188</v>
      </c>
      <c r="U28">
        <f>(E28*uMild+F28*uModerate+G28*uCom+H28*uDecom+I28*uHCC+J28*uLT+K28*uPLT+L28*uSVRcc+O28*uSVRmi+P28*uSVRmo)</f>
        <v>268.25712810848364</v>
      </c>
    </row>
    <row r="29" spans="1:21" x14ac:dyDescent="0.2">
      <c r="A29" s="13">
        <v>23</v>
      </c>
      <c r="B29" s="2"/>
      <c r="C29" s="16">
        <f t="shared" si="1"/>
        <v>1.5740000000000001E-2</v>
      </c>
      <c r="D29" s="2"/>
      <c r="E29" s="16">
        <f>(E28*(1-prSVRmi))*(1-tpMi2Mo-mr)</f>
        <v>3.735120577355871E-5</v>
      </c>
      <c r="F29" s="16">
        <f>F28*(1-prSVRmo)*(1-tpMo2Com-mr)+(E28*(1-prSVRmi)*tpMi2Mo)</f>
        <v>2.4618567855835187E-4</v>
      </c>
      <c r="G29" s="31">
        <f>(G28*(1-prSVRcc))*(1-tpCom2Decom-tpCom2HCC-mr)+(F28*(1-prSVRmo)*tpMo2Com)</f>
        <v>1.3419467597215741E-2</v>
      </c>
      <c r="H29" s="16">
        <f>H28*(1-tpDecom2HCC-tpDecom2LRD-tpDecom2LT)+(G28*(1-prSVRcc)*tpCom2Decom)+L28*tpSRF42Decom</f>
        <v>0.60477431489092881</v>
      </c>
      <c r="I29" s="16">
        <f>I28*(1-tpHCC2LRD-tpHCC2LT)+H28*tpDecom2HCC+(G28*(1-prSVRcc)*tpCom2HCC)</f>
        <v>2.3109972228331884E-2</v>
      </c>
      <c r="J29" s="16">
        <f t="shared" si="9"/>
        <v>1.8908912848359834E-2</v>
      </c>
      <c r="K29" s="16">
        <f t="shared" si="10"/>
        <v>0.33626190920698296</v>
      </c>
      <c r="L29" s="16">
        <f t="shared" si="11"/>
        <v>24.55347611886199</v>
      </c>
      <c r="M29" s="16">
        <f t="shared" si="12"/>
        <v>5.6578307656826157</v>
      </c>
      <c r="N29" s="16">
        <f>N28+mr*(E28*(1-prSVRmi)+F28*(1-prSVRmo)+G28*(1-prSVRcc)+L28+O28+P28)</f>
        <v>57.80955977972544</v>
      </c>
      <c r="O29" s="16">
        <f t="shared" si="13"/>
        <v>267.28094853425739</v>
      </c>
      <c r="P29" s="16">
        <f t="shared" si="14"/>
        <v>40.701426687816522</v>
      </c>
      <c r="Q29" s="16">
        <f t="shared" si="15"/>
        <v>397.00000000000011</v>
      </c>
      <c r="R29" s="16">
        <f t="shared" si="0"/>
        <v>57466.567385730501</v>
      </c>
      <c r="S29" s="16">
        <f t="shared" si="8"/>
        <v>119.656958947665</v>
      </c>
      <c r="T29">
        <f>(E29*(cPR+cMild)+F29*(cPR+cModerate)+G29*(cPR+cCom)+H29*(cDecom)+I29*(cHCC)+J29*(cLT+cLTC)+K29*cPLT+cSVR*SUM(K29,O29,P29))</f>
        <v>126777.82644857197</v>
      </c>
      <c r="U29">
        <f>(E29*uMild+F29*uModerate+G29*uCom+H29*uDecom+I29*uHCC+J29*uLT+K29*uPLT+L29*uSVRcc+O29*uSVRmi+P29*uSVRmo)</f>
        <v>263.97694981513359</v>
      </c>
    </row>
    <row r="30" spans="1:21" x14ac:dyDescent="0.2">
      <c r="A30" s="13">
        <v>24</v>
      </c>
      <c r="B30" s="2"/>
      <c r="C30" s="16">
        <f t="shared" si="1"/>
        <v>1.7288999999999999E-2</v>
      </c>
      <c r="D30" s="2"/>
      <c r="E30" s="16">
        <f>(E29*(1-prSVRmi))*(1-tpMi2Mo-mr)</f>
        <v>1.8456017127830076E-5</v>
      </c>
      <c r="F30" s="16">
        <f>F29*(1-prSVRmo)*(1-tpMo2Com-mr)+(E29*(1-prSVRmi)*tpMi2Mo)</f>
        <v>1.3956474221573842E-4</v>
      </c>
      <c r="G30" s="31">
        <f>(G29*(1-prSVRcc))*(1-tpCom2Decom-tpCom2HCC-mr)+(F29*(1-prSVRmo)*tpMo2Com)</f>
        <v>9.3481029608003252E-3</v>
      </c>
      <c r="H30" s="16">
        <f>H29*(1-tpDecom2HCC-tpDecom2LRD-tpDecom2LT)+(G29*(1-prSVRcc)*tpCom2Decom)+L29*tpSRF42Decom</f>
        <v>0.58194410515398309</v>
      </c>
      <c r="I30" s="16">
        <f>I29*(1-tpHCC2LRD-tpHCC2LT)+H29*tpDecom2HCC+(G29*(1-prSVRcc)*tpCom2HCC)</f>
        <v>2.1780210512957452E-2</v>
      </c>
      <c r="J30" s="16">
        <f t="shared" si="9"/>
        <v>1.8143229446727863E-2</v>
      </c>
      <c r="K30" s="16">
        <f t="shared" si="10"/>
        <v>0.33203302153238917</v>
      </c>
      <c r="L30" s="16">
        <f t="shared" si="11"/>
        <v>24.050332932293539</v>
      </c>
      <c r="M30" s="16">
        <f t="shared" si="12"/>
        <v>5.7695265151995718</v>
      </c>
      <c r="N30" s="16">
        <f>N29+mr*(E29*(1-prSVRmi)+F29*(1-prSVRmo)+G29*(1-prSVRcc)+L29+O29+P29)</f>
        <v>63.558948726457515</v>
      </c>
      <c r="O30" s="16">
        <f t="shared" si="13"/>
        <v>262.65994629528734</v>
      </c>
      <c r="P30" s="16">
        <f t="shared" si="14"/>
        <v>39.997838840395943</v>
      </c>
      <c r="Q30" s="16">
        <f t="shared" si="15"/>
        <v>397.00000000000011</v>
      </c>
      <c r="R30" s="16">
        <f t="shared" si="0"/>
        <v>54446.206129447397</v>
      </c>
      <c r="S30" s="16">
        <f t="shared" si="8"/>
        <v>113.58762209135044</v>
      </c>
      <c r="T30">
        <f>(E30*(cPR+cMild)+F30*(cPR+cModerate)+G30*(cPR+cCom)+H30*(cDecom)+I30*(cHCC)+J30*(cLT+cLTC)+K30*cPLT+cSVR*SUM(K30,O30,P30))</f>
        <v>124318.57347612167</v>
      </c>
      <c r="U30">
        <f>(E30*uMild+F30*uModerate+G30*uCom+H30*uDecom+I30*uHCC+J30*uLT+K30*uPLT+L30*uSVRcc+O30*uSVRmi+P30*uSVRmo)</f>
        <v>259.35785331613909</v>
      </c>
    </row>
    <row r="31" spans="1:21" x14ac:dyDescent="0.2">
      <c r="A31" s="13">
        <v>25</v>
      </c>
      <c r="B31" s="2"/>
      <c r="C31" s="16">
        <f t="shared" si="1"/>
        <v>1.8286E-2</v>
      </c>
      <c r="D31" s="2"/>
      <c r="E31" s="16">
        <f>(E30*(1-prSVRmi))*(1-tpMi2Mo-mr)</f>
        <v>9.1100129935168333E-6</v>
      </c>
      <c r="F31" s="16">
        <f>F30*(1-prSVRmo)*(1-tpMo2Com-mr)+(E30*(1-prSVRmi)*tpMi2Mo)</f>
        <v>7.9002241574360315E-5</v>
      </c>
      <c r="G31" s="31">
        <f>(G30*(1-prSVRcc))*(1-tpCom2Decom-tpCom2HCC-mr)+(F30*(1-prSVRmo)*tpMo2Com)</f>
        <v>6.5042744985022508E-3</v>
      </c>
      <c r="H31" s="16">
        <f>H30*(1-tpDecom2HCC-tpDecom2LRD-tpDecom2LT)+(G30*(1-prSVRcc)*tpCom2Decom)+L30*tpSRF42Decom</f>
        <v>0.56128695090021075</v>
      </c>
      <c r="I31" s="16">
        <f>I30*(1-tpHCC2LRD-tpHCC2LT)+H30*tpDecom2HCC+(G30*(1-prSVRcc)*tpCom2HCC)</f>
        <v>2.065994035398367E-2</v>
      </c>
      <c r="J31" s="16">
        <f t="shared" si="9"/>
        <v>1.7458323154619492E-2</v>
      </c>
      <c r="K31" s="16">
        <f t="shared" si="10"/>
        <v>0.32744029056795798</v>
      </c>
      <c r="L31" s="16">
        <f t="shared" si="11"/>
        <v>23.532568328871832</v>
      </c>
      <c r="M31" s="16">
        <f t="shared" si="12"/>
        <v>5.8772806998013207</v>
      </c>
      <c r="N31" s="16">
        <f>N30+mr*(E30*(1-prSVRmi)+F30*(1-prSVRmo)+G30*(1-prSVRcc)+L30+O30+P30)</f>
        <v>69.533263077914597</v>
      </c>
      <c r="O31" s="16">
        <f t="shared" si="13"/>
        <v>257.85695545115834</v>
      </c>
      <c r="P31" s="16">
        <f t="shared" si="14"/>
        <v>39.266494550524207</v>
      </c>
      <c r="Q31" s="16">
        <f t="shared" si="15"/>
        <v>397.00000000000017</v>
      </c>
      <c r="R31" s="16">
        <f t="shared" si="0"/>
        <v>51555.4832109786</v>
      </c>
      <c r="S31" s="16">
        <f t="shared" si="8"/>
        <v>107.71722854379384</v>
      </c>
      <c r="T31">
        <f>(E31*(cPR+cMild)+F31*(cPR+cModerate)+G31*(cPR+cCom)+H31*(cDecom)+I31*(cHCC)+J31*(cLT+cLTC)+K31*cPLT+cSVR*SUM(K31,O31,P31))</f>
        <v>121838.23710980876</v>
      </c>
      <c r="U31">
        <f>(E31*uMild+F31*uModerate+G31*uCom+H31*uDecom+I31*uHCC+J31*uLT+K31*uPLT+L31*uSVRcc+O31*uSVRmi+P31*uSVRmo)</f>
        <v>254.56220007526719</v>
      </c>
    </row>
    <row r="32" spans="1:21" x14ac:dyDescent="0.2">
      <c r="A32" s="13">
        <v>26</v>
      </c>
      <c r="B32" s="2"/>
      <c r="C32" s="16">
        <f t="shared" si="1"/>
        <v>2.0275999999999999E-2</v>
      </c>
      <c r="D32" s="2"/>
      <c r="E32" s="16">
        <f>(E31*(1-prSVRmi))*(1-tpMi2Mo-mr)</f>
        <v>4.4874096660320074E-6</v>
      </c>
      <c r="F32" s="16">
        <f>F31*(1-prSVRmo)*(1-tpMo2Com-mr)+(E31*(1-prSVRmi)*tpMi2Mo)</f>
        <v>4.4608969973739313E-5</v>
      </c>
      <c r="G32" s="31">
        <f>(G31*(1-prSVRcc))*(1-tpCom2Decom-tpCom2HCC-mr)+(F31*(1-prSVRmo)*tpMo2Com)</f>
        <v>4.5154871351813725E-3</v>
      </c>
      <c r="H32" s="16">
        <f>H31*(1-tpDecom2HCC-tpDecom2LRD-tpDecom2LT)+(G31*(1-prSVRcc)*tpCom2Decom)+L31*tpSRF42Decom</f>
        <v>0.54241175470416647</v>
      </c>
      <c r="I32" s="16">
        <f>I31*(1-tpHCC2LRD-tpHCC2LT)+H31*tpDecom2HCC+(G31*(1-prSVRcc)*tpCom2HCC)</f>
        <v>1.9702372303867143E-2</v>
      </c>
      <c r="J32" s="16">
        <f t="shared" si="9"/>
        <v>1.6838608527006322E-2</v>
      </c>
      <c r="K32" s="16">
        <f t="shared" si="10"/>
        <v>0.32256826929773375</v>
      </c>
      <c r="L32" s="16">
        <f t="shared" si="11"/>
        <v>22.978456827609019</v>
      </c>
      <c r="M32" s="16">
        <f t="shared" si="12"/>
        <v>5.9814621221954045</v>
      </c>
      <c r="N32" s="16">
        <f>N31+mr*(E31*(1-prSVRmi)+F31*(1-prSVRmo)+G31*(1-prSVRcc)+L31+O31+P31)</f>
        <v>76.034984314943202</v>
      </c>
      <c r="O32" s="16">
        <f t="shared" si="13"/>
        <v>252.62865223222698</v>
      </c>
      <c r="P32" s="16">
        <f t="shared" si="14"/>
        <v>38.470358914677952</v>
      </c>
      <c r="Q32" s="16">
        <f t="shared" si="15"/>
        <v>397.00000000000011</v>
      </c>
      <c r="R32" s="16">
        <f t="shared" si="0"/>
        <v>48740.509625348372</v>
      </c>
      <c r="S32" s="16">
        <f t="shared" si="8"/>
        <v>101.9437459035538</v>
      </c>
      <c r="T32">
        <f>(E32*(cPR+cMild)+F32*(cPR+cModerate)+G32*(cPR+cCom)+H32*(cDecom)+I32*(cHCC)+J32*(cLT+cLTC)+K32*cPLT+cSVR*SUM(K32,O32,P32))</f>
        <v>119217.26667431925</v>
      </c>
      <c r="U32">
        <f>(E32*uMild+F32*uModerate+G32*uCom+H32*uDecom+I32*uHCC+J32*uLT+K32*uPLT+L32*uSVRcc+O32*uSVRmi+P32*uSVRmo)</f>
        <v>249.35017780040596</v>
      </c>
    </row>
    <row r="33" spans="1:23" x14ac:dyDescent="0.2">
      <c r="A33" s="13">
        <v>27</v>
      </c>
      <c r="B33" s="2"/>
      <c r="C33" s="16">
        <f t="shared" si="1"/>
        <v>2.2325999999999999E-2</v>
      </c>
      <c r="D33" s="2"/>
      <c r="E33" s="16">
        <f>(E32*(1-prSVRmi))*(1-tpMi2Mo-mr)</f>
        <v>2.2056617635692555E-6</v>
      </c>
      <c r="F33" s="16">
        <f>F32*(1-prSVRmo)*(1-tpMo2Com-mr)+(E32*(1-prSVRmi)*tpMi2Mo)</f>
        <v>2.5125556090263333E-5</v>
      </c>
      <c r="G33" s="31">
        <f>(G32*(1-prSVRcc))*(1-tpCom2Decom-tpCom2HCC-mr)+(F32*(1-prSVRmo)*tpMo2Com)</f>
        <v>3.1276456785859458E-3</v>
      </c>
      <c r="H33" s="16">
        <f>H32*(1-tpDecom2HCC-tpDecom2LRD-tpDecom2LT)+(G32*(1-prSVRcc)*tpCom2Decom)+L32*tpSRF42Decom</f>
        <v>0.52491202839867168</v>
      </c>
      <c r="I33" s="16">
        <f>I32*(1-tpHCC2LRD-tpHCC2LT)+H32*tpDecom2HCC+(G32*(1-prSVRcc)*tpCom2HCC)</f>
        <v>1.8871455879663265E-2</v>
      </c>
      <c r="J33" s="16">
        <f t="shared" si="9"/>
        <v>1.6272352641124994E-2</v>
      </c>
      <c r="K33" s="16">
        <f t="shared" si="10"/>
        <v>0.3174843786840979</v>
      </c>
      <c r="L33" s="16">
        <f t="shared" si="11"/>
        <v>22.38982587747817</v>
      </c>
      <c r="M33" s="16">
        <f t="shared" si="12"/>
        <v>6.0823701695382502</v>
      </c>
      <c r="N33" s="16">
        <f>N32+mr*(E32*(1-prSVRmi)+F32*(1-prSVRmo)+G32*(1-prSVRcc)+L32+O32+P32)</f>
        <v>83.047154003929435</v>
      </c>
      <c r="O33" s="16">
        <f t="shared" si="13"/>
        <v>246.98846711466749</v>
      </c>
      <c r="P33" s="16">
        <f t="shared" si="14"/>
        <v>37.611487641886804</v>
      </c>
      <c r="Q33" s="16">
        <f t="shared" si="15"/>
        <v>397.00000000000011</v>
      </c>
      <c r="R33" s="16">
        <f t="shared" si="0"/>
        <v>45999.312485549875</v>
      </c>
      <c r="S33" s="16">
        <f t="shared" si="8"/>
        <v>96.278342877724612</v>
      </c>
      <c r="T33">
        <f>(E33*(cPR+cMild)+F33*(cPR+cModerate)+G33*(cPR+cCom)+H33*(cDecom)+I33*(cHCC)+J33*(cLT+cLTC)+K33*cPLT+cSVR*SUM(K33,O33,P33))</f>
        <v>116450.34649151875</v>
      </c>
      <c r="U33">
        <f>(E33*uMild+F33*uModerate+G33*uCom+H33*uDecom+I33*uHCC+J33*uLT+K33*uPLT+L33*uSVRcc+O33*uSVRmi+P33*uSVRmo)</f>
        <v>243.73508606812939</v>
      </c>
    </row>
    <row r="34" spans="1:23" x14ac:dyDescent="0.2">
      <c r="A34" s="13">
        <v>28</v>
      </c>
      <c r="B34" s="2"/>
      <c r="C34" s="16">
        <f t="shared" si="1"/>
        <v>2.5499999999999998E-2</v>
      </c>
      <c r="D34" s="2"/>
      <c r="E34" s="16">
        <f>(E33*(1-prSVRmi))*(1-tpMi2Mo-mr)</f>
        <v>1.0805198912525004E-6</v>
      </c>
      <c r="F34" s="16">
        <f>F33*(1-prSVRmo)*(1-tpMo2Com-mr)+(E33*(1-prSVRmi)*tpMi2Mo)</f>
        <v>1.4099926650613062E-5</v>
      </c>
      <c r="G34" s="31">
        <f>(G33*(1-prSVRcc))*(1-tpCom2Decom-tpCom2HCC-mr)+(F33*(1-prSVRmo)*tpMo2Com)</f>
        <v>2.158797873925112E-3</v>
      </c>
      <c r="H34" s="16">
        <f>H33*(1-tpDecom2HCC-tpDecom2LRD-tpDecom2LT)+(G33*(1-prSVRcc)*tpCom2Decom)+L33*tpSRF42Decom</f>
        <v>0.50845069567675671</v>
      </c>
      <c r="I34" s="16">
        <f>I33*(1-tpHCC2LRD-tpHCC2LT)+H33*tpDecom2HCC+(G33*(1-prSVRcc)*tpCom2HCC)</f>
        <v>1.8138287609027328E-2</v>
      </c>
      <c r="J34" s="16">
        <f t="shared" si="9"/>
        <v>1.574736085196015E-2</v>
      </c>
      <c r="K34" s="16">
        <f t="shared" si="10"/>
        <v>0.31224292768559303</v>
      </c>
      <c r="L34" s="16">
        <f t="shared" si="11"/>
        <v>21.744888847704726</v>
      </c>
      <c r="M34" s="16">
        <f t="shared" si="12"/>
        <v>6.1802372628979629</v>
      </c>
      <c r="N34" s="16">
        <f>N33+mr*(E33*(1-prSVRmi)+F33*(1-prSVRmo)+G33*(1-prSVRcc)+L33+O33+P33)</f>
        <v>90.875453545337351</v>
      </c>
      <c r="O34" s="16">
        <f t="shared" si="13"/>
        <v>240.69026227091692</v>
      </c>
      <c r="P34" s="16">
        <f t="shared" si="14"/>
        <v>36.65240482299938</v>
      </c>
      <c r="Q34" s="16">
        <f t="shared" si="15"/>
        <v>397.00000000000011</v>
      </c>
      <c r="R34" s="16">
        <f t="shared" si="0"/>
        <v>43287.808550061673</v>
      </c>
      <c r="S34" s="16">
        <f t="shared" si="8"/>
        <v>90.633204315101423</v>
      </c>
      <c r="T34">
        <f>(E34*(cPR+cMild)+F34*(cPR+cModerate)+G34*(cPR+cCom)+H34*(cDecom)+I34*(cHCC)+J34*(cLT+cLTC)+K34*cPLT+cSVR*SUM(K34,O34,P34))</f>
        <v>113421.50204549529</v>
      </c>
      <c r="U34">
        <f>(E34*uMild+F34*uModerate+G34*uCom+H34*uDecom+I34*uHCC+J34*uLT+K34*uPLT+L34*uSVRcc+O34*uSVRmi+P34*uSVRmo)</f>
        <v>237.47458032500521</v>
      </c>
    </row>
    <row r="35" spans="1:23" x14ac:dyDescent="0.2">
      <c r="A35" s="13">
        <v>29</v>
      </c>
      <c r="B35" s="2"/>
      <c r="C35" s="16">
        <f t="shared" si="1"/>
        <v>2.8122999999999999E-2</v>
      </c>
      <c r="D35" s="2"/>
      <c r="E35" s="16">
        <f>(E34*(1-prSVRmi))*(1-tpMi2Mo-mr)</f>
        <v>5.2786785535300313E-7</v>
      </c>
      <c r="F35" s="16">
        <f>F34*(1-prSVRmo)*(1-tpMo2Com-mr)+(E34*(1-prSVRmi)*tpMi2Mo)</f>
        <v>7.8884564017472597E-6</v>
      </c>
      <c r="G35" s="31">
        <f>(G34*(1-prSVRcc))*(1-tpCom2Decom-tpCom2HCC-mr)+(F34*(1-prSVRmo)*tpMo2Com)</f>
        <v>1.4857571453333412E-3</v>
      </c>
      <c r="H35" s="16">
        <f>H34*(1-tpDecom2HCC-tpDecom2LRD-tpDecom2LT)+(G34*(1-prSVRcc)*tpCom2Decom)+L34*tpSRF42Decom</f>
        <v>0.49267125031066528</v>
      </c>
      <c r="I35" s="16">
        <f>I34*(1-tpHCC2LRD-tpHCC2LT)+H34*tpDecom2HCC+(G34*(1-prSVRcc)*tpCom2HCC)</f>
        <v>1.7479765908020858E-2</v>
      </c>
      <c r="J35" s="16">
        <f t="shared" si="9"/>
        <v>1.5253520870302701E-2</v>
      </c>
      <c r="K35" s="16">
        <f t="shared" si="10"/>
        <v>0.30688549588056269</v>
      </c>
      <c r="L35" s="16">
        <f t="shared" si="11"/>
        <v>21.061271619806124</v>
      </c>
      <c r="M35" s="16">
        <f t="shared" si="12"/>
        <v>6.2752401096648134</v>
      </c>
      <c r="N35" s="16">
        <f>N34+mr*(E34*(1-prSVRmi)+F34*(1-prSVRmo)+G34*(1-prSVRcc)+L34+O34+P34)</f>
        <v>99.286738596946321</v>
      </c>
      <c r="O35" s="16">
        <f t="shared" si="13"/>
        <v>233.92133054810878</v>
      </c>
      <c r="P35" s="16">
        <f t="shared" si="14"/>
        <v>35.621634919034953</v>
      </c>
      <c r="Q35" s="16">
        <f t="shared" si="15"/>
        <v>397.00000000000011</v>
      </c>
      <c r="R35" s="16">
        <f t="shared" si="0"/>
        <v>40637.710767766861</v>
      </c>
      <c r="S35" s="16">
        <f t="shared" si="8"/>
        <v>85.089858047520522</v>
      </c>
      <c r="T35">
        <f>(E35*(cPR+cMild)+F35*(cPR+cModerate)+G35*(cPR+cCom)+H35*(cDecom)+I35*(cHCC)+J35*(cLT+cLTC)+K35*cPLT+cSVR*SUM(K35,O35,P35))</f>
        <v>110204.51280820694</v>
      </c>
      <c r="U35">
        <f>(E35*uMild+F35*uModerate+G35*uCom+H35*uDecom+I35*uHCC+J35*uLT+K35*uPLT+L35*uSVRcc+O35*uSVRmi+P35*uSVRmo)</f>
        <v>230.75331198243552</v>
      </c>
    </row>
    <row r="36" spans="1:23" x14ac:dyDescent="0.2">
      <c r="A36" s="13">
        <v>30</v>
      </c>
      <c r="B36" s="2"/>
      <c r="C36" s="16">
        <f t="shared" si="1"/>
        <v>3.1401999999999999E-2</v>
      </c>
      <c r="D36" s="2"/>
      <c r="E36" s="16">
        <f>(E35*(1-prSVRmi))*(1-tpMi2Mo-mr)</f>
        <v>2.5698697401933698E-7</v>
      </c>
      <c r="F36" s="16">
        <f>F35*(1-prSVRmo)*(1-tpMo2Com-mr)+(E35*(1-prSVRmi)*tpMi2Mo)</f>
        <v>4.3968974641154297E-6</v>
      </c>
      <c r="G36" s="31">
        <f>(G35*(1-prSVRcc))*(1-tpCom2Decom-tpCom2HCC-mr)+(F35*(1-prSVRmo)*tpMo2Com)</f>
        <v>1.0188596158176848E-3</v>
      </c>
      <c r="H36" s="16">
        <f>H35*(1-tpDecom2HCC-tpDecom2LRD-tpDecom2LT)+(G35*(1-prSVRcc)*tpCom2Decom)+L35*tpSRF42Decom</f>
        <v>0.47733449098004821</v>
      </c>
      <c r="I36" s="16">
        <f>I35*(1-tpHCC2LRD-tpHCC2LT)+H35*tpDecom2HCC+(G35*(1-prSVRcc)*tpCom2HCC)</f>
        <v>1.6876440333100883E-2</v>
      </c>
      <c r="J36" s="16">
        <f t="shared" si="9"/>
        <v>1.4780137509319958E-2</v>
      </c>
      <c r="K36" s="16">
        <f t="shared" si="10"/>
        <v>0.3014433041029097</v>
      </c>
      <c r="L36" s="16">
        <f t="shared" si="11"/>
        <v>20.329934088251889</v>
      </c>
      <c r="M36" s="16">
        <f t="shared" si="12"/>
        <v>6.3674993841936045</v>
      </c>
      <c r="N36" s="16">
        <f>N35+mr*(E35*(1-prSVRmi)+F35*(1-prSVRmo)+G35*(1-prSVRcc)+L35+O35+P35)</f>
        <v>108.41232794403649</v>
      </c>
      <c r="O36" s="16">
        <f t="shared" si="13"/>
        <v>226.57573318175699</v>
      </c>
      <c r="P36" s="16">
        <f t="shared" si="14"/>
        <v>34.503047515335531</v>
      </c>
      <c r="Q36" s="16">
        <f t="shared" si="15"/>
        <v>397.00000000000011</v>
      </c>
      <c r="R36" s="16">
        <f t="shared" si="0"/>
        <v>38031.887554810135</v>
      </c>
      <c r="S36" s="16">
        <f t="shared" si="8"/>
        <v>79.616514497253291</v>
      </c>
      <c r="T36">
        <f>(E36*(cPR+cMild)+F36*(cPR+cModerate)+G36*(cPR+cCom)+H36*(cDecom)+I36*(cHCC)+J36*(cLT+cLTC)+K36*cPLT+cSVR*SUM(K36,O36,P36))</f>
        <v>106747.66256679928</v>
      </c>
      <c r="U36">
        <f>(E36*uMild+F36*uModerate+G36*uCom+H36*uDecom+I36*uHCC+J36*uLT+K36*uPLT+L36*uSVRcc+O36*uSVRmi+P36*uSVRmo)</f>
        <v>223.46713168125598</v>
      </c>
    </row>
    <row r="37" spans="1:23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 t="s">
        <v>145</v>
      </c>
      <c r="S37" s="2" t="s">
        <v>110</v>
      </c>
    </row>
    <row r="38" spans="1:23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16">
        <f>SUM(R6:R36)/Q6</f>
        <v>42887.962684114173</v>
      </c>
      <c r="S38" s="38">
        <f>SUM(S7:S36)/Q7</f>
        <v>13.337018523543652</v>
      </c>
      <c r="T38">
        <f>SUM(T6:T36)/Q6</f>
        <v>48396.763479132103</v>
      </c>
      <c r="U38">
        <f>SUM(U7:U36)/Q6</f>
        <v>21.2555408244333</v>
      </c>
      <c r="W38">
        <f ca="1">SUM(W38)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60794-EC12-4C48-9C2B-FE2060FA4051}">
  <sheetPr codeName="Worksheet___5"/>
  <dimension ref="A1:U66"/>
  <sheetViews>
    <sheetView zoomScale="80" zoomScaleNormal="80" workbookViewId="0">
      <selection activeCell="U7" sqref="U7"/>
    </sheetView>
  </sheetViews>
  <sheetFormatPr baseColWidth="10" defaultRowHeight="16" x14ac:dyDescent="0.2"/>
  <cols>
    <col min="1" max="1" width="11" bestFit="1" customWidth="1"/>
    <col min="2" max="2" width="5.83203125" customWidth="1"/>
    <col min="3" max="3" width="16.5" customWidth="1"/>
    <col min="5" max="6" width="11" bestFit="1" customWidth="1"/>
    <col min="7" max="7" width="15.83203125" customWidth="1"/>
    <col min="8" max="8" width="17.1640625" customWidth="1"/>
    <col min="9" max="13" width="11" bestFit="1" customWidth="1"/>
    <col min="14" max="14" width="17.5" customWidth="1"/>
    <col min="15" max="17" width="11" bestFit="1" customWidth="1"/>
    <col min="18" max="18" width="13.83203125" bestFit="1" customWidth="1"/>
    <col min="19" max="19" width="18.33203125" customWidth="1"/>
  </cols>
  <sheetData>
    <row r="1" spans="1:21" x14ac:dyDescent="0.2">
      <c r="A1" s="2" t="s">
        <v>55</v>
      </c>
      <c r="B1" s="2"/>
      <c r="C1" s="2"/>
    </row>
    <row r="4" spans="1:21" x14ac:dyDescent="0.2">
      <c r="A4" s="39" t="s">
        <v>52</v>
      </c>
      <c r="B4" s="2"/>
      <c r="C4" s="4" t="s">
        <v>54</v>
      </c>
      <c r="D4" s="2"/>
      <c r="E4" s="22" t="s">
        <v>58</v>
      </c>
      <c r="F4" s="22" t="s">
        <v>59</v>
      </c>
      <c r="G4" s="22" t="s">
        <v>20</v>
      </c>
      <c r="H4" s="22" t="s">
        <v>60</v>
      </c>
      <c r="I4" s="22" t="s">
        <v>14</v>
      </c>
      <c r="J4" s="22" t="s">
        <v>13</v>
      </c>
      <c r="K4" s="22" t="s">
        <v>61</v>
      </c>
      <c r="L4" s="22" t="s">
        <v>76</v>
      </c>
      <c r="M4" s="22" t="s">
        <v>62</v>
      </c>
      <c r="N4" s="22" t="s">
        <v>96</v>
      </c>
      <c r="O4" s="22" t="s">
        <v>75</v>
      </c>
      <c r="P4" s="28" t="s">
        <v>74</v>
      </c>
      <c r="Q4" s="22" t="s">
        <v>64</v>
      </c>
      <c r="R4" s="22" t="s">
        <v>217</v>
      </c>
      <c r="S4" s="22" t="s">
        <v>215</v>
      </c>
      <c r="T4" s="95" t="s">
        <v>149</v>
      </c>
      <c r="U4" s="95" t="s">
        <v>216</v>
      </c>
    </row>
    <row r="5" spans="1:21" x14ac:dyDescent="0.2">
      <c r="A5" s="13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21" x14ac:dyDescent="0.2">
      <c r="A6" s="13">
        <v>0</v>
      </c>
      <c r="B6" s="2"/>
      <c r="C6" s="2"/>
      <c r="D6" s="2"/>
      <c r="E6" s="2">
        <v>322</v>
      </c>
      <c r="F6" s="2">
        <v>42</v>
      </c>
      <c r="G6" s="2">
        <v>33</v>
      </c>
      <c r="H6" s="2"/>
      <c r="I6" s="2"/>
      <c r="J6" s="2"/>
      <c r="K6" s="2"/>
      <c r="L6" s="2"/>
      <c r="M6" s="2"/>
      <c r="N6" s="2"/>
      <c r="O6" s="2"/>
      <c r="P6" s="2"/>
      <c r="Q6" s="16">
        <f>SUM(E6:P6)</f>
        <v>397</v>
      </c>
      <c r="R6" s="16">
        <f t="shared" ref="R6:R36" si="0">(E6*(cDAA+cMild)+F6*(cDAA+cModerate)+G6*(cDAA+cCom)+H6*(cDecom)+I6*(cHCC)+J6*(cLT+cLTC)+K6*cPLT+cSVR*SUM(K6,O6,P6))/(1+cDR)^cycle</f>
        <v>15898910.725411849</v>
      </c>
      <c r="S6" s="2"/>
      <c r="T6">
        <f>(E6*(cDAA+cMild)+F6*(cDAA+cModerate)+G6*(cDAA+cCom)+H6*(cDecom)+I6*(cHCC)+J6*(cLT+cLTC)+K6*cPLT+cSVR*SUM(K6,O6,P6))</f>
        <v>15898910.725411849</v>
      </c>
    </row>
    <row r="7" spans="1:21" x14ac:dyDescent="0.2">
      <c r="A7" s="13">
        <v>1</v>
      </c>
      <c r="B7" s="2"/>
      <c r="C7" s="16">
        <f t="shared" ref="C7:C36" si="1">IF(male=0,VLOOKUP(cycle+Age,lifetable,3,1),IF(male=1,VLOOKUP(cycle+Age,lifetable,2,1),"error"))</f>
        <v>2.4880000000000002E-3</v>
      </c>
      <c r="D7" s="2"/>
      <c r="E7" s="16">
        <f>(E6*(1-daaSVRmi))*(1-tpMi2Mo-mr)</f>
        <v>0.46055382813003054</v>
      </c>
      <c r="F7" s="16">
        <f>F6*(1-daaSVRmo)*(1-tpMo2Com-mr)+(E6*(1-daaSVRmi)*tpMi2Mo)</f>
        <v>7.1170280266990474E-2</v>
      </c>
      <c r="G7" s="30">
        <f>(G6*(1-daaSVRcc))*(1-tpCom2Decom-tpCom2HCC-mr)+(F6*(1-daaSVRmo)*tpMo2Com)</f>
        <v>0.9263755386752951</v>
      </c>
      <c r="H7" s="16">
        <f>H6*(1-tpDecom2HCC-tpDecom2LRD-tpDecom2LT)+(G6*(1-daaSVRcc)*tpCom2Decom)+L6*tpSRF42Decom</f>
        <v>3.8156753585778774E-2</v>
      </c>
      <c r="I7" s="16">
        <f>I6*(1-tpHCC2LRD-tpHCC2LT)+H6*tpDecom2HCC+(G6*(1-daaSVRcc)*tpCom2HCC)</f>
        <v>1.3697296158997509E-2</v>
      </c>
      <c r="J7" s="16">
        <f t="shared" ref="J7:J36" si="2">H6*tpDecom2LT+I6*tpHCC2LT</f>
        <v>0</v>
      </c>
      <c r="K7" s="16">
        <f t="shared" ref="K7:K36" si="3">K6*(1-tpPLT2LRD)+J6*tpLR2PLT</f>
        <v>0</v>
      </c>
      <c r="L7" s="16">
        <f>L6*(1-tpSRF42Decom-mr)+G6*daaSVRcc</f>
        <v>32.021621702928748</v>
      </c>
      <c r="M7" s="16">
        <f t="shared" ref="M7:M36" si="4">M6+H6*tpDecom2LRD+I6*tpHCC2LRD+J6*tpLT2LRD+K6*tpPLT2LRD</f>
        <v>0</v>
      </c>
      <c r="N7" s="16">
        <f>N6+mr*(E6*(1-daaSVRmi)+F6*(1-daaSVRmo)+G6*(1-daaSVRcc)+L6+O6+P6)</f>
        <v>3.7661349414151672E-3</v>
      </c>
      <c r="O7" s="16">
        <f t="shared" ref="O7:O36" si="5">O6*(1-mr)+E6*daaSVRmi</f>
        <v>321.52642864239203</v>
      </c>
      <c r="P7" s="16">
        <f t="shared" ref="P7:P36" si="6">P6*(1-mr)+F6*daaSVRmo</f>
        <v>41.938229822920704</v>
      </c>
      <c r="Q7" s="16">
        <f>SUM(E7:P7)</f>
        <v>397</v>
      </c>
      <c r="R7" s="16">
        <f t="shared" si="0"/>
        <v>190840.84720128367</v>
      </c>
      <c r="S7" s="16">
        <f t="shared" ref="S7:S36" si="7">(E7*uMild+F7*uModerate+G7*uCom+H7*uDecom+I7*uHCC+J7*uLT+K7*uPLT+L7*uSVRcc+O7*uSVRmi+P7*uSVRmo)/(1+oDR)^cycle</f>
        <v>303.68582212496989</v>
      </c>
      <c r="T7">
        <f>(E7*(cDAA+cMild)+F7*(cDAA+cModerate)+G7*(cDAA+cCom)+H7*(cDecom)+I7*(cHCC)+J7*(cLT+cLTC)+K7*cPLT+cSVR*SUM(K7,O7,P7))</f>
        <v>197520.27685332857</v>
      </c>
      <c r="U7">
        <f>(E7*uMild+F7*uModerate+G7*uCom+H7*uDecom+I7*uHCC+J7*uLT+K7*uPLT+L7*uSVRcc+O7*uSVRmi+P7*uSVRmo)</f>
        <v>314.31482589934382</v>
      </c>
    </row>
    <row r="8" spans="1:21" x14ac:dyDescent="0.2">
      <c r="A8" s="13">
        <v>2</v>
      </c>
      <c r="B8" s="2"/>
      <c r="C8" s="16">
        <f t="shared" si="1"/>
        <v>2.696E-3</v>
      </c>
      <c r="D8" s="2"/>
      <c r="E8" s="16">
        <f>(E7*(1-daaSVRmi))*(1-tpMi2Mo-mr)</f>
        <v>6.5858528802510794E-4</v>
      </c>
      <c r="F8" s="16">
        <f>F7*(1-daaSVRmo)*(1-tpMo2Com-mr)+(E7*(1-daaSVRmi)*tpMi2Mo)</f>
        <v>1.174500360781325E-4</v>
      </c>
      <c r="G8" s="30">
        <f>(G7*(1-daaSVRcc))*(1-tpCom2Decom-tpCom2HCC-mr)+(F7*(1-daaSVRmo)*tpMo2Com)</f>
        <v>2.5939202863160871E-2</v>
      </c>
      <c r="H8" s="16">
        <f>H7*(1-tpDecom2HCC-tpDecom2LRD-tpDecom2LT)+(G7*(1-daaSVRcc)*tpCom2Decom)+L7*tpSRF42Decom</f>
        <v>0.13954083080288154</v>
      </c>
      <c r="I8" s="16">
        <f>I7*(1-tpHCC2LRD-tpHCC2LT)+H7*tpDecom2HCC+(G7*(1-daaSVRcc)*tpCom2HCC)</f>
        <v>8.7261636671230099E-3</v>
      </c>
      <c r="J8" s="16">
        <f t="shared" ref="J8:J36" si="8">H7*tpDecom2LT+I7*tpHCC2LT</f>
        <v>1.1447026075733632E-3</v>
      </c>
      <c r="K8" s="16">
        <f t="shared" ref="K8:K36" si="9">K7*(1-tpPLT2LRD)+J7*tpLR2PLT</f>
        <v>0</v>
      </c>
      <c r="L8" s="16">
        <f>L7*(1-tpSRF42Decom-mr)+G7*daaSVRcc</f>
        <v>32.727249711127051</v>
      </c>
      <c r="M8" s="16">
        <f t="shared" ref="M8:M36" si="10">M7+H7*tpDecom2LRD+I7*tpHCC2LRD+J7*tpLT2LRD+K7*tpPLT2LRD</f>
        <v>1.085021531452017E-2</v>
      </c>
      <c r="N8" s="16">
        <f>N7+mr*(E7*(1-daaSVRmi)+F7*(1-daaSVRmo)+G7*(1-daaSVRcc)+L7+O7+P7)</f>
        <v>1.0700733002904186</v>
      </c>
      <c r="O8" s="16">
        <f t="shared" ref="O8:O36" si="11">O7*(1-mr)+E7*daaSVRmi</f>
        <v>321.11946987386602</v>
      </c>
      <c r="P8" s="16">
        <f t="shared" ref="P8:P36" si="12">P7*(1-mr)+F7*daaSVRmo</f>
        <v>41.896229964137127</v>
      </c>
      <c r="Q8" s="16">
        <f t="shared" ref="Q8:Q36" si="13">SUM(E8:P8)</f>
        <v>397</v>
      </c>
      <c r="R8" s="16">
        <f t="shared" si="0"/>
        <v>130977.47854241874</v>
      </c>
      <c r="S8" s="16">
        <f t="shared" si="7"/>
        <v>292.68263870567961</v>
      </c>
      <c r="T8">
        <f>(E8*(cDAA+cMild)+F8*(cDAA+cModerate)+G8*(cDAA+cCom)+H8*(cDecom)+I8*(cHCC)+J8*(cLT+cLTC)+K8*cPLT+cSVR*SUM(K8,O8,P8))</f>
        <v>140306.34945160249</v>
      </c>
      <c r="U8">
        <f>(E8*uMild+F8*uModerate+G8*uCom+H8*uDecom+I8*uHCC+J8*uLT+K8*uPLT+L8*uSVRcc+O8*uSVRmi+P8*uSVRmo)</f>
        <v>313.5289596474916</v>
      </c>
    </row>
    <row r="9" spans="1:21" x14ac:dyDescent="0.2">
      <c r="A9" s="13">
        <v>3</v>
      </c>
      <c r="B9" s="2"/>
      <c r="C9" s="16">
        <f t="shared" si="1"/>
        <v>2.8519999999999999E-3</v>
      </c>
      <c r="D9" s="2"/>
      <c r="E9" s="16">
        <f>(E8*(1-daaSVRmi))*(1-tpMi2Mo-mr)</f>
        <v>9.4161630010914354E-7</v>
      </c>
      <c r="F9" s="16">
        <f>F8*(1-daaSVRmo)*(1-tpMo2Com-mr)+(E8*(1-daaSVRmi)*tpMi2Mo)</f>
        <v>1.9006690758675855E-7</v>
      </c>
      <c r="G9" s="30">
        <f>(G8*(1-daaSVRcc))*(1-tpCom2Decom-tpCom2HCC-mr)+(F8*(1-daaSVRmo)*tpMo2Com)</f>
        <v>7.2609491686398365E-4</v>
      </c>
      <c r="H9" s="16">
        <f>H8*(1-tpDecom2HCC-tpDecom2LRD-tpDecom2LT)+(G8*(1-daaSVRcc)*tpCom2Decom)+L8*tpSRF42Decom</f>
        <v>0.2245997328774918</v>
      </c>
      <c r="I9" s="16">
        <f>I8*(1-tpHCC2LRD-tpHCC2LT)+H8*tpDecom2HCC+(G8*(1-daaSVRcc)*tpCom2HCC)</f>
        <v>6.9382514955533374E-3</v>
      </c>
      <c r="J9" s="16">
        <f t="shared" si="8"/>
        <v>4.1862249240864459E-3</v>
      </c>
      <c r="K9" s="16">
        <f t="shared" si="9"/>
        <v>9.0431505998295701E-4</v>
      </c>
      <c r="L9" s="16">
        <f>L8*(1-tpSRF42Decom-mr)+G8*daaSVRcc</f>
        <v>32.54977274277514</v>
      </c>
      <c r="M9" s="16">
        <f t="shared" si="10"/>
        <v>3.2983161243348075E-2</v>
      </c>
      <c r="N9" s="16">
        <f>N8+mr*(E8*(1-daaSVRmi)+F8*(1-daaSVRmo)+G8*(1-daaSVRcc)+L8+O8+P8)</f>
        <v>2.1987343889645525</v>
      </c>
      <c r="O9" s="16">
        <f t="shared" si="11"/>
        <v>320.20429476248023</v>
      </c>
      <c r="P9" s="16">
        <f t="shared" si="12"/>
        <v>41.776859193579547</v>
      </c>
      <c r="Q9" s="16">
        <f t="shared" si="13"/>
        <v>397</v>
      </c>
      <c r="R9" s="16">
        <f t="shared" si="0"/>
        <v>126379.58066306433</v>
      </c>
      <c r="S9" s="16">
        <f t="shared" si="7"/>
        <v>281.95568118325042</v>
      </c>
      <c r="T9">
        <f>(E9*(cDAA+cMild)+F9*(cDAA+cModerate)+G9*(cDAA+cCom)+H9*(cDecom)+I9*(cHCC)+J9*(cLT+cLTC)+K9*cPLT+cSVR*SUM(K9,O9,P9))</f>
        <v>140119.30011614374</v>
      </c>
      <c r="U9">
        <f>(E9*uMild+F9*uModerate+G9*uCom+H9*uDecom+I9*uHCC+J9*uLT+K9*uPLT+L9*uSVRcc+O9*uSVRmi+P9*uSVRmo)</f>
        <v>312.6093036856708</v>
      </c>
    </row>
    <row r="10" spans="1:21" x14ac:dyDescent="0.2">
      <c r="A10" s="13">
        <v>4</v>
      </c>
      <c r="B10" s="2"/>
      <c r="C10" s="16">
        <f t="shared" si="1"/>
        <v>3.189E-3</v>
      </c>
      <c r="D10" s="2"/>
      <c r="E10" s="16">
        <f>(E9*(1-daaSVRmi))*(1-tpMi2Mo-mr)</f>
        <v>1.345814906725715E-9</v>
      </c>
      <c r="F10" s="16">
        <f>F9*(1-daaSVRmo)*(1-tpMo2Com-mr)+(E9*(1-daaSVRmi)*tpMi2Mo)</f>
        <v>3.0292200163793987E-10</v>
      </c>
      <c r="G10" s="30">
        <f>(G9*(1-daaSVRcc))*(1-tpCom2Decom-tpCom2HCC-mr)+(F9*(1-daaSVRmo)*tpMo2Com)</f>
        <v>2.0317558677916109E-5</v>
      </c>
      <c r="H10" s="16">
        <f>H9*(1-tpDecom2HCC-tpDecom2LRD-tpDecom2LT)+(G9*(1-daaSVRcc)*tpCom2Decom)+L9*tpSRF42Decom</f>
        <v>0.29423645987600516</v>
      </c>
      <c r="I10" s="16">
        <f>I9*(1-tpHCC2LRD-tpHCC2LT)+H9*tpDecom2HCC+(G9*(1-daaSVRcc)*tpCom2HCC)</f>
        <v>7.0995009926628893E-3</v>
      </c>
      <c r="J10" s="16">
        <f t="shared" si="8"/>
        <v>6.7379919863247541E-3</v>
      </c>
      <c r="K10" s="16">
        <f t="shared" si="9"/>
        <v>4.1598867915922204E-3</v>
      </c>
      <c r="L10" s="16">
        <f>L9*(1-tpSRF42Decom-mr)+G9*daaSVRcc</f>
        <v>32.337959844317808</v>
      </c>
      <c r="M10" s="16">
        <f t="shared" si="10"/>
        <v>6.6095227852987118E-2</v>
      </c>
      <c r="N10" s="16">
        <f>N9+mr*(E9*(1-daaSVRmi)+F9*(1-daaSVRmo)+G9*(1-daaSVRcc)+L9+O9+P9)</f>
        <v>3.4568935828624836</v>
      </c>
      <c r="O10" s="16">
        <f t="shared" si="11"/>
        <v>319.18316420671414</v>
      </c>
      <c r="P10" s="16">
        <f t="shared" si="12"/>
        <v>41.643632979398596</v>
      </c>
      <c r="Q10" s="16">
        <f t="shared" si="13"/>
        <v>397</v>
      </c>
      <c r="R10" s="16">
        <f t="shared" si="0"/>
        <v>122635.62590173805</v>
      </c>
      <c r="S10" s="16">
        <f t="shared" si="7"/>
        <v>271.52501283968337</v>
      </c>
      <c r="T10">
        <f>(E10*(cDAA+cMild)+F10*(cDAA+cModerate)+G10*(cDAA+cCom)+H10*(cDecom)+I10*(cHCC)+J10*(cLT+cLTC)+K10*cPLT+cSVR*SUM(K10,O10,P10))</f>
        <v>140727.20141828738</v>
      </c>
      <c r="U10">
        <f>(E10*uMild+F10*uModerate+G10*uCom+H10*uDecom+I10*uHCC+J10*uLT+K10*uPLT+L10*uSVRcc+O10*uSVRmi+P10*uSVRmo)</f>
        <v>311.58119747853505</v>
      </c>
    </row>
    <row r="11" spans="1:21" x14ac:dyDescent="0.2">
      <c r="A11" s="13">
        <v>5</v>
      </c>
      <c r="B11" s="2"/>
      <c r="C11" s="16">
        <f t="shared" si="1"/>
        <v>3.3790000000000001E-3</v>
      </c>
      <c r="D11" s="2"/>
      <c r="E11" s="16">
        <f>(E10*(1-daaSVRmi))*(1-tpMi2Mo-mr)</f>
        <v>1.9231439063611797E-12</v>
      </c>
      <c r="F11" s="16">
        <f>F10*(1-daaSVRmo)*(1-tpMo2Com-mr)+(E10*(1-daaSVRmi)*tpMi2Mo)</f>
        <v>4.7700649540219351E-13</v>
      </c>
      <c r="G11" s="30">
        <f>(G10*(1-daaSVRcc))*(1-tpCom2Decom-tpCom2HCC-mr)+(F10*(1-daaSVRmo)*tpMo2Com)</f>
        <v>5.6841038394554278E-7</v>
      </c>
      <c r="H11" s="16">
        <f>H10*(1-tpDecom2HCC-tpDecom2LRD-tpDecom2LT)+(G10*(1-daaSVRcc)*tpCom2Decom)+L10*tpSRF42Decom</f>
        <v>0.35104812523008899</v>
      </c>
      <c r="I11" s="16">
        <f>I10*(1-tpHCC2LRD-tpHCC2LT)+H10*tpDecom2HCC+(G10*(1-daaSVRcc)*tpCom2HCC)</f>
        <v>8.1660344372824784E-3</v>
      </c>
      <c r="J11" s="16">
        <f t="shared" si="8"/>
        <v>8.8270937962801541E-3</v>
      </c>
      <c r="K11" s="16">
        <f t="shared" si="9"/>
        <v>9.2457869136680203E-3</v>
      </c>
      <c r="L11" s="16">
        <f>L10*(1-tpSRF42Decom-mr)+G10*daaSVRcc</f>
        <v>32.120700807311046</v>
      </c>
      <c r="M11" s="16">
        <f t="shared" si="10"/>
        <v>0.1090508449279618</v>
      </c>
      <c r="N11" s="16">
        <f>N10+mr*(E10*(1-daaSVRmi)+F10*(1-daaSVRmo)+G10*(1-daaSVRcc)+L10+O10+P10)</f>
        <v>4.7853972989037299</v>
      </c>
      <c r="O11" s="16">
        <f t="shared" si="11"/>
        <v>318.1046442962035</v>
      </c>
      <c r="P11" s="16">
        <f t="shared" si="12"/>
        <v>41.502919143863686</v>
      </c>
      <c r="Q11" s="16">
        <f t="shared" si="13"/>
        <v>397</v>
      </c>
      <c r="R11" s="16">
        <f t="shared" si="0"/>
        <v>118851.74842526637</v>
      </c>
      <c r="S11" s="16">
        <f t="shared" si="7"/>
        <v>261.42707015867819</v>
      </c>
      <c r="T11">
        <f>(E11*(cDAA+cMild)+F11*(cDAA+cModerate)+G11*(cDAA+cCom)+H11*(cDecom)+I11*(cHCC)+J11*(cLT+cLTC)+K11*cPLT+cSVR*SUM(K11,O11,P11))</f>
        <v>141158.59400687634</v>
      </c>
      <c r="U11">
        <f>(E11*uMild+F11*uModerate+G11*uCom+H11*uDecom+I11*uHCC+J11*uLT+K11*uPLT+L11*uSVRcc+O11*uSVRmi+P11*uSVRmo)</f>
        <v>310.49335115284674</v>
      </c>
    </row>
    <row r="12" spans="1:21" x14ac:dyDescent="0.2">
      <c r="A12" s="13">
        <v>6</v>
      </c>
      <c r="B12" s="2"/>
      <c r="C12" s="16">
        <f t="shared" si="1"/>
        <v>3.6059999999999998E-3</v>
      </c>
      <c r="D12" s="2"/>
      <c r="E12" s="16">
        <f>(E11*(1-daaSVRmi))*(1-tpMi2Mo-mr)</f>
        <v>2.7474940193672027E-15</v>
      </c>
      <c r="F12" s="16">
        <f>F11*(1-daaSVRmo)*(1-tpMo2Com-mr)+(E11*(1-daaSVRmi)*tpMi2Mo)</f>
        <v>7.4376553567775208E-16</v>
      </c>
      <c r="G12" s="30">
        <f>(G11*(1-daaSVRcc))*(1-tpCom2Decom-tpCom2HCC-mr)+(F11*(1-daaSVRmo)*tpMo2Com)</f>
        <v>1.5898201027619467E-8</v>
      </c>
      <c r="H12" s="16">
        <f>H11*(1-tpDecom2HCC-tpDecom2LRD-tpDecom2LT)+(G11*(1-daaSVRcc)*tpCom2Decom)+L11*tpSRF42Decom</f>
        <v>0.39724889279370557</v>
      </c>
      <c r="I12" s="16">
        <f>I11*(1-tpHCC2LRD-tpHCC2LT)+H11*tpDecom2HCC+(G11*(1-daaSVRcc)*tpCom2HCC)</f>
        <v>9.5693136184021189E-3</v>
      </c>
      <c r="J12" s="16">
        <f t="shared" si="8"/>
        <v>1.0531443756902669E-2</v>
      </c>
      <c r="K12" s="16">
        <f t="shared" si="9"/>
        <v>1.5692181158650266E-2</v>
      </c>
      <c r="L12" s="16">
        <f>L11*(1-tpSRF42Decom-mr)+G11*daaSVRcc</f>
        <v>31.897590971061714</v>
      </c>
      <c r="M12" s="16">
        <f t="shared" si="10"/>
        <v>0.16057919556720276</v>
      </c>
      <c r="N12" s="16">
        <f>N11+mr*(E11*(1-daaSVRmi)+F11*(1-daaSVRmo)+G11*(1-daaSVRcc)+L11+O11+P11)</f>
        <v>6.1979694198405442</v>
      </c>
      <c r="O12" s="16">
        <f t="shared" si="11"/>
        <v>316.95755894887333</v>
      </c>
      <c r="P12" s="16">
        <f t="shared" si="12"/>
        <v>41.353259617431391</v>
      </c>
      <c r="Q12" s="16">
        <f t="shared" si="13"/>
        <v>397</v>
      </c>
      <c r="R12" s="16">
        <f t="shared" si="0"/>
        <v>115034.60220371801</v>
      </c>
      <c r="S12" s="16">
        <f t="shared" si="7"/>
        <v>251.64454465904456</v>
      </c>
      <c r="T12">
        <f>(E12*(cDAA+cMild)+F12*(cDAA+cModerate)+G12*(cDAA+cCom)+H12*(cDecom)+I12*(cHCC)+J12*(cLT+cLTC)+K12*cPLT+cSVR*SUM(K12,O12,P12))</f>
        <v>141406.89747284286</v>
      </c>
      <c r="U12">
        <f>(E12*uMild+F12*uModerate+G12*uCom+H12*uDecom+I12*uHCC+J12*uLT+K12*uPLT+L12*uSVRcc+O12*uSVRmi+P12*uSVRmo)</f>
        <v>309.33539686767074</v>
      </c>
    </row>
    <row r="13" spans="1:21" x14ac:dyDescent="0.2">
      <c r="A13" s="13">
        <v>7</v>
      </c>
      <c r="B13" s="2"/>
      <c r="C13" s="16">
        <f t="shared" si="1"/>
        <v>3.9069999999999999E-3</v>
      </c>
      <c r="D13" s="2"/>
      <c r="E13" s="16">
        <f>(E12*(1-daaSVRmi))*(1-tpMi2Mo-mr)</f>
        <v>3.9239831632517598E-18</v>
      </c>
      <c r="F13" s="16">
        <f>F12*(1-daaSVRmo)*(1-tpMo2Com-mr)+(E12*(1-daaSVRmi)*tpMi2Mo)</f>
        <v>1.1501425623661061E-18</v>
      </c>
      <c r="G13" s="30">
        <f>(G12*(1-daaSVRcc))*(1-tpCom2Decom-tpCom2HCC-mr)+(F12*(1-daaSVRmo)*tpMo2Com)</f>
        <v>4.4452416627893887E-10</v>
      </c>
      <c r="H13" s="16">
        <f>H12*(1-tpDecom2HCC-tpDecom2LRD-tpDecom2LT)+(G12*(1-daaSVRcc)*tpCom2Decom)+L12*tpSRF42Decom</f>
        <v>0.43466553930932944</v>
      </c>
      <c r="I13" s="16">
        <f>I12*(1-tpHCC2LRD-tpHCC2LT)+H12*tpDecom2HCC+(G12*(1-daaSVRcc)*tpCom2HCC)</f>
        <v>1.1015993268199947E-2</v>
      </c>
      <c r="J13" s="16">
        <f t="shared" si="8"/>
        <v>1.1917466783811167E-2</v>
      </c>
      <c r="K13" s="16">
        <f t="shared" si="9"/>
        <v>2.3117567400560309E-2</v>
      </c>
      <c r="L13" s="16">
        <f>L12*(1-tpSRF42Decom-mr)+G12*daaSVRcc</f>
        <v>31.666429144721281</v>
      </c>
      <c r="M13" s="16">
        <f t="shared" si="10"/>
        <v>0.21944241400129003</v>
      </c>
      <c r="N13" s="16">
        <f>N12+mr*(E12*(1-daaSVRmi)+F12*(1-daaSVRmo)+G12*(1-daaSVRcc)+L12+O12+P12)</f>
        <v>7.7225136759048763</v>
      </c>
      <c r="O13" s="16">
        <f t="shared" si="11"/>
        <v>315.7192057660601</v>
      </c>
      <c r="P13" s="16">
        <f t="shared" si="12"/>
        <v>41.191692432106088</v>
      </c>
      <c r="Q13" s="16">
        <f t="shared" si="13"/>
        <v>397.00000000000006</v>
      </c>
      <c r="R13" s="16">
        <f t="shared" si="0"/>
        <v>111206.0276200248</v>
      </c>
      <c r="S13" s="16">
        <f t="shared" si="7"/>
        <v>242.15257325482793</v>
      </c>
      <c r="T13">
        <f>(E13*(cDAA+cMild)+F13*(cDAA+cModerate)+G13*(cDAA+cCom)+H13*(cDecom)+I13*(cHCC)+J13*(cLT+cLTC)+K13*cPLT+cSVR*SUM(K13,O13,P13))</f>
        <v>141485.12283560433</v>
      </c>
      <c r="U13">
        <f>(E13*uMild+F13*uModerate+G13*uCom+H13*uDecom+I13*uHCC+J13*uLT+K13*uPLT+L13*uSVRcc+O13*uSVRmi+P13*uSVRmo)</f>
        <v>308.08569737768107</v>
      </c>
    </row>
    <row r="14" spans="1:21" x14ac:dyDescent="0.2">
      <c r="A14" s="13">
        <v>8</v>
      </c>
      <c r="B14" s="2"/>
      <c r="C14" s="16">
        <f t="shared" si="1"/>
        <v>4.1250000000000002E-3</v>
      </c>
      <c r="D14" s="2"/>
      <c r="E14" s="16">
        <f>(E13*(1-daaSVRmi))*(1-tpMi2Mo-mr)</f>
        <v>5.6029920904222632E-21</v>
      </c>
      <c r="F14" s="16">
        <f>F13*(1-daaSVRmo)*(1-tpMo2Com-mr)+(E13*(1-daaSVRmi)*tpMi2Mo)</f>
        <v>1.7662483964722776E-21</v>
      </c>
      <c r="G14" s="30">
        <f>(G13*(1-daaSVRcc))*(1-tpCom2Decom-tpCom2HCC-mr)+(F13*(1-daaSVRmo)*tpMo2Com)</f>
        <v>1.2426315251370979E-11</v>
      </c>
      <c r="H14" s="16">
        <f>H13*(1-tpDecom2HCC-tpDecom2LRD-tpDecom2LT)+(G13*(1-daaSVRcc)*tpCom2Decom)+L13*tpSRF42Decom</f>
        <v>0.46479960881338916</v>
      </c>
      <c r="I14" s="16">
        <f>I13*(1-tpHCC2LRD-tpHCC2LT)+H13*tpDecom2HCC+(G13*(1-daaSVRcc)*tpCom2HCC)</f>
        <v>1.2364433713389092E-2</v>
      </c>
      <c r="J14" s="16">
        <f t="shared" si="8"/>
        <v>1.3039966179279883E-2</v>
      </c>
      <c r="K14" s="16">
        <f t="shared" si="9"/>
        <v>3.1214664817939192E-2</v>
      </c>
      <c r="L14" s="16">
        <f>L13*(1-tpSRF42Decom-mr)+G13*daaSVRcc</f>
        <v>31.430039251587282</v>
      </c>
      <c r="M14" s="16">
        <f t="shared" si="10"/>
        <v>0.28450618058326116</v>
      </c>
      <c r="N14" s="16">
        <f>N13+mr*(E13*(1-daaSVRmi)+F13*(1-daaSVRmo)+G13*(1-daaSVRcc)+L13+O13+P13)</f>
        <v>9.3253951511943409</v>
      </c>
      <c r="O14" s="16">
        <f t="shared" si="11"/>
        <v>314.41686404227511</v>
      </c>
      <c r="P14" s="16">
        <f t="shared" si="12"/>
        <v>41.021776700823651</v>
      </c>
      <c r="Q14" s="16">
        <f t="shared" si="13"/>
        <v>397.00000000000006</v>
      </c>
      <c r="R14" s="16">
        <f t="shared" si="0"/>
        <v>107400.08900433019</v>
      </c>
      <c r="S14" s="16">
        <f t="shared" si="7"/>
        <v>232.96569867070656</v>
      </c>
      <c r="T14">
        <f>(E14*(cDAA+cMild)+F14*(cDAA+cModerate)+G14*(cDAA+cCom)+H14*(cDecom)+I14*(cHCC)+J14*(cLT+cLTC)+K14*cPLT+cSVR*SUM(K14,O14,P14))</f>
        <v>141425.40777157579</v>
      </c>
      <c r="U14">
        <f>(E14*uMild+F14*uModerate+G14*uCom+H14*uDecom+I14*uHCC+J14*uLT+K14*uPLT+L14*uSVRcc+O14*uSVRmi+P14*uSVRmo)</f>
        <v>306.77133731207942</v>
      </c>
    </row>
    <row r="15" spans="1:21" x14ac:dyDescent="0.2">
      <c r="A15" s="13">
        <v>9</v>
      </c>
      <c r="B15" s="2"/>
      <c r="C15" s="16">
        <f t="shared" si="1"/>
        <v>4.4780000000000002E-3</v>
      </c>
      <c r="D15" s="2"/>
      <c r="E15" s="16">
        <f>(E14*(1-daaSVRmi))*(1-tpMi2Mo-mr)</f>
        <v>7.9975129107146247E-24</v>
      </c>
      <c r="F15" s="16">
        <f>F14*(1-daaSVRmo)*(1-tpMo2Com-mr)+(E14*(1-daaSVRmi)*tpMi2Mo)</f>
        <v>2.6959192982288193E-24</v>
      </c>
      <c r="G15" s="30">
        <f>(G14*(1-daaSVRcc))*(1-tpCom2Decom-tpCom2HCC-mr)+(F14*(1-daaSVRmo)*tpMo2Com)</f>
        <v>3.4723759048919023E-13</v>
      </c>
      <c r="H15" s="16">
        <f>H14*(1-tpDecom2HCC-tpDecom2LRD-tpDecom2LT)+(G14*(1-daaSVRcc)*tpCom2Decom)+L14*tpSRF42Decom</f>
        <v>0.48890080798017532</v>
      </c>
      <c r="I15" s="16">
        <f>I14*(1-tpHCC2LRD-tpHCC2LT)+H14*tpDecom2HCC+(G14*(1-daaSVRcc)*tpCom2HCC)</f>
        <v>1.3554921740024388E-2</v>
      </c>
      <c r="J15" s="16">
        <f t="shared" si="8"/>
        <v>1.3943988264401675E-2</v>
      </c>
      <c r="K15" s="16">
        <f t="shared" si="9"/>
        <v>3.9737002204947761E-2</v>
      </c>
      <c r="L15" s="16">
        <f>L14*(1-tpSRF42Decom-mr)+G14*daaSVRcc</f>
        <v>31.184319204730432</v>
      </c>
      <c r="M15" s="16">
        <f t="shared" si="10"/>
        <v>0.35476446501803033</v>
      </c>
      <c r="N15" s="16">
        <f>N14+mr*(E14*(1-daaSVRmi)+F14*(1-daaSVRmo)+G14*(1-daaSVRcc)+L14+O14+P14)</f>
        <v>11.057793100210546</v>
      </c>
      <c r="O15" s="16">
        <f t="shared" si="11"/>
        <v>313.00890532509379</v>
      </c>
      <c r="P15" s="16">
        <f t="shared" si="12"/>
        <v>40.838081184757364</v>
      </c>
      <c r="Q15" s="16">
        <f t="shared" si="13"/>
        <v>397.00000000000006</v>
      </c>
      <c r="R15" s="16">
        <f t="shared" si="0"/>
        <v>103623.14935385025</v>
      </c>
      <c r="S15" s="16">
        <f t="shared" si="7"/>
        <v>224.04633662932292</v>
      </c>
      <c r="T15">
        <f>(E15*(cDAA+cMild)+F15*(cDAA+cModerate)+G15*(cDAA+cCom)+H15*(cDecom)+I15*(cHCC)+J15*(cLT+cLTC)+K15*cPLT+cSVR*SUM(K15,O15,P15))</f>
        <v>141227.71599052995</v>
      </c>
      <c r="U15">
        <f>(E15*uMild+F15*uModerate+G15*uCom+H15*uDecom+I15*uHCC+J15*uLT+K15*uPLT+L15*uSVRcc+O15*uSVRmi+P15*uSVRmo)</f>
        <v>305.35215919905835</v>
      </c>
    </row>
    <row r="16" spans="1:21" x14ac:dyDescent="0.2">
      <c r="A16" s="13">
        <v>10</v>
      </c>
      <c r="B16" s="2"/>
      <c r="C16" s="16">
        <f t="shared" si="1"/>
        <v>4.7600000000000003E-3</v>
      </c>
      <c r="D16" s="2"/>
      <c r="E16" s="16">
        <f>(E15*(1-daaSVRmi))*(1-tpMi2Mo-mr)</f>
        <v>1.141205040232005E-26</v>
      </c>
      <c r="F16" s="16">
        <f>F15*(1-daaSVRmo)*(1-tpMo2Com-mr)+(E15*(1-daaSVRmi)*tpMi2Mo)</f>
        <v>4.0934148194450069E-27</v>
      </c>
      <c r="G16" s="30">
        <f>(G15*(1-daaSVRcc))*(1-tpCom2Decom-tpCom2HCC-mr)+(F15*(1-daaSVRmo)*tpMo2Com)</f>
        <v>9.700210111895198E-15</v>
      </c>
      <c r="H16" s="16">
        <f>H15*(1-tpDecom2HCC-tpDecom2LRD-tpDecom2LT)+(G15*(1-daaSVRcc)*tpCom2Decom)+L15*tpSRF42Decom</f>
        <v>0.50798769353542483</v>
      </c>
      <c r="I16" s="16">
        <f>I15*(1-tpHCC2LRD-tpHCC2LT)+H15*tpDecom2HCC+(G15*(1-daaSVRcc)*tpCom2HCC)</f>
        <v>1.4570916703536501E-2</v>
      </c>
      <c r="J16" s="16">
        <f t="shared" si="8"/>
        <v>1.4667024239405258E-2</v>
      </c>
      <c r="K16" s="16">
        <f t="shared" si="9"/>
        <v>4.8487743808143059E-2</v>
      </c>
      <c r="L16" s="16">
        <f>L15*(1-tpSRF42Decom-mr)+G15*daaSVRcc</f>
        <v>30.931726219172454</v>
      </c>
      <c r="M16" s="16">
        <f t="shared" si="10"/>
        <v>0.42934343306486994</v>
      </c>
      <c r="N16" s="16">
        <f>N15+mr*(E15*(1-daaSVRmi)+F15*(1-daaSVRmo)+G15*(1-daaSVRcc)+L15+O15+P15)</f>
        <v>12.890542115411954</v>
      </c>
      <c r="O16" s="16">
        <f t="shared" si="11"/>
        <v>311.51898293574635</v>
      </c>
      <c r="P16" s="16">
        <f t="shared" si="12"/>
        <v>40.64369191831792</v>
      </c>
      <c r="Q16" s="16">
        <f t="shared" si="13"/>
        <v>397.00000000000006</v>
      </c>
      <c r="R16" s="16">
        <f t="shared" si="0"/>
        <v>99898.747801787147</v>
      </c>
      <c r="S16" s="16">
        <f t="shared" si="7"/>
        <v>215.40612680835588</v>
      </c>
      <c r="T16">
        <f>(E16*(cDAA+cMild)+F16*(cDAA+cModerate)+G16*(cDAA+cCom)+H16*(cDecom)+I16*(cHCC)+J16*(cLT+cLTC)+K16*cPLT+cSVR*SUM(K16,O16,P16))</f>
        <v>140917.04983680288</v>
      </c>
      <c r="U16">
        <f>(E16*uMild+F16*uModerate+G16*uCom+H16*uDecom+I16*uHCC+J16*uLT+K16*uPLT+L16*uSVRcc+O16*uSVRmi+P16*uSVRmo)</f>
        <v>303.85161550606284</v>
      </c>
    </row>
    <row r="17" spans="1:21" x14ac:dyDescent="0.2">
      <c r="A17" s="13">
        <v>11</v>
      </c>
      <c r="B17" s="2"/>
      <c r="C17" s="16">
        <f t="shared" si="1"/>
        <v>5.3889999999999997E-3</v>
      </c>
      <c r="D17" s="2"/>
      <c r="E17" s="16">
        <f>(E16*(1-daaSVRmi))*(1-tpMi2Mo-mr)</f>
        <v>1.6273867318618051E-29</v>
      </c>
      <c r="F17" s="16">
        <f>F16*(1-daaSVRmo)*(1-tpMo2Com-mr)+(E16*(1-daaSVRmi)*tpMi2Mo)</f>
        <v>6.1846659128893921E-30</v>
      </c>
      <c r="G17" s="30">
        <f>(G16*(1-daaSVRcc))*(1-tpCom2Decom-tpCom2HCC-mr)+(F16*(1-daaSVRmo)*tpMo2Com)</f>
        <v>2.7079805159955057E-16</v>
      </c>
      <c r="H17" s="16">
        <f>H16*(1-tpDecom2HCC-tpDecom2LRD-tpDecom2LT)+(G16*(1-daaSVRcc)*tpCom2Decom)+L16*tpSRF42Decom</f>
        <v>0.52290980043229685</v>
      </c>
      <c r="I17" s="16">
        <f>I16*(1-tpHCC2LRD-tpHCC2LT)+H16*tpDecom2HCC+(G16*(1-daaSVRcc)*tpCom2HCC)</f>
        <v>1.5417250230511758E-2</v>
      </c>
      <c r="J17" s="16">
        <f t="shared" si="8"/>
        <v>1.5239630806062745E-2</v>
      </c>
      <c r="K17" s="16">
        <f t="shared" si="9"/>
        <v>5.7310891560209062E-2</v>
      </c>
      <c r="L17" s="16">
        <f>L16*(1-tpSRF42Decom-mr)+G16*daaSVRcc</f>
        <v>30.661723181005307</v>
      </c>
      <c r="M17" s="16">
        <f t="shared" si="10"/>
        <v>0.507491203894335</v>
      </c>
      <c r="N17" s="16">
        <f>N16+mr*(E16*(1-daaSVRmi)+F16*(1-daaSVRmo)+G16*(1-daaSVRcc)+L16+O16+P16)</f>
        <v>14.955037842795626</v>
      </c>
      <c r="O17" s="16">
        <f t="shared" si="11"/>
        <v>309.8402071367056</v>
      </c>
      <c r="P17" s="16">
        <f t="shared" si="12"/>
        <v>40.424663062570104</v>
      </c>
      <c r="Q17" s="16">
        <f t="shared" si="13"/>
        <v>397.00000000000006</v>
      </c>
      <c r="R17" s="16">
        <f t="shared" si="0"/>
        <v>96207.730886234975</v>
      </c>
      <c r="S17" s="16">
        <f t="shared" si="7"/>
        <v>206.96722550670859</v>
      </c>
      <c r="T17">
        <f>(E17*(cDAA+cMild)+F17*(cDAA+cModerate)+G17*(cDAA+cCom)+H17*(cDecom)+I17*(cHCC)+J17*(cLT+cLTC)+K17*cPLT+cSVR*SUM(K17,O17,P17))</f>
        <v>140460.37365855367</v>
      </c>
      <c r="U17">
        <f>(E17*uMild+F17*uModerate+G17*uCom+H17*uDecom+I17*uHCC+J17*uLT+K17*uPLT+L17*uSVRcc+O17*uSVRmi+P17*uSVRmo)</f>
        <v>302.16588170156865</v>
      </c>
    </row>
    <row r="18" spans="1:21" x14ac:dyDescent="0.2">
      <c r="A18" s="13">
        <v>12</v>
      </c>
      <c r="B18" s="2"/>
      <c r="C18" s="16">
        <f t="shared" si="1"/>
        <v>5.8560000000000001E-3</v>
      </c>
      <c r="D18" s="2"/>
      <c r="E18" s="16">
        <f>(E17*(1-daaSVRmi))*(1-tpMi2Mo-mr)</f>
        <v>2.3195761688115322E-32</v>
      </c>
      <c r="F18" s="16">
        <f>F17*(1-daaSVRmo)*(1-tpMo2Com-mr)+(E17*(1-daaSVRmi)*tpMi2Mo)</f>
        <v>9.3044455289228019E-33</v>
      </c>
      <c r="G18" s="30">
        <f>(G17*(1-daaSVRcc))*(1-tpCom2Decom-tpCom2HCC-mr)+(F17*(1-daaSVRmo)*tpMo2Com)</f>
        <v>7.5560440939142719E-18</v>
      </c>
      <c r="H18" s="16">
        <f>H17*(1-tpDecom2HCC-tpDecom2LRD-tpDecom2LT)+(G17*(1-daaSVRcc)*tpCom2Decom)+L17*tpSRF42Decom</f>
        <v>0.53433365058163496</v>
      </c>
      <c r="I18" s="16">
        <f>I17*(1-tpHCC2LRD-tpHCC2LT)+H17*tpDecom2HCC+(G17*(1-daaSVRcc)*tpCom2HCC)</f>
        <v>1.610856983744386E-2</v>
      </c>
      <c r="J18" s="16">
        <f t="shared" si="8"/>
        <v>1.5687294012968905E-2</v>
      </c>
      <c r="K18" s="16">
        <f t="shared" si="9"/>
        <v>6.608347907806672E-2</v>
      </c>
      <c r="L18" s="16">
        <f>L17*(1-tpSRF42Decom-mr)+G17*daaSVRcc</f>
        <v>30.379757974632781</v>
      </c>
      <c r="M18" s="16">
        <f t="shared" si="10"/>
        <v>0.58856593883785868</v>
      </c>
      <c r="N18" s="16">
        <f>N17+mr*(E17*(1-daaSVRmi)+F17*(1-daaSVRmo)+G17*(1-daaSVRcc)+L17+O17+P17)</f>
        <v>17.185743973630551</v>
      </c>
      <c r="O18" s="16">
        <f t="shared" si="11"/>
        <v>308.02578288371308</v>
      </c>
      <c r="P18" s="16">
        <f t="shared" si="12"/>
        <v>40.187936235675693</v>
      </c>
      <c r="Q18" s="16">
        <f t="shared" si="13"/>
        <v>397.00000000000006</v>
      </c>
      <c r="R18" s="16">
        <f t="shared" si="0"/>
        <v>92577.218010775439</v>
      </c>
      <c r="S18" s="16">
        <f t="shared" si="7"/>
        <v>198.7647226822796</v>
      </c>
      <c r="T18">
        <f>(E18*(cDAA+cMild)+F18*(cDAA+cModerate)+G18*(cDAA+cCom)+H18*(cDecom)+I18*(cHCC)+J18*(cLT+cLTC)+K18*cPLT+cSVR*SUM(K18,O18,P18))</f>
        <v>139890.53252040374</v>
      </c>
      <c r="U18">
        <f>(E18*uMild+F18*uModerate+G18*uCom+H18*uDecom+I18*uHCC+J18*uLT+K18*uPLT+L18*uSVRcc+O18*uSVRmi+P18*uSVRmo)</f>
        <v>300.3471426313339</v>
      </c>
    </row>
    <row r="19" spans="1:21" x14ac:dyDescent="0.2">
      <c r="A19" s="13">
        <v>13</v>
      </c>
      <c r="B19" s="2"/>
      <c r="C19" s="16">
        <f t="shared" si="1"/>
        <v>6.3940000000000004E-3</v>
      </c>
      <c r="D19" s="2"/>
      <c r="E19" s="16">
        <f>(E18*(1-daaSVRmi))*(1-tpMi2Mo-mr)</f>
        <v>3.3043447280077839E-35</v>
      </c>
      <c r="F19" s="16">
        <f>F18*(1-daaSVRmo)*(1-tpMo2Com-mr)+(E18*(1-daaSVRmi)*tpMi2Mo)</f>
        <v>1.3943268035308931E-35</v>
      </c>
      <c r="G19" s="30">
        <f>(G18*(1-daaSVRcc))*(1-tpCom2Decom-tpCom2HCC-mr)+(F18*(1-daaSVRmo)*tpMo2Com)</f>
        <v>2.1071482841686113E-19</v>
      </c>
      <c r="H19" s="16">
        <f>H18*(1-tpDecom2HCC-tpDecom2LRD-tpDecom2LT)+(G18*(1-daaSVRcc)*tpCom2Decom)+L18*tpSRF42Decom</f>
        <v>0.54282798701570401</v>
      </c>
      <c r="I19" s="16">
        <f>I18*(1-tpHCC2LRD-tpHCC2LT)+H18*tpDecom2HCC+(G18*(1-daaSVRcc)*tpCom2HCC)</f>
        <v>1.6662555915485891E-2</v>
      </c>
      <c r="J19" s="16">
        <f t="shared" si="8"/>
        <v>1.6030009517449047E-2</v>
      </c>
      <c r="K19" s="16">
        <f t="shared" si="9"/>
        <v>7.4709683040862354E-2</v>
      </c>
      <c r="L19" s="16">
        <f>L18*(1-tpSRF42Decom-mr)+G18*daaSVRcc</f>
        <v>30.084041410507705</v>
      </c>
      <c r="M19" s="16">
        <f t="shared" si="10"/>
        <v>0.67201708849374531</v>
      </c>
      <c r="N19" s="16">
        <f>N18+mr*(E18*(1-daaSVRmi)+F18*(1-daaSVRmo)+G18*(1-daaSVRcc)+L18+O18+P18)</f>
        <v>19.606470666169724</v>
      </c>
      <c r="O19" s="16">
        <f t="shared" si="11"/>
        <v>306.05626602795462</v>
      </c>
      <c r="P19" s="16">
        <f t="shared" si="12"/>
        <v>39.93097457138478</v>
      </c>
      <c r="Q19" s="16">
        <f t="shared" si="13"/>
        <v>397.00000000000011</v>
      </c>
      <c r="R19" s="16">
        <f t="shared" si="0"/>
        <v>89010.071662206858</v>
      </c>
      <c r="S19" s="16">
        <f t="shared" si="7"/>
        <v>190.78332978455305</v>
      </c>
      <c r="T19">
        <f>(E19*(cDAA+cMild)+F19*(cDAA+cModerate)+G19*(cDAA+cCom)+H19*(cDecom)+I19*(cHCC)+J19*(cLT+cLTC)+K19*cPLT+cSVR*SUM(K19,O19,P19))</f>
        <v>139207.84100860619</v>
      </c>
      <c r="U19">
        <f>(E19*uMild+F19*uModerate+G19*uCom+H19*uDecom+I19*uHCC+J19*uLT+K19*uPLT+L19*uSVRcc+O19*uSVRmi+P19*uSVRmo)</f>
        <v>298.37674483096879</v>
      </c>
    </row>
    <row r="20" spans="1:21" x14ac:dyDescent="0.2">
      <c r="A20" s="13">
        <v>14</v>
      </c>
      <c r="B20" s="2"/>
      <c r="C20" s="16">
        <f t="shared" si="1"/>
        <v>6.9300000000000004E-3</v>
      </c>
      <c r="D20" s="2"/>
      <c r="E20" s="16">
        <f>(E19*(1-daaSVRmi))*(1-tpMi2Mo-mr)</f>
        <v>4.7045887616631974E-38</v>
      </c>
      <c r="F20" s="16">
        <f>F19*(1-daaSVRmo)*(1-tpMo2Com-mr)+(E19*(1-daaSVRmi)*tpMi2Mo)</f>
        <v>2.0820706591739235E-38</v>
      </c>
      <c r="G20" s="30">
        <f>(G19*(1-daaSVRcc))*(1-tpCom2Decom-tpCom2HCC-mr)+(F19*(1-daaSVRmo)*tpMo2Com)</f>
        <v>5.8728399155015146E-21</v>
      </c>
      <c r="H20" s="16">
        <f>H19*(1-tpDecom2HCC-tpDecom2LRD-tpDecom2LT)+(G19*(1-daaSVRcc)*tpCom2Decom)+L19*tpSRF42Decom</f>
        <v>0.54885661558606724</v>
      </c>
      <c r="I20" s="16">
        <f>I19*(1-tpHCC2LRD-tpHCC2LT)+H19*tpDecom2HCC+(G19*(1-daaSVRcc)*tpCom2HCC)</f>
        <v>1.7097248690046817E-2</v>
      </c>
      <c r="J20" s="16">
        <f t="shared" si="8"/>
        <v>1.628483961047112E-2</v>
      </c>
      <c r="K20" s="16">
        <f t="shared" si="9"/>
        <v>8.3114938626317941E-2</v>
      </c>
      <c r="L20" s="16">
        <f>L19*(1-tpSRF42Decom-mr)+G19*daaSVRcc</f>
        <v>29.77507830522179</v>
      </c>
      <c r="M20" s="16">
        <f t="shared" si="10"/>
        <v>0.75737437978143918</v>
      </c>
      <c r="N20" s="16">
        <f>N19+mr*(E19*(1-daaSVRmi)+F19*(1-daaSVRmo)+G19*(1-daaSVRcc)+L19+O19+P19)</f>
        <v>22.212644650497964</v>
      </c>
      <c r="O20" s="16">
        <f t="shared" si="11"/>
        <v>303.93529610438088</v>
      </c>
      <c r="P20" s="16">
        <f t="shared" si="12"/>
        <v>39.654252917605085</v>
      </c>
      <c r="Q20" s="16">
        <f t="shared" si="13"/>
        <v>397.00000000000006</v>
      </c>
      <c r="R20" s="16">
        <f t="shared" si="0"/>
        <v>85513.958686846265</v>
      </c>
      <c r="S20" s="16">
        <f t="shared" si="7"/>
        <v>183.02310472192957</v>
      </c>
      <c r="T20">
        <f>(E20*(cDAA+cMild)+F20*(cDAA+cModerate)+G20*(cDAA+cCom)+H20*(cDecom)+I20*(cHCC)+J20*(cLT+cLTC)+K20*cPLT+cSVR*SUM(K20,O20,P20))</f>
        <v>138420.97652076944</v>
      </c>
      <c r="U20">
        <f>(E20*uMild+F20*uModerate+G20*uCom+H20*uDecom+I20*uHCC+J20*uLT+K20*uPLT+L20*uSVRcc+O20*uSVRmi+P20*uSVRmo)</f>
        <v>296.25849709808188</v>
      </c>
    </row>
    <row r="21" spans="1:21" x14ac:dyDescent="0.2">
      <c r="A21" s="13">
        <v>15</v>
      </c>
      <c r="B21" s="2"/>
      <c r="C21" s="16">
        <f t="shared" si="1"/>
        <v>7.5950000000000002E-3</v>
      </c>
      <c r="D21" s="2"/>
      <c r="E21" s="16">
        <f>(E20*(1-daaSVRmi))*(1-tpMi2Mo-mr)</f>
        <v>6.6935968322023999E-41</v>
      </c>
      <c r="F21" s="16">
        <f>F20*(1-daaSVRmo)*(1-tpMo2Com-mr)+(E20*(1-daaSVRmi)*tpMi2Mo)</f>
        <v>3.0985618578788307E-41</v>
      </c>
      <c r="G21" s="30">
        <f>(G20*(1-daaSVRcc))*(1-tpCom2Decom-tpCom2HCC-mr)+(F20*(1-daaSVRmo)*tpMo2Com)</f>
        <v>1.6356632673929363E-22</v>
      </c>
      <c r="H21" s="16">
        <f>H20*(1-tpDecom2HCC-tpDecom2LRD-tpDecom2LT)+(G20*(1-daaSVRcc)*tpCom2Decom)+L20*tpSRF42Decom</f>
        <v>0.55280432601353235</v>
      </c>
      <c r="I21" s="16">
        <f>I20*(1-tpHCC2LRD-tpHCC2LT)+H20*tpDecom2HCC+(G20*(1-daaSVRcc)*tpCom2HCC)</f>
        <v>1.7429424371531627E-2</v>
      </c>
      <c r="J21" s="16">
        <f t="shared" si="8"/>
        <v>1.6465698467582016E-2</v>
      </c>
      <c r="K21" s="16">
        <f t="shared" si="9"/>
        <v>9.1242410416889991E-2</v>
      </c>
      <c r="L21" s="16">
        <f>L20*(1-tpSRF42Decom-mr)+G20*daaSVRcc</f>
        <v>29.44948782395419</v>
      </c>
      <c r="M21" s="16">
        <f t="shared" si="10"/>
        <v>0.8442349245642472</v>
      </c>
      <c r="N21" s="16">
        <f>N20+mr*(E20*(1-daaSVRmi)+F20*(1-daaSVRmo)+G20*(1-daaSVRcc)+L20+O20+P20)</f>
        <v>25.048348995048109</v>
      </c>
      <c r="O21" s="16">
        <f t="shared" si="11"/>
        <v>301.62690753046809</v>
      </c>
      <c r="P21" s="16">
        <f t="shared" si="12"/>
        <v>39.353078866695874</v>
      </c>
      <c r="Q21" s="16">
        <f t="shared" si="13"/>
        <v>397</v>
      </c>
      <c r="R21" s="16">
        <f t="shared" si="0"/>
        <v>82084.698853912021</v>
      </c>
      <c r="S21" s="16">
        <f t="shared" si="7"/>
        <v>175.46054308379803</v>
      </c>
      <c r="T21">
        <f>(E21*(cDAA+cMild)+F21*(cDAA+cModerate)+G21*(cDAA+cCom)+H21*(cDecom)+I21*(cHCC)+J21*(cLT+cLTC)+K21*cPLT+cSVR*SUM(K21,O21,P21))</f>
        <v>137520.50424754462</v>
      </c>
      <c r="U21">
        <f>(E21*uMild+F21*uModerate+G21*uCom+H21*uDecom+I21*uHCC+J21*uLT+K21*uPLT+L21*uSVRcc+O21*uSVRmi+P21*uSVRmo)</f>
        <v>293.9576156985799</v>
      </c>
    </row>
    <row r="22" spans="1:21" x14ac:dyDescent="0.2">
      <c r="A22" s="13">
        <v>16</v>
      </c>
      <c r="B22" s="2"/>
      <c r="C22" s="16">
        <f t="shared" si="1"/>
        <v>8.3129999999999992E-3</v>
      </c>
      <c r="D22" s="2"/>
      <c r="E22" s="16">
        <f>(E21*(1-daaSVRmi))*(1-tpMi2Mo-mr)</f>
        <v>9.5164503178557965E-44</v>
      </c>
      <c r="F22" s="16">
        <f>F21*(1-daaSVRmo)*(1-tpMo2Com-mr)+(E21*(1-daaSVRmi)*tpMi2Mo)</f>
        <v>4.5967257437109474E-44</v>
      </c>
      <c r="G22" s="30">
        <f>(G21*(1-daaSVRcc))*(1-tpCom2Decom-tpCom2HCC-mr)+(F21*(1-daaSVRmo)*tpMo2Com)</f>
        <v>4.5520557729222516E-24</v>
      </c>
      <c r="H22" s="16">
        <f>H21*(1-tpDecom2HCC-tpDecom2LRD-tpDecom2LT)+(G21*(1-daaSVRcc)*tpCom2Decom)+L21*tpSRF42Decom</f>
        <v>0.55497766261918469</v>
      </c>
      <c r="I22" s="16">
        <f>I21*(1-tpHCC2LRD-tpHCC2LT)+H21*tpDecom2HCC+(G21*(1-daaSVRcc)*tpCom2HCC)</f>
        <v>1.7674032455962482E-2</v>
      </c>
      <c r="J22" s="16">
        <f t="shared" si="8"/>
        <v>1.6584129780405969E-2</v>
      </c>
      <c r="K22" s="16">
        <f t="shared" si="9"/>
        <v>9.9049494812517055E-2</v>
      </c>
      <c r="L22" s="16">
        <f>L21*(1-tpSRF42Decom-mr)+G21*daaSVRcc</f>
        <v>29.106312942341649</v>
      </c>
      <c r="M22" s="16">
        <f t="shared" si="10"/>
        <v>0.93225275349771997</v>
      </c>
      <c r="N22" s="16">
        <f>N21+mr*(E21*(1-daaSVRmi)+F21*(1-daaSVRmo)+G21*(1-daaSVRcc)+L21+O21+P21)</f>
        <v>28.127729214248262</v>
      </c>
      <c r="O22" s="16">
        <f t="shared" si="11"/>
        <v>299.1194830481673</v>
      </c>
      <c r="P22" s="16">
        <f t="shared" si="12"/>
        <v>39.025936722077034</v>
      </c>
      <c r="Q22" s="16">
        <f t="shared" si="13"/>
        <v>397</v>
      </c>
      <c r="R22" s="16">
        <f t="shared" si="0"/>
        <v>78723.952741923262</v>
      </c>
      <c r="S22" s="16">
        <f t="shared" si="7"/>
        <v>168.08844709370339</v>
      </c>
      <c r="T22">
        <f>(E22*(cDAA+cMild)+F22*(cDAA+cModerate)+G22*(cDAA+cCom)+H22*(cDecom)+I22*(cHCC)+J22*(cLT+cLTC)+K22*cPLT+cSVR*SUM(K22,O22,P22))</f>
        <v>136506.23505461228</v>
      </c>
      <c r="U22">
        <f>(E22*uMild+F22*uModerate+G22*uCom+H22*uDecom+I22*uHCC+J22*uLT+K22*uPLT+L22*uSVRcc+O22*uSVRmi+P22*uSVRmo)</f>
        <v>291.46302071693049</v>
      </c>
    </row>
    <row r="23" spans="1:21" x14ac:dyDescent="0.2">
      <c r="A23" s="13">
        <v>17</v>
      </c>
      <c r="B23" s="2"/>
      <c r="C23" s="16">
        <f t="shared" si="1"/>
        <v>9.2230000000000003E-3</v>
      </c>
      <c r="D23" s="2"/>
      <c r="E23" s="16">
        <f>(E22*(1-daaSVRmi))*(1-tpMi2Mo-mr)</f>
        <v>1.3517033777546247E-46</v>
      </c>
      <c r="F23" s="16">
        <f>F22*(1-daaSVRmo)*(1-tpMo2Com-mr)+(E22*(1-daaSVRmi)*tpMi2Mo)</f>
        <v>6.7978999774979282E-47</v>
      </c>
      <c r="G23" s="30">
        <f>(G22*(1-daaSVRcc))*(1-tpCom2Decom-tpCom2HCC-mr)+(F22*(1-daaSVRmo)*tpMo2Com)</f>
        <v>1.2656103622888085E-25</v>
      </c>
      <c r="H23" s="16">
        <f>H22*(1-tpDecom2HCC-tpDecom2LRD-tpDecom2LT)+(G22*(1-daaSVRcc)*tpCom2Decom)+L22*tpSRF42Decom</f>
        <v>0.55562663455086758</v>
      </c>
      <c r="I23" s="16">
        <f>I22*(1-tpHCC2LRD-tpHCC2LT)+H22*tpDecom2HCC+(G22*(1-daaSVRcc)*tpCom2HCC)</f>
        <v>1.7843885776567203E-2</v>
      </c>
      <c r="J23" s="16">
        <f t="shared" si="8"/>
        <v>1.664932987857554E-2</v>
      </c>
      <c r="K23" s="16">
        <f t="shared" si="9"/>
        <v>0.10650513613472429</v>
      </c>
      <c r="L23" s="16">
        <f>L22*(1-tpSRF42Decom-mr)+G22*daaSVRcc</f>
        <v>28.740650332847011</v>
      </c>
      <c r="M23" s="16">
        <f t="shared" si="10"/>
        <v>1.0211281720524767</v>
      </c>
      <c r="N23" s="16">
        <f>N22+mr*(E22*(1-daaSVRmi)+F22*(1-daaSVRmo)+G22*(1-daaSVRcc)+L22+O22+P22)</f>
        <v>31.514891945056444</v>
      </c>
      <c r="O23" s="16">
        <f t="shared" si="11"/>
        <v>296.36070405601407</v>
      </c>
      <c r="P23" s="16">
        <f t="shared" si="12"/>
        <v>38.666000507689319</v>
      </c>
      <c r="Q23" s="16">
        <f t="shared" si="13"/>
        <v>397.00000000000006</v>
      </c>
      <c r="R23" s="16">
        <f t="shared" si="0"/>
        <v>75422.945474426611</v>
      </c>
      <c r="S23" s="16">
        <f t="shared" si="7"/>
        <v>160.87810778479542</v>
      </c>
      <c r="T23">
        <f>(E23*(cDAA+cMild)+F23*(cDAA+cModerate)+G23*(cDAA+cCom)+H23*(cDecom)+I23*(cHCC)+J23*(cLT+cLTC)+K23*cPLT+cSVR*SUM(K23,O23,P23))</f>
        <v>135359.71624413974</v>
      </c>
      <c r="U23">
        <f>(E23*uMild+F23*uModerate+G23*uCom+H23*uDecom+I23*uHCC+J23*uLT+K23*uPLT+L23*uSVRcc+O23*uSVRmi+P23*uSVRmo)</f>
        <v>288.7240067683075</v>
      </c>
    </row>
    <row r="24" spans="1:21" x14ac:dyDescent="0.2">
      <c r="A24" s="13">
        <v>18</v>
      </c>
      <c r="B24" s="2"/>
      <c r="C24" s="16">
        <f t="shared" si="1"/>
        <v>1.0178E-2</v>
      </c>
      <c r="D24" s="2"/>
      <c r="E24" s="16">
        <f>(E23*(1-daaSVRmi))*(1-tpMi2Mo-mr)</f>
        <v>1.9180421763131549E-49</v>
      </c>
      <c r="F24" s="16">
        <f>F23*(1-daaSVRmo)*(1-tpMo2Com-mr)+(E23*(1-daaSVRmi)*tpMi2Mo)</f>
        <v>1.0023114982926687E-49</v>
      </c>
      <c r="G24" s="30">
        <f>(G23*(1-daaSVRcc))*(1-tpCom2Decom-tpCom2HCC-mr)+(F23*(1-daaSVRmo)*tpMo2Com)</f>
        <v>3.5151994650955948E-27</v>
      </c>
      <c r="H24" s="16">
        <f>H23*(1-tpDecom2HCC-tpDecom2LRD-tpDecom2LT)+(G23*(1-daaSVRcc)*tpCom2Decom)+L23*tpSRF42Decom</f>
        <v>0.5549413722507256</v>
      </c>
      <c r="I24" s="16">
        <f>I23*(1-tpHCC2LRD-tpHCC2LT)+H23*tpDecom2HCC+(G23*(1-daaSVRcc)*tpCom2HCC)</f>
        <v>1.7949787776355454E-2</v>
      </c>
      <c r="J24" s="16">
        <f t="shared" si="8"/>
        <v>1.6668799036526027E-2</v>
      </c>
      <c r="K24" s="16">
        <f t="shared" si="9"/>
        <v>0.11358731397911968</v>
      </c>
      <c r="L24" s="16">
        <f>L23*(1-tpSRF42Decom-mr)+G23*daaSVRcc</f>
        <v>28.352134221647585</v>
      </c>
      <c r="M24" s="16">
        <f t="shared" si="10"/>
        <v>1.1105996574621935</v>
      </c>
      <c r="N24" s="16">
        <f>N23+mr*(E23*(1-daaSVRmi)+F23*(1-daaSVRmo)+G23*(1-daaSVRcc)+L23+O23+P23)</f>
        <v>35.217316083193531</v>
      </c>
      <c r="O24" s="16">
        <f t="shared" si="11"/>
        <v>293.34434481013193</v>
      </c>
      <c r="P24" s="16">
        <f t="shared" si="12"/>
        <v>38.272457954522054</v>
      </c>
      <c r="Q24" s="16">
        <f t="shared" si="13"/>
        <v>397</v>
      </c>
      <c r="R24" s="16">
        <f t="shared" si="0"/>
        <v>72184.159327952235</v>
      </c>
      <c r="S24" s="16">
        <f t="shared" si="7"/>
        <v>153.82848014329946</v>
      </c>
      <c r="T24">
        <f>(E24*(cDAA+cMild)+F24*(cDAA+cModerate)+G24*(cDAA+cCom)+H24*(cDecom)+I24*(cHCC)+J24*(cLT+cLTC)+K24*cPLT+cSVR*SUM(K24,O24,P24))</f>
        <v>134081.29603902393</v>
      </c>
      <c r="U24">
        <f>(E24*uMild+F24*uModerate+G24*uCom+H24*uDecom+I24*uHCC+J24*uLT+K24*uPLT+L24*uSVRcc+O24*uSVRmi+P24*uSVRmo)</f>
        <v>285.73473982871371</v>
      </c>
    </row>
    <row r="25" spans="1:21" x14ac:dyDescent="0.2">
      <c r="A25" s="13">
        <v>19</v>
      </c>
      <c r="B25" s="2"/>
      <c r="C25" s="16">
        <f t="shared" si="1"/>
        <v>1.0947E-2</v>
      </c>
      <c r="D25" s="2"/>
      <c r="E25" s="16">
        <f>(E24*(1-daaSVRmi))*(1-tpMi2Mo-mr)</f>
        <v>2.7194972196317726E-52</v>
      </c>
      <c r="F25" s="16">
        <f>F24*(1-daaSVRmo)*(1-tpMo2Com-mr)+(E24*(1-daaSVRmi)*tpMi2Mo)</f>
        <v>1.4739610292249492E-52</v>
      </c>
      <c r="G25" s="30">
        <f>(G24*(1-daaSVRcc))*(1-tpCom2Decom-tpCom2HCC-mr)+(F24*(1-daaSVRmo)*tpMo2Com)</f>
        <v>9.7553596133220035E-29</v>
      </c>
      <c r="H25" s="16">
        <f>H24*(1-tpDecom2HCC-tpDecom2LRD-tpDecom2LT)+(G24*(1-daaSVRcc)*tpCom2Decom)+L24*tpSRF42Decom</f>
        <v>0.55307770177940219</v>
      </c>
      <c r="I25" s="16">
        <f>I24*(1-tpHCC2LRD-tpHCC2LT)+H24*tpDecom2HCC+(G24*(1-daaSVRcc)*tpCom2HCC)</f>
        <v>1.800055824403277E-2</v>
      </c>
      <c r="J25" s="16">
        <f t="shared" si="8"/>
        <v>1.6648241167521768E-2</v>
      </c>
      <c r="K25" s="16">
        <f t="shared" si="9"/>
        <v>0.12028118832116541</v>
      </c>
      <c r="L25" s="16">
        <f>L24*(1-tpSRF42Decom-mr)+G24*daaSVRcc</f>
        <v>27.947067280022903</v>
      </c>
      <c r="M25" s="16">
        <f t="shared" si="10"/>
        <v>1.2004353692931011</v>
      </c>
      <c r="N25" s="16">
        <f>N24+mr*(E24*(1-daaSVRmi)+F24*(1-daaSVRmo)+G24*(1-daaSVRcc)+L24+O24+P24)</f>
        <v>39.157896036382574</v>
      </c>
      <c r="O25" s="16">
        <f t="shared" si="11"/>
        <v>290.13310426749541</v>
      </c>
      <c r="P25" s="16">
        <f t="shared" si="12"/>
        <v>37.853489357293903</v>
      </c>
      <c r="Q25" s="16">
        <f t="shared" si="13"/>
        <v>397</v>
      </c>
      <c r="R25" s="16">
        <f t="shared" si="0"/>
        <v>69024.768379379515</v>
      </c>
      <c r="S25" s="16">
        <f t="shared" si="7"/>
        <v>146.97333710407131</v>
      </c>
      <c r="T25">
        <f>(E25*(cDAA+cMild)+F25*(cDAA+cModerate)+G25*(cDAA+cCom)+H25*(cDecom)+I25*(cHCC)+J25*(cLT+cLTC)+K25*cPLT+cSVR*SUM(K25,O25,P25))</f>
        <v>132700.20813970882</v>
      </c>
      <c r="U25">
        <f>(E25*uMild+F25*uModerate+G25*uCom+H25*uDecom+I25*uHCC+J25*uLT+K25*uPLT+L25*uSVRcc+O25*uSVRmi+P25*uSVRmo)</f>
        <v>282.55643419912292</v>
      </c>
    </row>
    <row r="26" spans="1:21" x14ac:dyDescent="0.2">
      <c r="A26" s="13">
        <v>20</v>
      </c>
      <c r="B26" s="2"/>
      <c r="C26" s="16">
        <f t="shared" si="1"/>
        <v>1.2024999999999999E-2</v>
      </c>
      <c r="D26" s="2"/>
      <c r="E26" s="16">
        <f>(E25*(1-daaSVRmi))*(1-tpMi2Mo-mr)</f>
        <v>3.8515291359341027E-55</v>
      </c>
      <c r="F26" s="16">
        <f>F25*(1-daaSVRmo)*(1-tpMo2Com-mr)+(E25*(1-daaSVRmi)*tpMi2Mo)</f>
        <v>2.1614966280374221E-55</v>
      </c>
      <c r="G26" s="30">
        <f>(G25*(1-daaSVRcc))*(1-tpCom2Decom-tpCom2HCC-mr)+(F25*(1-daaSVRmo)*tpMo2Com)</f>
        <v>2.7041834626725804E-30</v>
      </c>
      <c r="H26" s="16">
        <f>H25*(1-tpDecom2HCC-tpDecom2LRD-tpDecom2LT)+(G25*(1-daaSVRcc)*tpCom2Decom)+L25*tpSRF42Decom</f>
        <v>0.55018538638506265</v>
      </c>
      <c r="I26" s="16">
        <f>I25*(1-tpHCC2LRD-tpHCC2LT)+H25*tpDecom2HCC+(G25*(1-daaSVRcc)*tpCom2HCC)</f>
        <v>1.8003406024010311E-2</v>
      </c>
      <c r="J26" s="16">
        <f t="shared" si="8"/>
        <v>1.6592331053382064E-2</v>
      </c>
      <c r="K26" s="16">
        <f t="shared" si="9"/>
        <v>0.12657727110920117</v>
      </c>
      <c r="L26" s="16">
        <f>L25*(1-tpSRF42Decom-mr)+G25*daaSVRcc</f>
        <v>27.517660591265351</v>
      </c>
      <c r="M26" s="16">
        <f t="shared" si="10"/>
        <v>1.2904278689488433</v>
      </c>
      <c r="N26" s="16">
        <f>N25+mr*(E25*(1-daaSVRmi)+F25*(1-daaSVRmo)+G25*(1-daaSVRcc)+L25+O25+P25)</f>
        <v>43.437998308762943</v>
      </c>
      <c r="O26" s="16">
        <f t="shared" si="11"/>
        <v>286.64425368867882</v>
      </c>
      <c r="P26" s="16">
        <f t="shared" si="12"/>
        <v>37.398301147772443</v>
      </c>
      <c r="Q26" s="16">
        <f t="shared" si="13"/>
        <v>397.00000000000006</v>
      </c>
      <c r="R26" s="16">
        <f t="shared" si="0"/>
        <v>65928.310122758296</v>
      </c>
      <c r="S26" s="16">
        <f t="shared" si="7"/>
        <v>140.27055895912002</v>
      </c>
      <c r="T26">
        <f>(E26*(cDAA+cMild)+F26*(cDAA+cModerate)+G26*(cDAA+cCom)+H26*(cDecom)+I26*(cHCC)+J26*(cLT+cLTC)+K26*cPLT+cSVR*SUM(K26,O26,P26))</f>
        <v>131183.41726938685</v>
      </c>
      <c r="U26">
        <f>(E26*uMild+F26*uModerate+G26*uCom+H26*uDecom+I26*uHCC+J26*uLT+K26*uPLT+L26*uSVRcc+O26*uSVRmi+P26*uSVRmo)</f>
        <v>279.10879608898591</v>
      </c>
    </row>
    <row r="27" spans="1:21" x14ac:dyDescent="0.2">
      <c r="A27" s="13">
        <v>21</v>
      </c>
      <c r="B27" s="2"/>
      <c r="C27" s="16">
        <f t="shared" si="1"/>
        <v>1.333E-2</v>
      </c>
      <c r="D27" s="2"/>
      <c r="E27" s="16">
        <f>(E26*(1-daaSVRmi))*(1-tpMi2Mo-mr)</f>
        <v>5.4473942946665826E-58</v>
      </c>
      <c r="F27" s="16">
        <f>F26*(1-daaSVRmo)*(1-tpMo2Com-mr)+(E26*(1-daaSVRmi)*tpMi2Mo)</f>
        <v>3.1605692529943592E-58</v>
      </c>
      <c r="G27" s="30">
        <f>(G26*(1-daaSVRcc))*(1-tpCom2Decom-tpCom2HCC-mr)+(F26*(1-daaSVRmo)*tpMo2Com)</f>
        <v>7.4855278008618525E-32</v>
      </c>
      <c r="H27" s="16">
        <f>H26*(1-tpDecom2HCC-tpDecom2LRD-tpDecom2LT)+(G26*(1-daaSVRcc)*tpCom2Decom)+L26*tpSRF42Decom</f>
        <v>0.54636211552888803</v>
      </c>
      <c r="I27" s="16">
        <f>I26*(1-tpHCC2LRD-tpHCC2LT)+H26*tpDecom2HCC+(G26*(1-daaSVRcc)*tpCom2HCC)</f>
        <v>1.7964536843076757E-2</v>
      </c>
      <c r="J27" s="16">
        <f t="shared" si="8"/>
        <v>1.6505561591551879E-2</v>
      </c>
      <c r="K27" s="16">
        <f t="shared" si="9"/>
        <v>0.13247030818814853</v>
      </c>
      <c r="L27" s="16">
        <f>L26*(1-tpSRF42Decom-mr)+G26*daaSVRcc</f>
        <v>27.058941189208959</v>
      </c>
      <c r="M27" s="16">
        <f t="shared" si="10"/>
        <v>1.3803927277436605</v>
      </c>
      <c r="N27" s="16">
        <f>N26+mr*(E26*(1-daaSVRmi)+F26*(1-daaSVRmo)+G26*(1-daaSVRcc)+L26+O26+P26)</f>
        <v>48.124295980414402</v>
      </c>
      <c r="O27" s="16">
        <f t="shared" si="11"/>
        <v>282.82328578700873</v>
      </c>
      <c r="P27" s="16">
        <f t="shared" si="12"/>
        <v>36.899781793472641</v>
      </c>
      <c r="Q27" s="16">
        <f t="shared" si="13"/>
        <v>397.00000000000006</v>
      </c>
      <c r="R27" s="16">
        <f t="shared" si="0"/>
        <v>62885.918564811647</v>
      </c>
      <c r="S27" s="16">
        <f t="shared" si="7"/>
        <v>133.69661699492019</v>
      </c>
      <c r="T27">
        <f>(E27*(cDAA+cMild)+F27*(cDAA+cModerate)+G27*(cDAA+cCom)+H27*(cDecom)+I27*(cHCC)+J27*(cLT+cLTC)+K27*cPLT+cSVR*SUM(K27,O27,P27))</f>
        <v>129509.23994409996</v>
      </c>
      <c r="U27">
        <f>(E27*uMild+F27*uModerate+G27*uCom+H27*uDecom+I27*uHCC+J27*uLT+K27*uPLT+L27*uSVRcc+O27*uSVRmi+P27*uSVRmo)</f>
        <v>275.33902096483456</v>
      </c>
    </row>
    <row r="28" spans="1:21" x14ac:dyDescent="0.2">
      <c r="A28" s="13">
        <v>22</v>
      </c>
      <c r="B28" s="2"/>
      <c r="C28" s="16">
        <f t="shared" si="1"/>
        <v>1.4437E-2</v>
      </c>
      <c r="D28" s="2"/>
      <c r="E28" s="16">
        <f>(E27*(1-daaSVRmi))*(1-tpMi2Mo-mr)</f>
        <v>7.6956307547492488E-61</v>
      </c>
      <c r="F28" s="16">
        <f>F27*(1-daaSVRmo)*(1-tpMo2Com-mr)+(E27*(1-daaSVRmi)*tpMi2Mo)</f>
        <v>4.6095022643079568E-61</v>
      </c>
      <c r="G28" s="30">
        <f>(G27*(1-daaSVRcc))*(1-tpCom2Decom-tpCom2HCC-mr)+(F27*(1-daaSVRmo)*tpMo2Com)</f>
        <v>2.0696336585088623E-33</v>
      </c>
      <c r="H28" s="16">
        <f>H27*(1-tpDecom2HCC-tpDecom2LRD-tpDecom2LT)+(G27*(1-daaSVRcc)*tpCom2Decom)+L27*tpSRF42Decom</f>
        <v>0.54167197099881936</v>
      </c>
      <c r="I28" s="16">
        <f>I27*(1-tpHCC2LRD-tpHCC2LT)+H27*tpDecom2HCC+(G27*(1-daaSVRcc)*tpCom2HCC)</f>
        <v>1.7888855617958187E-2</v>
      </c>
      <c r="J28" s="16">
        <f t="shared" si="8"/>
        <v>1.6390863465866639E-2</v>
      </c>
      <c r="K28" s="16">
        <f t="shared" si="9"/>
        <v>0.13795889427875005</v>
      </c>
      <c r="L28" s="16">
        <f>L27*(1-tpSRF42Decom-mr)+G27*daaSVRcc</f>
        <v>26.577914391688388</v>
      </c>
      <c r="M28" s="16">
        <f t="shared" si="10"/>
        <v>1.4701615291058894</v>
      </c>
      <c r="N28" s="16">
        <f>N27+mr*(E27*(1-daaSVRmi)+F27*(1-daaSVRmo)+G27*(1-daaSVRcc)+L27+O27+P27)</f>
        <v>53.130787841022425</v>
      </c>
      <c r="O28" s="16">
        <f t="shared" si="11"/>
        <v>278.74016601010169</v>
      </c>
      <c r="P28" s="16">
        <f t="shared" si="12"/>
        <v>36.367059643720275</v>
      </c>
      <c r="Q28" s="16">
        <f t="shared" si="13"/>
        <v>397.00000000000006</v>
      </c>
      <c r="R28" s="16">
        <f t="shared" si="0"/>
        <v>59914.584437002428</v>
      </c>
      <c r="S28" s="16">
        <f t="shared" si="7"/>
        <v>127.28777113795979</v>
      </c>
      <c r="T28">
        <f>(E28*(cDAA+cMild)+F28*(cDAA+cModerate)+G28*(cDAA+cCom)+H28*(cDecom)+I28*(cHCC)+J28*(cLT+cLTC)+K28*cPLT+cSVR*SUM(K28,O28,P28))</f>
        <v>127708.63025473461</v>
      </c>
      <c r="U28">
        <f>(E28*uMild+F28*uModerate+G28*uCom+H28*uDecom+I28*uHCC+J28*uLT+K28*uPLT+L28*uSVRcc+O28*uSVRmi+P28*uSVRmo)</f>
        <v>271.31535757039586</v>
      </c>
    </row>
    <row r="29" spans="1:21" x14ac:dyDescent="0.2">
      <c r="A29" s="13">
        <v>23</v>
      </c>
      <c r="B29" s="2"/>
      <c r="C29" s="16">
        <f t="shared" si="1"/>
        <v>1.5740000000000001E-2</v>
      </c>
      <c r="D29" s="2"/>
      <c r="E29" s="16">
        <f>(E28*(1-daaSVRmi))*(1-tpMi2Mo-mr)</f>
        <v>1.0857006874484534E-63</v>
      </c>
      <c r="F29" s="16">
        <f>F28*(1-daaSVRmo)*(1-tpMo2Com-mr)+(E28*(1-daaSVRmi)*tpMi2Mo)</f>
        <v>6.7046936868247005E-64</v>
      </c>
      <c r="G29" s="30">
        <f>(G28*(1-daaSVRcc))*(1-tpCom2Decom-tpCom2HCC-mr)+(F28*(1-daaSVRmo)*tpMo2Com)</f>
        <v>5.7142244946412912E-35</v>
      </c>
      <c r="H29" s="16">
        <f>H28*(1-tpDecom2HCC-tpDecom2LRD-tpDecom2LT)+(G28*(1-daaSVRcc)*tpCom2Decom)+L28*tpSRF42Decom</f>
        <v>0.53619128211326395</v>
      </c>
      <c r="I29" s="16">
        <f>I28*(1-tpHCC2LRD-tpHCC2LT)+H28*tpDecom2HCC+(G28*(1-daaSVRcc)*tpCom2HCC)</f>
        <v>1.7780055296219639E-2</v>
      </c>
      <c r="J29" s="16">
        <f t="shared" si="8"/>
        <v>1.6250159129964581E-2</v>
      </c>
      <c r="K29" s="16">
        <f t="shared" si="9"/>
        <v>0.14304401944289591</v>
      </c>
      <c r="L29" s="16">
        <f>L28*(1-tpSRF42Decom-mr)+G28*daaSVRcc</f>
        <v>26.070807785094974</v>
      </c>
      <c r="M29" s="16">
        <f t="shared" si="10"/>
        <v>1.5595768315531786</v>
      </c>
      <c r="N29" s="16">
        <f>N28+mr*(E28*(1-daaSVRmi)+F28*(1-daaSVRmo)+G28*(1-daaSVRcc)+L28+O28+P28)</f>
        <v>58.50891194533876</v>
      </c>
      <c r="O29" s="16">
        <f t="shared" si="11"/>
        <v>274.35279579710271</v>
      </c>
      <c r="P29" s="16">
        <f t="shared" si="12"/>
        <v>35.794642124928117</v>
      </c>
      <c r="Q29" s="16">
        <f t="shared" si="13"/>
        <v>397.00000000000011</v>
      </c>
      <c r="R29" s="16">
        <f t="shared" si="0"/>
        <v>57007.362867681601</v>
      </c>
      <c r="S29" s="16">
        <f t="shared" si="7"/>
        <v>121.02593458816212</v>
      </c>
      <c r="T29">
        <f>(E29*(cDAA+cMild)+F29*(cDAA+cModerate)+G29*(cDAA+cCom)+H29*(cDecom)+I29*(cHCC)+J29*(cLT+cLTC)+K29*cPLT+cSVR*SUM(K29,O29,P29))</f>
        <v>125764.76871183894</v>
      </c>
      <c r="U29">
        <f>(E29*uMild+F29*uModerate+G29*uCom+H29*uDecom+I29*uHCC+J29*uLT+K29*uPLT+L29*uSVRcc+O29*uSVRmi+P29*uSVRmo)</f>
        <v>266.99706679894985</v>
      </c>
    </row>
    <row r="30" spans="1:21" x14ac:dyDescent="0.2">
      <c r="A30" s="13">
        <v>24</v>
      </c>
      <c r="B30" s="2"/>
      <c r="C30" s="16">
        <f t="shared" si="1"/>
        <v>1.7288999999999999E-2</v>
      </c>
      <c r="D30" s="2"/>
      <c r="E30" s="16">
        <f>(E29*(1-daaSVRmi))*(1-tpMi2Mo-mr)</f>
        <v>1.5292347011586393E-66</v>
      </c>
      <c r="F30" s="16">
        <f>F29*(1-daaSVRmo)*(1-tpMo2Com-mr)+(E29*(1-daaSVRmi)*tpMi2Mo)</f>
        <v>9.7245786086580829E-67</v>
      </c>
      <c r="G30" s="30">
        <f>(G29*(1-daaSVRcc))*(1-tpCom2Decom-tpCom2HCC-mr)+(F29*(1-daaSVRmo)*tpMo2Com)</f>
        <v>1.5750637574169584E-36</v>
      </c>
      <c r="H30" s="16">
        <f>H29*(1-tpDecom2HCC-tpDecom2LRD-tpDecom2LT)+(G29*(1-daaSVRcc)*tpCom2Decom)+L29*tpSRF42Decom</f>
        <v>0.52997049702777321</v>
      </c>
      <c r="I30" s="16">
        <f>I29*(1-tpHCC2LRD-tpHCC2LT)+H29*tpDecom2HCC+(G29*(1-daaSVRcc)*tpCom2HCC)</f>
        <v>1.7641309468430892E-2</v>
      </c>
      <c r="J30" s="16">
        <f t="shared" si="8"/>
        <v>1.6085738463397919E-2</v>
      </c>
      <c r="K30" s="16">
        <f t="shared" si="9"/>
        <v>0.14772813604732285</v>
      </c>
      <c r="L30" s="16">
        <f>L29*(1-tpSRF42Decom-mr)+G29*daaSVRcc</f>
        <v>25.532993091296248</v>
      </c>
      <c r="M30" s="16">
        <f t="shared" si="10"/>
        <v>1.6484931645308147</v>
      </c>
      <c r="N30" s="16">
        <f>N29+mr*(E29*(1-daaSVRmi)+F29*(1-daaSVRmo)+G29*(1-daaSVRcc)+L29+O29+P29)</f>
        <v>64.321789195369263</v>
      </c>
      <c r="O30" s="16">
        <f t="shared" si="11"/>
        <v>269.60951031056663</v>
      </c>
      <c r="P30" s="16">
        <f t="shared" si="12"/>
        <v>35.175788557230234</v>
      </c>
      <c r="Q30" s="16">
        <f t="shared" si="13"/>
        <v>397.00000000000011</v>
      </c>
      <c r="R30" s="16">
        <f t="shared" si="0"/>
        <v>54156.212073479277</v>
      </c>
      <c r="S30" s="16">
        <f t="shared" si="7"/>
        <v>114.8911053389301</v>
      </c>
      <c r="T30">
        <f>(E30*(cDAA+cMild)+F30*(cDAA+cModerate)+G30*(cDAA+cCom)+H30*(cDecom)+I30*(cHCC)+J30*(cLT+cLTC)+K30*cPLT+cSVR*SUM(K30,O30,P30))</f>
        <v>123656.42178700678</v>
      </c>
      <c r="U30">
        <f>(E30*uMild+F30*uModerate+G30*uCom+H30*uDecom+I30*uHCC+J30*uLT+K30*uPLT+L30*uSVRcc+O30*uSVRmi+P30*uSVRmo)</f>
        <v>262.33413374794463</v>
      </c>
    </row>
    <row r="31" spans="1:21" x14ac:dyDescent="0.2">
      <c r="A31" s="13">
        <v>25</v>
      </c>
      <c r="B31" s="2"/>
      <c r="C31" s="16">
        <f t="shared" si="1"/>
        <v>1.8286E-2</v>
      </c>
      <c r="D31" s="2"/>
      <c r="E31" s="16">
        <f>(E30*(1-daaSVRmi))*(1-tpMi2Mo-mr)</f>
        <v>2.1517203615703263E-69</v>
      </c>
      <c r="F31" s="16">
        <f>F30*(1-daaSVRmo)*(1-tpMo2Com-mr)+(E30*(1-daaSVRmi)*tpMi2Mo)</f>
        <v>1.4073679246786897E-69</v>
      </c>
      <c r="G31" s="30">
        <f>(G30*(1-daaSVRcc))*(1-tpCom2Decom-tpCom2HCC-mr)+(F30*(1-daaSVRmo)*tpMo2Com)</f>
        <v>4.3368360195333269E-38</v>
      </c>
      <c r="H31" s="16">
        <f>H30*(1-tpDecom2HCC-tpDecom2LRD-tpDecom2LT)+(G30*(1-daaSVRcc)*tpCom2Decom)+L30*tpSRF42Decom</f>
        <v>0.5230358274698701</v>
      </c>
      <c r="I31" s="16">
        <f>I30*(1-tpHCC2LRD-tpHCC2LT)+H30*tpDecom2HCC+(G30*(1-daaSVRcc)*tpCom2HCC)</f>
        <v>1.7475133355394433E-2</v>
      </c>
      <c r="J31" s="16">
        <f t="shared" si="8"/>
        <v>1.5899114910833196E-2</v>
      </c>
      <c r="K31" s="16">
        <f t="shared" si="9"/>
        <v>0.1520153656787098</v>
      </c>
      <c r="L31" s="16">
        <f>L30*(1-tpSRF42Decom-mr)+G30*daaSVRcc</f>
        <v>24.980816582703874</v>
      </c>
      <c r="M31" s="16">
        <f t="shared" si="10"/>
        <v>1.7367736010478616</v>
      </c>
      <c r="N31" s="16">
        <f>N30+mr*(E30*(1-daaSVRmi)+F30*(1-daaSVRmo)+G30*(1-daaSVRcc)+L30+O30+P30)</f>
        <v>70.361989482133239</v>
      </c>
      <c r="O31" s="16">
        <f t="shared" si="11"/>
        <v>264.67943080502761</v>
      </c>
      <c r="P31" s="16">
        <f t="shared" si="12"/>
        <v>34.532564087672718</v>
      </c>
      <c r="Q31" s="16">
        <f t="shared" si="13"/>
        <v>397.00000000000011</v>
      </c>
      <c r="R31" s="16">
        <f t="shared" si="0"/>
        <v>51393.871022721636</v>
      </c>
      <c r="S31" s="16">
        <f t="shared" si="7"/>
        <v>108.95658895374454</v>
      </c>
      <c r="T31">
        <f>(E31*(cDAA+cMild)+F31*(cDAA+cModerate)+G31*(cDAA+cCom)+H31*(cDecom)+I31*(cHCC)+J31*(cLT+cLTC)+K31*cPLT+cSVR*SUM(K31,O31,P31))</f>
        <v>121456.30791651407</v>
      </c>
      <c r="U31">
        <f>(E31*uMild+F31*uModerate+G31*uCom+H31*uDecom+I31*uHCC+J31*uLT+K31*uPLT+L31*uSVRcc+O31*uSVRmi+P31*uSVRmo)</f>
        <v>257.49111234778235</v>
      </c>
    </row>
    <row r="32" spans="1:21" x14ac:dyDescent="0.2">
      <c r="A32" s="13">
        <v>26</v>
      </c>
      <c r="B32" s="2"/>
      <c r="C32" s="16">
        <f t="shared" si="1"/>
        <v>2.0275999999999999E-2</v>
      </c>
      <c r="D32" s="2"/>
      <c r="E32" s="16">
        <f>(E31*(1-daaSVRmi))*(1-tpMi2Mo-mr)</f>
        <v>3.021295651366204E-72</v>
      </c>
      <c r="F32" s="16">
        <f>F31*(1-daaSVRmo)*(1-tpMo2Com-mr)+(E31*(1-daaSVRmi)*tpMi2Mo)</f>
        <v>2.0304041464404345E-72</v>
      </c>
      <c r="G32" s="30">
        <f>(G31*(1-daaSVRcc))*(1-tpCom2Decom-tpCom2HCC-mr)+(F31*(1-daaSVRmo)*tpMo2Com)</f>
        <v>1.1915610053651516E-39</v>
      </c>
      <c r="H32" s="16">
        <f>H31*(1-tpDecom2HCC-tpDecom2LRD-tpDecom2LT)+(G31*(1-daaSVRcc)*tpCom2Decom)+L31*tpSRF42Decom</f>
        <v>0.51546352087634362</v>
      </c>
      <c r="I32" s="16">
        <f>I31*(1-tpHCC2LRD-tpHCC2LT)+H31*tpDecom2HCC+(G31*(1-daaSVRcc)*tpCom2HCC)</f>
        <v>1.7283327597153009E-2</v>
      </c>
      <c r="J32" s="16">
        <f t="shared" si="8"/>
        <v>1.5691074824096103E-2</v>
      </c>
      <c r="K32" s="16">
        <f t="shared" si="9"/>
        <v>0.15591079061458155</v>
      </c>
      <c r="L32" s="16">
        <f>L31*(1-tpSRF42Decom-mr)+G31*daaSVRcc</f>
        <v>24.390869618286739</v>
      </c>
      <c r="M32" s="16">
        <f t="shared" si="10"/>
        <v>1.8242862559367257</v>
      </c>
      <c r="N32" s="16">
        <f>N31+mr*(E31*(1-daaSVRmi)+F31*(1-daaSVRmo)+G31*(1-daaSVRcc)+L31+O31+P31)</f>
        <v>76.935322927608539</v>
      </c>
      <c r="O32" s="16">
        <f t="shared" si="11"/>
        <v>259.31279066602485</v>
      </c>
      <c r="P32" s="16">
        <f t="shared" si="12"/>
        <v>33.83238181823107</v>
      </c>
      <c r="Q32" s="16">
        <f t="shared" si="13"/>
        <v>397.00000000000011</v>
      </c>
      <c r="R32" s="16">
        <f t="shared" si="0"/>
        <v>48675.729430613712</v>
      </c>
      <c r="S32" s="16">
        <f t="shared" si="7"/>
        <v>103.11928226207671</v>
      </c>
      <c r="T32">
        <f>(E32*(cDAA+cMild)+F32*(cDAA+cModerate)+G32*(cDAA+cCom)+H32*(cDecom)+I32*(cHCC)+J32*(cLT+cLTC)+K32*cPLT+cSVR*SUM(K32,O32,P32))</f>
        <v>119058.81700257269</v>
      </c>
      <c r="U32">
        <f>(E32*uMild+F32*uModerate+G32*uCom+H32*uDecom+I32*uHCC+J32*uLT+K32*uPLT+L32*uSVRcc+O32*uSVRmi+P32*uSVRmo)</f>
        <v>252.22549101761734</v>
      </c>
    </row>
    <row r="33" spans="1:21" x14ac:dyDescent="0.2">
      <c r="A33" s="13">
        <v>27</v>
      </c>
      <c r="B33" s="2"/>
      <c r="C33" s="16">
        <f t="shared" si="1"/>
        <v>2.2325999999999999E-2</v>
      </c>
      <c r="D33" s="2"/>
      <c r="E33" s="16">
        <f>(E32*(1-daaSVRmi))*(1-tpMi2Mo-mr)</f>
        <v>4.2331834966887335E-75</v>
      </c>
      <c r="F33" s="16">
        <f>F32*(1-daaSVRmo)*(1-tpMo2Com-mr)+(E32*(1-daaSVRmi)*tpMi2Mo)</f>
        <v>2.9200833202494224E-75</v>
      </c>
      <c r="G33" s="30">
        <f>(G32*(1-daaSVRcc))*(1-tpCom2Decom-tpCom2HCC-mr)+(F32*(1-daaSVRmo)*tpMo2Com)</f>
        <v>3.2666138493271042E-41</v>
      </c>
      <c r="H33" s="16">
        <f>H32*(1-tpDecom2HCC-tpDecom2LRD-tpDecom2LT)+(G32*(1-daaSVRcc)*tpCom2Decom)+L32*tpSRF42Decom</f>
        <v>0.50723837276893746</v>
      </c>
      <c r="I33" s="16">
        <f>I32*(1-tpHCC2LRD-tpHCC2LT)+H32*tpDecom2HCC+(G32*(1-daaSVRcc)*tpCom2HCC)</f>
        <v>1.7067986022646028E-2</v>
      </c>
      <c r="J33" s="16">
        <f t="shared" si="8"/>
        <v>1.5463905626290308E-2</v>
      </c>
      <c r="K33" s="16">
        <f t="shared" si="9"/>
        <v>0.15941982466058632</v>
      </c>
      <c r="L33" s="16">
        <f>L32*(1-tpSRF42Decom-mr)+G32*daaSVRcc</f>
        <v>23.764853558663791</v>
      </c>
      <c r="M33" s="16">
        <f t="shared" si="10"/>
        <v>1.9109103852955176</v>
      </c>
      <c r="N33" s="16">
        <f>N32+mr*(E32*(1-daaSVRmi)+F32*(1-daaSVRmo)+G32*(1-daaSVRcc)+L32+O32+P32)</f>
        <v>84.024632603589907</v>
      </c>
      <c r="O33" s="16">
        <f t="shared" si="11"/>
        <v>253.52337330161518</v>
      </c>
      <c r="P33" s="16">
        <f t="shared" si="12"/>
        <v>33.077040061757245</v>
      </c>
      <c r="Q33" s="16">
        <f t="shared" si="13"/>
        <v>397.00000000000011</v>
      </c>
      <c r="R33" s="16">
        <f t="shared" si="0"/>
        <v>46006.995120954489</v>
      </c>
      <c r="S33" s="16">
        <f t="shared" si="7"/>
        <v>97.390625244941191</v>
      </c>
      <c r="T33">
        <f>(E33*(cDAA+cMild)+F33*(cDAA+cModerate)+G33*(cDAA+cCom)+H33*(cDecom)+I33*(cHCC)+J33*(cLT+cLTC)+K33*cPLT+cSVR*SUM(K33,O33,P33))</f>
        <v>116469.79559861391</v>
      </c>
      <c r="U33">
        <f>(E33*uMild+F33*uModerate+G33*uCom+H33*uDecom+I33*uHCC+J33*uLT+K33*uPLT+L33*uSVRcc+O33*uSVRmi+P33*uSVRmo)</f>
        <v>246.55090352408519</v>
      </c>
    </row>
    <row r="34" spans="1:21" x14ac:dyDescent="0.2">
      <c r="A34" s="13">
        <v>28</v>
      </c>
      <c r="B34" s="2"/>
      <c r="C34" s="16">
        <f t="shared" si="1"/>
        <v>2.5499999999999998E-2</v>
      </c>
      <c r="D34" s="2"/>
      <c r="E34" s="16">
        <f>(E33*(1-daaSVRmi))*(1-tpMi2Mo-mr)</f>
        <v>5.911417315298749E-78</v>
      </c>
      <c r="F34" s="16">
        <f>F33*(1-daaSVRmo)*(1-tpMo2Com-mr)+(E33*(1-daaSVRmi)*tpMi2Mo)</f>
        <v>4.1818523130231533E-78</v>
      </c>
      <c r="G34" s="30">
        <f>(G33*(1-daaSVRcc))*(1-tpCom2Decom-tpCom2HCC-mr)+(F33*(1-daaSVRmo)*tpMo2Com)</f>
        <v>8.9245434655428332E-43</v>
      </c>
      <c r="H34" s="16">
        <f>H33*(1-tpDecom2HCC-tpDecom2LRD-tpDecom2LT)+(G33*(1-daaSVRcc)*tpCom2Decom)+L33*tpSRF42Decom</f>
        <v>0.49835350679307938</v>
      </c>
      <c r="I34" s="16">
        <f>I33*(1-tpHCC2LRD-tpHCC2LT)+H33*tpDecom2HCC+(G33*(1-daaSVRcc)*tpCom2HCC)</f>
        <v>1.6830089251673362E-2</v>
      </c>
      <c r="J34" s="16">
        <f t="shared" si="8"/>
        <v>1.5217151183068123E-2</v>
      </c>
      <c r="K34" s="16">
        <f t="shared" si="9"/>
        <v>0.16254938009970224</v>
      </c>
      <c r="L34" s="16">
        <f>L33*(1-tpSRF42Decom-mr)+G33*daaSVRcc</f>
        <v>23.079475182031928</v>
      </c>
      <c r="M34" s="16">
        <f t="shared" si="10"/>
        <v>1.9965249579323916</v>
      </c>
      <c r="N34" s="16">
        <f>N33+mr*(E33*(1-daaSVRmi)+F33*(1-daaSVRmo)+G33*(1-daaSVRcc)+L33+O33+P33)</f>
        <v>91.938946910101834</v>
      </c>
      <c r="O34" s="16">
        <f t="shared" si="11"/>
        <v>247.058527282424</v>
      </c>
      <c r="P34" s="16">
        <f t="shared" si="12"/>
        <v>32.233575540182436</v>
      </c>
      <c r="Q34" s="16">
        <f t="shared" si="13"/>
        <v>397.00000000000011</v>
      </c>
      <c r="R34" s="16">
        <f t="shared" si="0"/>
        <v>43348.766779580197</v>
      </c>
      <c r="S34" s="16">
        <f t="shared" si="7"/>
        <v>91.681858663938385</v>
      </c>
      <c r="T34">
        <f>(E34*(cDAA+cMild)+F34*(cDAA+cModerate)+G34*(cDAA+cCom)+H34*(cDecom)+I34*(cHCC)+J34*(cLT+cLTC)+K34*cPLT+cSVR*SUM(K34,O34,P34))</f>
        <v>113581.2230890318</v>
      </c>
      <c r="U34">
        <f>(E34*uMild+F34*uModerate+G34*uCom+H34*uDecom+I34*uHCC+J34*uLT+K34*uPLT+L34*uSVRcc+O34*uSVRmi+P34*uSVRmo)</f>
        <v>240.22223504247782</v>
      </c>
    </row>
    <row r="35" spans="1:21" x14ac:dyDescent="0.2">
      <c r="A35" s="13">
        <v>29</v>
      </c>
      <c r="B35" s="2"/>
      <c r="C35" s="16">
        <f t="shared" si="1"/>
        <v>2.8122999999999999E-2</v>
      </c>
      <c r="D35" s="2"/>
      <c r="E35" s="16">
        <f>(E34*(1-daaSVRmi))*(1-tpMi2Mo-mr)</f>
        <v>8.2321778188472087E-81</v>
      </c>
      <c r="F35" s="16">
        <f>F34*(1-daaSVRmo)*(1-tpMo2Com-mr)+(E34*(1-daaSVRmi)*tpMi2Mo)</f>
        <v>5.967150557105146E-81</v>
      </c>
      <c r="G35" s="30">
        <f>(G34*(1-daaSVRcc))*(1-tpCom2Decom-tpCom2HCC-mr)+(F34*(1-daaSVRmo)*tpMo2Com)</f>
        <v>2.4312871827231026E-44</v>
      </c>
      <c r="H35" s="16">
        <f>H34*(1-tpDecom2HCC-tpDecom2LRD-tpDecom2LT)+(G34*(1-daaSVRcc)*tpCom2Decom)+L34*tpSRF42Decom</f>
        <v>0.48872544371907017</v>
      </c>
      <c r="I35" s="16">
        <f>I34*(1-tpHCC2LRD-tpHCC2LT)+H34*tpDecom2HCC+(G34*(1-daaSVRcc)*tpCom2HCC)</f>
        <v>1.657009996855693E-2</v>
      </c>
      <c r="J35" s="16">
        <f t="shared" si="8"/>
        <v>1.4950605203792381E-2</v>
      </c>
      <c r="K35" s="16">
        <f t="shared" si="9"/>
        <v>0.16530561486864304</v>
      </c>
      <c r="L35" s="16">
        <f>L34*(1-tpSRF42Decom-mr)+G34*daaSVRcc</f>
        <v>22.353325654379656</v>
      </c>
      <c r="M35" s="16">
        <f t="shared" si="10"/>
        <v>2.0810087686078385</v>
      </c>
      <c r="N35" s="16">
        <f>N34+mr*(E34*(1-daaSVRmi)+F34*(1-daaSVRmo)+G34*(1-daaSVRcc)+L34+O34+P34)</f>
        <v>100.44254279832627</v>
      </c>
      <c r="O35" s="16">
        <f t="shared" si="11"/>
        <v>240.11050031966039</v>
      </c>
      <c r="P35" s="16">
        <f t="shared" si="12"/>
        <v>31.327070695265885</v>
      </c>
      <c r="Q35" s="16">
        <f t="shared" si="13"/>
        <v>397.00000000000011</v>
      </c>
      <c r="R35" s="16">
        <f t="shared" si="0"/>
        <v>40737.130196240847</v>
      </c>
      <c r="S35" s="16">
        <f t="shared" si="7"/>
        <v>86.075589478840556</v>
      </c>
      <c r="T35">
        <f>(E35*(cDAA+cMild)+F35*(cDAA+cModerate)+G35*(cDAA+cCom)+H35*(cDecom)+I35*(cHCC)+J35*(cLT+cLTC)+K35*cPLT+cSVR*SUM(K35,O35,P35))</f>
        <v>110474.12616662812</v>
      </c>
      <c r="U35">
        <f>(E35*uMild+F35*uModerate+G35*uCom+H35*uDecom+I35*uHCC+J35*uLT+K35*uPLT+L35*uSVRcc+O35*uSVRmi+P35*uSVRmo)</f>
        <v>233.42649534084768</v>
      </c>
    </row>
    <row r="36" spans="1:21" x14ac:dyDescent="0.2">
      <c r="A36" s="13">
        <v>30</v>
      </c>
      <c r="B36" s="2"/>
      <c r="C36" s="16">
        <f t="shared" si="1"/>
        <v>3.1401999999999999E-2</v>
      </c>
      <c r="D36" s="2"/>
      <c r="E36" s="16">
        <f>(E35*(1-daaSVRmi))*(1-tpMi2Mo-mr)</f>
        <v>1.1424345019262467E-83</v>
      </c>
      <c r="F36" s="16">
        <f>F35*(1-daaSVRmo)*(1-tpMo2Com-mr)+(E35*(1-daaSVRmi)*tpMi2Mo)</f>
        <v>8.4783832686266382E-84</v>
      </c>
      <c r="G36" s="30">
        <f>(G35*(1-daaSVRcc))*(1-tpCom2Decom-tpCom2HCC-mr)+(F35*(1-daaSVRmo)*tpMo2Com)</f>
        <v>6.5998485003186445E-46</v>
      </c>
      <c r="H36" s="16">
        <f>H35*(1-tpDecom2HCC-tpDecom2LRD-tpDecom2LT)+(G35*(1-daaSVRcc)*tpCom2Decom)+L35*tpSRF42Decom</f>
        <v>0.47834732419757997</v>
      </c>
      <c r="I36" s="16">
        <f>I35*(1-tpHCC2LRD-tpHCC2LT)+H35*tpDecom2HCC+(G35*(1-daaSVRcc)*tpCom2HCC)</f>
        <v>1.6287113194144436E-2</v>
      </c>
      <c r="J36" s="16">
        <f t="shared" si="8"/>
        <v>1.4661763311572104E-2</v>
      </c>
      <c r="K36" s="16">
        <f t="shared" si="9"/>
        <v>0.16769417293212635</v>
      </c>
      <c r="L36" s="16">
        <f>L35*(1-tpSRF42Decom-mr)+G35*daaSVRcc</f>
        <v>21.576726414495198</v>
      </c>
      <c r="M36" s="16">
        <f t="shared" si="10"/>
        <v>2.1642302664181061</v>
      </c>
      <c r="N36" s="16">
        <f>N35+mr*(E35*(1-daaSVRmi)+F35*(1-daaSVRmo)+G35*(1-daaSVRcc)+L35+O35+P35)</f>
        <v>109.66816453553582</v>
      </c>
      <c r="O36" s="16">
        <f t="shared" si="11"/>
        <v>232.57055038862239</v>
      </c>
      <c r="P36" s="16">
        <f t="shared" si="12"/>
        <v>30.343338021293143</v>
      </c>
      <c r="Q36" s="16">
        <f t="shared" si="13"/>
        <v>397.00000000000011</v>
      </c>
      <c r="R36" s="16">
        <f t="shared" si="0"/>
        <v>38158.068796608262</v>
      </c>
      <c r="S36" s="16">
        <f t="shared" si="7"/>
        <v>80.539726098956308</v>
      </c>
      <c r="T36">
        <f>(E36*(cDAA+cMild)+F36*(cDAA+cModerate)+G36*(cDAA+cCom)+H36*(cDecom)+I36*(cHCC)+J36*(cLT+cLTC)+K36*cPLT+cSVR*SUM(K36,O36,P36))</f>
        <v>107101.82728192983</v>
      </c>
      <c r="U36">
        <f>(E36*uMild+F36*uModerate+G36*uCom+H36*uDecom+I36*uHCC+J36*uLT+K36*uPLT+L36*uSVRcc+O36*uSVRmi+P36*uSVRmo)</f>
        <v>226.05839619302446</v>
      </c>
    </row>
    <row r="37" spans="1:21" x14ac:dyDescent="0.2">
      <c r="A37" s="1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 t="s">
        <v>146</v>
      </c>
      <c r="S37" s="2" t="s">
        <v>109</v>
      </c>
    </row>
    <row r="38" spans="1:21" x14ac:dyDescent="0.2">
      <c r="A38" s="1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16">
        <f>SUM(R6:R36)/Q6</f>
        <v>46435.06568152504</v>
      </c>
      <c r="S38" s="38">
        <f>SUM(S7:S36)/Q7</f>
        <v>13.519381513000626</v>
      </c>
      <c r="T38">
        <f>SUM(T6:T36)/Q6</f>
        <v>50189.715112395876</v>
      </c>
      <c r="U38">
        <f>SUM(U7:U36)/Q6</f>
        <v>21.527901602612076</v>
      </c>
    </row>
    <row r="39" spans="1:21" x14ac:dyDescent="0.2">
      <c r="A39" s="11"/>
    </row>
    <row r="40" spans="1:21" x14ac:dyDescent="0.2">
      <c r="A40" s="11"/>
    </row>
    <row r="41" spans="1:21" x14ac:dyDescent="0.2">
      <c r="A41" s="11"/>
    </row>
    <row r="42" spans="1:21" x14ac:dyDescent="0.2">
      <c r="A42" s="11"/>
    </row>
    <row r="43" spans="1:21" x14ac:dyDescent="0.2">
      <c r="A43" s="11"/>
    </row>
    <row r="44" spans="1:21" x14ac:dyDescent="0.2">
      <c r="A44" s="11"/>
    </row>
    <row r="45" spans="1:21" x14ac:dyDescent="0.2">
      <c r="A45" s="11"/>
    </row>
    <row r="46" spans="1:21" x14ac:dyDescent="0.2">
      <c r="A46" s="11"/>
    </row>
    <row r="47" spans="1:21" x14ac:dyDescent="0.2">
      <c r="A47" s="11"/>
    </row>
    <row r="48" spans="1:21" x14ac:dyDescent="0.2">
      <c r="A48" s="11"/>
    </row>
    <row r="49" spans="1:1" x14ac:dyDescent="0.2">
      <c r="A49" s="11"/>
    </row>
    <row r="50" spans="1:1" x14ac:dyDescent="0.2">
      <c r="A50" s="11"/>
    </row>
    <row r="51" spans="1:1" x14ac:dyDescent="0.2">
      <c r="A51" s="11"/>
    </row>
    <row r="52" spans="1:1" x14ac:dyDescent="0.2">
      <c r="A52" s="11"/>
    </row>
    <row r="53" spans="1:1" x14ac:dyDescent="0.2">
      <c r="A53" s="11"/>
    </row>
    <row r="54" spans="1:1" x14ac:dyDescent="0.2">
      <c r="A54" s="11"/>
    </row>
    <row r="55" spans="1:1" x14ac:dyDescent="0.2">
      <c r="A55" s="11"/>
    </row>
    <row r="56" spans="1:1" x14ac:dyDescent="0.2">
      <c r="A56" s="11"/>
    </row>
    <row r="57" spans="1:1" x14ac:dyDescent="0.2">
      <c r="A57" s="11"/>
    </row>
    <row r="58" spans="1:1" x14ac:dyDescent="0.2">
      <c r="A58" s="11"/>
    </row>
    <row r="59" spans="1:1" x14ac:dyDescent="0.2">
      <c r="A59" s="11"/>
    </row>
    <row r="60" spans="1:1" x14ac:dyDescent="0.2">
      <c r="A60" s="11"/>
    </row>
    <row r="61" spans="1:1" x14ac:dyDescent="0.2">
      <c r="A61" s="11"/>
    </row>
    <row r="62" spans="1:1" x14ac:dyDescent="0.2">
      <c r="A62" s="11"/>
    </row>
    <row r="63" spans="1:1" x14ac:dyDescent="0.2">
      <c r="A63" s="11"/>
    </row>
    <row r="64" spans="1:1" x14ac:dyDescent="0.2">
      <c r="A64" s="11"/>
    </row>
    <row r="65" spans="1:1" x14ac:dyDescent="0.2">
      <c r="A65" s="11"/>
    </row>
    <row r="66" spans="1:1" x14ac:dyDescent="0.2">
      <c r="A66" s="1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58A30-7365-2447-BB8F-57E2B7646607}">
  <sheetPr codeName="Worksheet___6"/>
  <dimension ref="C6:M26"/>
  <sheetViews>
    <sheetView topLeftCell="A4" zoomScale="107" zoomScaleNormal="107" workbookViewId="0">
      <selection activeCell="P21" sqref="P21"/>
    </sheetView>
  </sheetViews>
  <sheetFormatPr baseColWidth="10" defaultRowHeight="16" x14ac:dyDescent="0.2"/>
  <sheetData>
    <row r="6" spans="3:13" x14ac:dyDescent="0.2">
      <c r="C6" s="50"/>
      <c r="D6" s="50"/>
      <c r="E6" s="50"/>
      <c r="G6" s="51" t="s">
        <v>157</v>
      </c>
      <c r="H6" s="52"/>
      <c r="I6" s="53"/>
    </row>
    <row r="7" spans="3:13" x14ac:dyDescent="0.2">
      <c r="C7" s="49"/>
      <c r="D7" s="49"/>
      <c r="E7" s="49"/>
      <c r="G7" s="54"/>
      <c r="H7" s="23">
        <v>45</v>
      </c>
      <c r="I7" s="55" t="s">
        <v>156</v>
      </c>
    </row>
    <row r="8" spans="3:13" x14ac:dyDescent="0.2">
      <c r="D8" s="49"/>
      <c r="E8" s="49"/>
      <c r="G8" s="54"/>
      <c r="H8" s="54"/>
      <c r="I8" s="54"/>
    </row>
    <row r="9" spans="3:13" x14ac:dyDescent="0.2">
      <c r="C9" s="49"/>
      <c r="D9" s="49"/>
      <c r="E9" s="49"/>
      <c r="G9" s="54"/>
      <c r="H9" s="54"/>
      <c r="I9" s="54"/>
    </row>
    <row r="10" spans="3:13" x14ac:dyDescent="0.2">
      <c r="C10" s="49"/>
      <c r="D10" s="49"/>
      <c r="E10" s="49"/>
      <c r="G10" s="54"/>
      <c r="H10" s="54"/>
      <c r="I10" s="54"/>
    </row>
    <row r="16" spans="3:13" x14ac:dyDescent="0.2">
      <c r="C16" s="56" t="s">
        <v>218</v>
      </c>
      <c r="D16" s="40"/>
      <c r="E16" s="40"/>
      <c r="F16" s="40"/>
      <c r="G16" s="40"/>
      <c r="I16" s="56" t="s">
        <v>219</v>
      </c>
      <c r="J16" s="40"/>
      <c r="K16" s="40"/>
      <c r="L16" s="40"/>
      <c r="M16" s="40"/>
    </row>
    <row r="17" spans="3:13" x14ac:dyDescent="0.2">
      <c r="C17" s="41"/>
      <c r="D17" s="41"/>
      <c r="E17" s="41"/>
      <c r="F17" s="41"/>
      <c r="G17" s="41"/>
      <c r="I17" s="41"/>
      <c r="J17" s="41"/>
      <c r="K17" s="41"/>
      <c r="L17" s="41"/>
      <c r="M17" s="41"/>
    </row>
    <row r="18" spans="3:13" x14ac:dyDescent="0.2">
      <c r="C18" s="41"/>
      <c r="D18" s="42" t="s">
        <v>148</v>
      </c>
      <c r="E18" s="42" t="s">
        <v>149</v>
      </c>
      <c r="F18" s="42" t="s">
        <v>150</v>
      </c>
      <c r="G18" s="41"/>
      <c r="I18" s="41"/>
      <c r="J18" s="42" t="s">
        <v>148</v>
      </c>
      <c r="K18" s="42" t="s">
        <v>149</v>
      </c>
      <c r="L18" s="42" t="s">
        <v>150</v>
      </c>
      <c r="M18" s="41"/>
    </row>
    <row r="19" spans="3:13" x14ac:dyDescent="0.2">
      <c r="C19" s="41"/>
      <c r="D19" s="41"/>
      <c r="E19" s="41"/>
      <c r="F19" s="41"/>
      <c r="G19" s="41"/>
      <c r="I19" s="41"/>
      <c r="J19" s="41"/>
      <c r="K19" s="41"/>
      <c r="L19" s="41"/>
      <c r="M19" s="41"/>
    </row>
    <row r="20" spans="3:13" x14ac:dyDescent="0.2">
      <c r="C20" s="41"/>
      <c r="D20" s="41" t="s">
        <v>151</v>
      </c>
      <c r="E20" s="43">
        <f>'model for PR'!R38</f>
        <v>42887.962684114173</v>
      </c>
      <c r="F20" s="44">
        <f>'model for PR'!S38</f>
        <v>13.337018523543652</v>
      </c>
      <c r="G20" s="45"/>
      <c r="I20" s="41"/>
      <c r="J20" s="41" t="s">
        <v>151</v>
      </c>
      <c r="K20" s="43">
        <f>'model for PR'!T38</f>
        <v>48396.763479132103</v>
      </c>
      <c r="L20" s="44">
        <f>'model for PR'!U38</f>
        <v>21.2555408244333</v>
      </c>
      <c r="M20" s="45"/>
    </row>
    <row r="21" spans="3:13" x14ac:dyDescent="0.2">
      <c r="C21" s="41"/>
      <c r="D21" s="41" t="s">
        <v>125</v>
      </c>
      <c r="E21" s="43">
        <f>'model for DAA'!R38</f>
        <v>46435.06568152504</v>
      </c>
      <c r="F21" s="44">
        <f>'model for DAA'!S38</f>
        <v>13.519381513000626</v>
      </c>
      <c r="G21" s="45"/>
      <c r="I21" s="41"/>
      <c r="J21" s="41" t="s">
        <v>125</v>
      </c>
      <c r="K21" s="43">
        <f>'model for DAA'!T38</f>
        <v>50189.715112395876</v>
      </c>
      <c r="L21" s="44">
        <f>'model for DAA'!U38</f>
        <v>21.527901602612076</v>
      </c>
      <c r="M21" s="45"/>
    </row>
    <row r="22" spans="3:13" x14ac:dyDescent="0.2">
      <c r="C22" s="41"/>
      <c r="D22" s="41" t="s">
        <v>152</v>
      </c>
      <c r="E22" s="43">
        <f>E21-E20</f>
        <v>3547.1029974108678</v>
      </c>
      <c r="F22" s="44">
        <f>F21-F20</f>
        <v>0.18236298945697449</v>
      </c>
      <c r="G22" s="45"/>
      <c r="I22" s="41"/>
      <c r="J22" s="41" t="s">
        <v>152</v>
      </c>
      <c r="K22" s="43">
        <f>K21-K20</f>
        <v>1792.9516332637722</v>
      </c>
      <c r="L22" s="44">
        <f>L21-L20</f>
        <v>0.27236077817877558</v>
      </c>
      <c r="M22" s="45"/>
    </row>
    <row r="23" spans="3:13" x14ac:dyDescent="0.2">
      <c r="C23" s="41"/>
      <c r="D23" s="41"/>
      <c r="E23" s="46"/>
      <c r="F23" s="47"/>
      <c r="G23" s="45"/>
      <c r="I23" s="41"/>
      <c r="J23" s="41"/>
      <c r="K23" s="46"/>
      <c r="L23" s="47"/>
      <c r="M23" s="45"/>
    </row>
    <row r="24" spans="3:13" x14ac:dyDescent="0.2">
      <c r="C24" s="41"/>
      <c r="D24" s="41" t="s">
        <v>153</v>
      </c>
      <c r="E24" s="46"/>
      <c r="F24" s="47"/>
      <c r="G24" s="45"/>
      <c r="I24" s="41"/>
      <c r="J24" s="41" t="s">
        <v>153</v>
      </c>
      <c r="K24" s="46"/>
      <c r="L24" s="47"/>
      <c r="M24" s="45"/>
    </row>
    <row r="25" spans="3:13" x14ac:dyDescent="0.2">
      <c r="C25" s="41"/>
      <c r="D25" s="41" t="s">
        <v>154</v>
      </c>
      <c r="E25" s="43">
        <f>E22/F22</f>
        <v>19450.783341362956</v>
      </c>
      <c r="F25" s="42" t="s">
        <v>155</v>
      </c>
      <c r="G25" s="41"/>
      <c r="I25" s="41"/>
      <c r="J25" s="41" t="s">
        <v>154</v>
      </c>
      <c r="K25" s="43">
        <f>K22/L22</f>
        <v>6583.0023149915232</v>
      </c>
      <c r="L25" s="42" t="s">
        <v>155</v>
      </c>
      <c r="M25" s="41"/>
    </row>
    <row r="26" spans="3:13" x14ac:dyDescent="0.2">
      <c r="C26" s="41"/>
      <c r="D26" s="41"/>
      <c r="E26" s="48"/>
      <c r="F26" s="41"/>
      <c r="G26" s="41"/>
      <c r="I26" s="41"/>
      <c r="J26" s="41"/>
      <c r="K26" s="48"/>
      <c r="L26" s="41"/>
      <c r="M26" s="41"/>
    </row>
  </sheetData>
  <dataConsolidate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Group Box 6">
              <controlPr defaultSize="0" autoFill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812800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4" name="Option Button 7">
              <controlPr defaultSize="0" autoFill="0" autoLine="0" autoPict="0">
                <anchor moveWithCells="1">
                  <from>
                    <xdr:col>2</xdr:col>
                    <xdr:colOff>114300</xdr:colOff>
                    <xdr:row>6</xdr:row>
                    <xdr:rowOff>12700</xdr:rowOff>
                  </from>
                  <to>
                    <xdr:col>3</xdr:col>
                    <xdr:colOff>558800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Option Button 8">
              <controlPr defaultSize="0" autoFill="0" autoLine="0" autoPict="0">
                <anchor moveWithCells="1">
                  <from>
                    <xdr:col>2</xdr:col>
                    <xdr:colOff>114300</xdr:colOff>
                    <xdr:row>7</xdr:row>
                    <xdr:rowOff>152400</xdr:rowOff>
                  </from>
                  <to>
                    <xdr:col>3</xdr:col>
                    <xdr:colOff>787400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0D4C-EBCE-9B44-A362-3EBC23E66C0F}">
  <sheetPr codeName="Worksheet___7"/>
  <dimension ref="A1:N86"/>
  <sheetViews>
    <sheetView zoomScale="136" zoomScaleNormal="93" workbookViewId="0">
      <selection activeCell="B16" sqref="B16"/>
    </sheetView>
  </sheetViews>
  <sheetFormatPr baseColWidth="10" defaultRowHeight="16" x14ac:dyDescent="0.2"/>
  <cols>
    <col min="1" max="1" width="20.83203125" customWidth="1"/>
    <col min="2" max="2" width="21.1640625" customWidth="1"/>
    <col min="3" max="3" width="14.33203125" customWidth="1"/>
    <col min="4" max="4" width="18.33203125" customWidth="1"/>
    <col min="5" max="5" width="17" customWidth="1"/>
    <col min="6" max="6" width="11" bestFit="1" customWidth="1"/>
    <col min="7" max="7" width="13.1640625" bestFit="1" customWidth="1"/>
    <col min="8" max="8" width="14.5" bestFit="1" customWidth="1"/>
    <col min="9" max="9" width="16.33203125" customWidth="1"/>
    <col min="10" max="10" width="12.6640625" bestFit="1" customWidth="1"/>
    <col min="11" max="11" width="11.33203125" bestFit="1" customWidth="1"/>
    <col min="12" max="12" width="11" bestFit="1" customWidth="1"/>
  </cols>
  <sheetData>
    <row r="1" spans="1:12" x14ac:dyDescent="0.2">
      <c r="A1" s="57" t="s">
        <v>159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">
      <c r="A3" s="58" t="s">
        <v>183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2">
      <c r="A4" s="1" t="s">
        <v>1</v>
      </c>
      <c r="B4" s="1" t="s">
        <v>160</v>
      </c>
      <c r="C4" s="2" t="s">
        <v>161</v>
      </c>
      <c r="D4" s="2" t="s">
        <v>162</v>
      </c>
      <c r="E4" s="2" t="s">
        <v>163</v>
      </c>
      <c r="F4" s="2" t="s">
        <v>164</v>
      </c>
      <c r="G4" s="2" t="s">
        <v>165</v>
      </c>
      <c r="H4" s="2" t="s">
        <v>166</v>
      </c>
      <c r="I4" s="2" t="s">
        <v>170</v>
      </c>
      <c r="J4" s="2" t="s">
        <v>171</v>
      </c>
      <c r="K4" s="2" t="s">
        <v>172</v>
      </c>
      <c r="L4" s="2" t="s">
        <v>173</v>
      </c>
    </row>
    <row r="5" spans="1:12" x14ac:dyDescent="0.2">
      <c r="A5" s="10" t="s">
        <v>32</v>
      </c>
      <c r="B5" s="16">
        <v>2.5000000000000001E-2</v>
      </c>
      <c r="C5" s="2">
        <v>4.0000000000000001E-3</v>
      </c>
      <c r="D5" s="2">
        <f>B5*(1-B5)</f>
        <v>2.4375000000000001E-2</v>
      </c>
      <c r="E5" s="2">
        <f t="shared" ref="E5:E14" si="0">D5/(C5*C5)</f>
        <v>1523.4375000000002</v>
      </c>
      <c r="F5" s="2">
        <f>E5-1</f>
        <v>1522.4375000000002</v>
      </c>
      <c r="G5" s="63">
        <f>B5*F5</f>
        <v>38.060937500000009</v>
      </c>
      <c r="H5" s="2">
        <f>F5-G5</f>
        <v>1484.3765625000003</v>
      </c>
      <c r="I5" s="2"/>
      <c r="J5" s="2"/>
      <c r="K5" s="2"/>
      <c r="L5" s="2"/>
    </row>
    <row r="6" spans="1:12" x14ac:dyDescent="0.2">
      <c r="A6" s="10" t="s">
        <v>33</v>
      </c>
      <c r="B6" s="16">
        <v>3.6999999999999998E-2</v>
      </c>
      <c r="C6" s="2">
        <v>7.0000000000000001E-3</v>
      </c>
      <c r="D6" s="2">
        <f>B6*(1-B6)</f>
        <v>3.5630999999999996E-2</v>
      </c>
      <c r="E6" s="2">
        <f t="shared" si="0"/>
        <v>727.1632653061223</v>
      </c>
      <c r="F6" s="2">
        <f t="shared" ref="F6:F14" si="1">E6-1</f>
        <v>726.1632653061223</v>
      </c>
      <c r="G6" s="63">
        <f>B6*F6</f>
        <v>26.868040816326523</v>
      </c>
      <c r="H6" s="63">
        <f t="shared" ref="H6:H8" si="2">F6-G6</f>
        <v>699.29522448979583</v>
      </c>
      <c r="I6" s="2"/>
      <c r="J6" s="2"/>
      <c r="K6" s="2"/>
      <c r="L6" s="2"/>
    </row>
    <row r="7" spans="1:12" x14ac:dyDescent="0.2">
      <c r="A7" s="10" t="s">
        <v>34</v>
      </c>
      <c r="B7" s="16">
        <v>3.9E-2</v>
      </c>
      <c r="C7" s="2">
        <v>0.01</v>
      </c>
      <c r="D7" s="2">
        <f>B7*(1-B7)</f>
        <v>3.7478999999999998E-2</v>
      </c>
      <c r="E7" s="2">
        <f t="shared" si="0"/>
        <v>374.78999999999996</v>
      </c>
      <c r="F7" s="2">
        <f t="shared" si="1"/>
        <v>373.78999999999996</v>
      </c>
      <c r="G7" s="63">
        <f>B7*F7</f>
        <v>14.577809999999998</v>
      </c>
      <c r="H7" s="63">
        <f t="shared" si="2"/>
        <v>359.21218999999996</v>
      </c>
      <c r="I7" s="2"/>
      <c r="J7" s="2"/>
      <c r="K7" s="2"/>
      <c r="L7" s="2"/>
    </row>
    <row r="8" spans="1:12" x14ac:dyDescent="0.2">
      <c r="A8" s="10" t="s">
        <v>35</v>
      </c>
      <c r="B8" s="16">
        <v>1.4E-2</v>
      </c>
      <c r="C8" s="2">
        <v>0.01</v>
      </c>
      <c r="D8" s="2">
        <f>B8*(1-B8)</f>
        <v>1.3804E-2</v>
      </c>
      <c r="E8" s="2">
        <f t="shared" si="0"/>
        <v>138.04</v>
      </c>
      <c r="F8" s="2">
        <f t="shared" si="1"/>
        <v>137.04</v>
      </c>
      <c r="G8" s="63">
        <f>B8*F8</f>
        <v>1.9185599999999998</v>
      </c>
      <c r="H8" s="63">
        <f t="shared" si="2"/>
        <v>135.12143999999998</v>
      </c>
      <c r="I8" s="2"/>
      <c r="J8" s="2"/>
      <c r="K8" s="2"/>
      <c r="L8" s="2"/>
    </row>
    <row r="9" spans="1:12" x14ac:dyDescent="0.2">
      <c r="A9" s="10" t="s">
        <v>77</v>
      </c>
      <c r="B9" s="59">
        <v>3.3400000000000001E-3</v>
      </c>
      <c r="C9" s="60"/>
      <c r="D9" s="2"/>
      <c r="E9" s="2"/>
      <c r="F9" s="2"/>
      <c r="G9" s="66">
        <f>B9*(B9*(1-B9)/J9-1)</f>
        <v>1976.5904903999999</v>
      </c>
      <c r="H9" s="66">
        <f>G9*(1-B9)/B9</f>
        <v>589816.96950959996</v>
      </c>
      <c r="I9" s="2">
        <f>(0.0005-0.0002)/4</f>
        <v>7.5000000000000007E-5</v>
      </c>
      <c r="J9" s="2">
        <f>I9*I9</f>
        <v>5.6250000000000007E-9</v>
      </c>
      <c r="K9" s="2">
        <v>2.0000000000000001E-4</v>
      </c>
      <c r="L9" s="2">
        <v>5.0000000000000001E-4</v>
      </c>
    </row>
    <row r="10" spans="1:12" x14ac:dyDescent="0.2">
      <c r="A10" s="10" t="s">
        <v>36</v>
      </c>
      <c r="B10" s="16">
        <v>1.4E-2</v>
      </c>
      <c r="C10" s="2">
        <v>0.01</v>
      </c>
      <c r="D10" s="2">
        <f>B10*(1-B10)</f>
        <v>1.3804E-2</v>
      </c>
      <c r="E10" s="2">
        <f t="shared" si="0"/>
        <v>138.04</v>
      </c>
      <c r="F10" s="2">
        <f t="shared" si="1"/>
        <v>137.04</v>
      </c>
      <c r="G10" s="63">
        <f>B10*F10</f>
        <v>1.9185599999999998</v>
      </c>
      <c r="H10" s="63">
        <f>F10-G10</f>
        <v>135.12143999999998</v>
      </c>
      <c r="I10" s="2"/>
      <c r="J10" s="2"/>
      <c r="K10" s="2"/>
      <c r="L10" s="2"/>
    </row>
    <row r="11" spans="1:12" x14ac:dyDescent="0.2">
      <c r="A11" s="10" t="s">
        <v>37</v>
      </c>
      <c r="B11" s="16">
        <v>0.03</v>
      </c>
      <c r="C11" s="2"/>
      <c r="D11" s="2"/>
      <c r="E11" s="2"/>
      <c r="F11" s="2"/>
      <c r="G11" s="2">
        <v>6.5255999999999998</v>
      </c>
      <c r="H11" s="2">
        <v>210.99449999999999</v>
      </c>
      <c r="I11" s="2"/>
      <c r="J11" s="2"/>
      <c r="K11" s="2"/>
      <c r="L11" s="2"/>
    </row>
    <row r="12" spans="1:12" x14ac:dyDescent="0.2">
      <c r="A12" s="10" t="s">
        <v>38</v>
      </c>
      <c r="B12" s="16">
        <v>0.13</v>
      </c>
      <c r="C12" s="2">
        <v>0.01</v>
      </c>
      <c r="D12" s="2">
        <f>B12*(1-B12)</f>
        <v>0.11310000000000001</v>
      </c>
      <c r="E12" s="2">
        <f t="shared" si="0"/>
        <v>1131</v>
      </c>
      <c r="F12" s="2">
        <f t="shared" si="1"/>
        <v>1130</v>
      </c>
      <c r="G12" s="63">
        <f>B12*F12</f>
        <v>146.9</v>
      </c>
      <c r="H12" s="63">
        <f>F12-G12</f>
        <v>983.1</v>
      </c>
      <c r="I12" s="2"/>
      <c r="J12" s="2"/>
      <c r="K12" s="2"/>
      <c r="L12" s="2"/>
    </row>
    <row r="13" spans="1:12" x14ac:dyDescent="0.2">
      <c r="A13" s="10" t="s">
        <v>39</v>
      </c>
      <c r="B13" s="16">
        <v>0</v>
      </c>
      <c r="C13" s="64" t="s">
        <v>169</v>
      </c>
      <c r="D13" s="64" t="s">
        <v>169</v>
      </c>
      <c r="E13" s="64" t="s">
        <v>169</v>
      </c>
      <c r="F13" s="64" t="s">
        <v>169</v>
      </c>
      <c r="G13" s="64" t="s">
        <v>169</v>
      </c>
      <c r="H13" s="64" t="s">
        <v>169</v>
      </c>
      <c r="I13" s="2"/>
      <c r="J13" s="2"/>
      <c r="K13" s="2"/>
      <c r="L13" s="2"/>
    </row>
    <row r="14" spans="1:12" x14ac:dyDescent="0.2">
      <c r="A14" s="10" t="s">
        <v>40</v>
      </c>
      <c r="B14" s="16">
        <v>0.43</v>
      </c>
      <c r="C14" s="2">
        <v>0.03</v>
      </c>
      <c r="D14" s="2">
        <f>B14*(1-B14)</f>
        <v>0.24510000000000001</v>
      </c>
      <c r="E14" s="2">
        <f t="shared" si="0"/>
        <v>272.33333333333337</v>
      </c>
      <c r="F14" s="2">
        <f t="shared" si="1"/>
        <v>271.33333333333337</v>
      </c>
      <c r="G14" s="63">
        <f>F14*B14</f>
        <v>116.67333333333335</v>
      </c>
      <c r="H14" s="63">
        <f>F14-G14</f>
        <v>154.66000000000003</v>
      </c>
      <c r="I14" s="2"/>
      <c r="J14" s="2"/>
      <c r="K14" s="2"/>
      <c r="L14" s="2"/>
    </row>
    <row r="15" spans="1:12" x14ac:dyDescent="0.2">
      <c r="A15" s="10" t="s">
        <v>41</v>
      </c>
      <c r="B15" s="16">
        <v>0.21</v>
      </c>
      <c r="C15" s="2"/>
      <c r="D15" s="2"/>
      <c r="E15" s="2"/>
      <c r="F15" s="2"/>
      <c r="G15" s="9">
        <v>16.276199999999999</v>
      </c>
      <c r="H15" s="9">
        <v>61.229399999999998</v>
      </c>
      <c r="I15" s="2" t="s">
        <v>181</v>
      </c>
      <c r="J15" s="2"/>
      <c r="K15" s="2"/>
      <c r="L15" s="2"/>
    </row>
    <row r="16" spans="1:12" x14ac:dyDescent="0.2">
      <c r="A16" s="10" t="s">
        <v>103</v>
      </c>
      <c r="B16" s="16">
        <f>1-B15</f>
        <v>0.79</v>
      </c>
      <c r="C16" s="61" t="s">
        <v>167</v>
      </c>
      <c r="D16" s="2"/>
      <c r="E16" s="2"/>
      <c r="F16" s="2"/>
      <c r="G16" s="2"/>
      <c r="H16" s="2"/>
      <c r="I16" s="2"/>
      <c r="J16" s="2"/>
      <c r="K16" s="2"/>
      <c r="L16" s="2"/>
    </row>
    <row r="17" spans="1:14" x14ac:dyDescent="0.2">
      <c r="A17" s="10" t="s">
        <v>42</v>
      </c>
      <c r="B17" s="16">
        <v>5.7000000000000002E-2</v>
      </c>
      <c r="C17" s="2"/>
      <c r="D17" s="2"/>
      <c r="E17" s="2"/>
      <c r="F17" s="2"/>
      <c r="G17" s="9">
        <v>22.901700000000002</v>
      </c>
      <c r="H17" s="9">
        <v>378.88249999999999</v>
      </c>
      <c r="I17" s="2" t="s">
        <v>181</v>
      </c>
      <c r="J17" s="2"/>
      <c r="K17" s="2"/>
      <c r="L17" s="2"/>
    </row>
    <row r="18" spans="1:14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4" x14ac:dyDescent="0.2">
      <c r="A19" s="1" t="s">
        <v>24</v>
      </c>
      <c r="B19" s="1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4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4" x14ac:dyDescent="0.2">
      <c r="A21" s="1" t="s">
        <v>16</v>
      </c>
      <c r="B21" s="1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4" x14ac:dyDescent="0.2">
      <c r="A22" s="1" t="s">
        <v>8</v>
      </c>
      <c r="B22" s="1" t="s">
        <v>15</v>
      </c>
      <c r="C22" s="1" t="s">
        <v>147</v>
      </c>
      <c r="D22" s="1" t="s">
        <v>184</v>
      </c>
      <c r="E22" s="1" t="s">
        <v>185</v>
      </c>
      <c r="F22" s="1" t="s">
        <v>165</v>
      </c>
      <c r="G22" s="1" t="s">
        <v>166</v>
      </c>
      <c r="H22" s="2"/>
      <c r="I22" s="2"/>
      <c r="J22" s="2"/>
      <c r="K22" s="2"/>
      <c r="L22" s="2"/>
    </row>
    <row r="23" spans="1:14" x14ac:dyDescent="0.2">
      <c r="A23" s="2" t="s">
        <v>9</v>
      </c>
      <c r="B23" s="2" t="s">
        <v>97</v>
      </c>
      <c r="C23" s="24">
        <v>0.77800000000000002</v>
      </c>
      <c r="D23" s="68">
        <v>7</v>
      </c>
      <c r="E23" s="2">
        <v>9</v>
      </c>
      <c r="F23" s="2">
        <f>D23</f>
        <v>7</v>
      </c>
      <c r="G23" s="2">
        <f>E23-D23</f>
        <v>2</v>
      </c>
      <c r="H23" s="2"/>
      <c r="I23" s="2"/>
      <c r="J23" s="2"/>
      <c r="K23" s="2"/>
      <c r="L23" s="67"/>
      <c r="M23" s="67"/>
      <c r="N23" s="67"/>
    </row>
    <row r="24" spans="1:14" x14ac:dyDescent="0.2">
      <c r="A24" s="2" t="s">
        <v>19</v>
      </c>
      <c r="B24" s="2" t="s">
        <v>98</v>
      </c>
      <c r="C24" s="24">
        <v>0.77800000000000002</v>
      </c>
      <c r="D24" s="68">
        <v>7</v>
      </c>
      <c r="E24" s="2">
        <v>9</v>
      </c>
      <c r="F24" s="2">
        <f>D24</f>
        <v>7</v>
      </c>
      <c r="G24" s="2">
        <f>E24-D24</f>
        <v>2</v>
      </c>
      <c r="H24" s="2"/>
      <c r="I24" s="2"/>
      <c r="J24" s="2"/>
      <c r="K24" s="2"/>
      <c r="L24" s="2"/>
    </row>
    <row r="25" spans="1:14" x14ac:dyDescent="0.2">
      <c r="A25" s="2" t="s">
        <v>20</v>
      </c>
      <c r="B25" s="2" t="s">
        <v>99</v>
      </c>
      <c r="C25" s="24">
        <v>0.55600000000000005</v>
      </c>
      <c r="D25" s="68">
        <v>15</v>
      </c>
      <c r="E25" s="2">
        <v>27</v>
      </c>
      <c r="F25" s="2">
        <f>D25</f>
        <v>15</v>
      </c>
      <c r="G25" s="2">
        <f>E25-D25</f>
        <v>12</v>
      </c>
      <c r="H25" s="2"/>
      <c r="I25" s="2"/>
      <c r="J25" s="2"/>
      <c r="K25" s="2"/>
      <c r="L25" s="2"/>
    </row>
    <row r="26" spans="1:14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4" x14ac:dyDescent="0.2">
      <c r="A27" s="1" t="s">
        <v>17</v>
      </c>
      <c r="B27" s="1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4" x14ac:dyDescent="0.2">
      <c r="A28" s="1" t="s">
        <v>18</v>
      </c>
      <c r="B28" s="1" t="s">
        <v>15</v>
      </c>
      <c r="C28" s="1" t="s">
        <v>83</v>
      </c>
      <c r="D28" s="1" t="s">
        <v>184</v>
      </c>
      <c r="E28" s="1" t="s">
        <v>185</v>
      </c>
      <c r="F28" s="1" t="s">
        <v>165</v>
      </c>
      <c r="G28" s="1" t="s">
        <v>166</v>
      </c>
      <c r="H28" s="2"/>
      <c r="I28" s="2"/>
      <c r="J28" s="2"/>
      <c r="K28" s="2"/>
      <c r="L28" s="2"/>
    </row>
    <row r="29" spans="1:14" x14ac:dyDescent="0.2">
      <c r="A29" s="2" t="s">
        <v>21</v>
      </c>
      <c r="B29" s="2" t="s">
        <v>100</v>
      </c>
      <c r="C29" s="24">
        <v>0.6</v>
      </c>
      <c r="D29" s="69">
        <f>INT(0.6*E29)</f>
        <v>145</v>
      </c>
      <c r="E29" s="68">
        <v>242</v>
      </c>
      <c r="F29" s="68">
        <f>D29</f>
        <v>145</v>
      </c>
      <c r="G29" s="68">
        <f>E29-D29</f>
        <v>97</v>
      </c>
      <c r="H29" s="2"/>
      <c r="I29" s="2"/>
      <c r="J29" s="2"/>
      <c r="K29" s="2"/>
      <c r="L29" s="2"/>
    </row>
    <row r="30" spans="1:14" x14ac:dyDescent="0.2">
      <c r="A30" s="2" t="s">
        <v>19</v>
      </c>
      <c r="B30" s="2" t="s">
        <v>101</v>
      </c>
      <c r="C30" s="24">
        <v>0.51</v>
      </c>
      <c r="D30" s="68">
        <f>INT(0.51*E30)</f>
        <v>32</v>
      </c>
      <c r="E30" s="68">
        <v>63</v>
      </c>
      <c r="F30" s="68">
        <f>D30</f>
        <v>32</v>
      </c>
      <c r="G30" s="68">
        <f>E30-D30</f>
        <v>31</v>
      </c>
      <c r="H30" s="2"/>
      <c r="I30" s="2"/>
      <c r="J30" s="2"/>
      <c r="K30" s="2"/>
      <c r="L30" s="2"/>
    </row>
    <row r="31" spans="1:14" x14ac:dyDescent="0.2">
      <c r="A31" s="2" t="s">
        <v>20</v>
      </c>
      <c r="B31" s="2" t="s">
        <v>102</v>
      </c>
      <c r="C31" s="24">
        <v>0.33</v>
      </c>
      <c r="D31" s="68">
        <f>INT(0.33*E31)</f>
        <v>11</v>
      </c>
      <c r="E31" s="68">
        <v>36</v>
      </c>
      <c r="F31" s="68">
        <f>D31</f>
        <v>11</v>
      </c>
      <c r="G31" s="68">
        <f>E31-D31</f>
        <v>25</v>
      </c>
      <c r="H31" s="2"/>
      <c r="I31" s="2"/>
      <c r="J31" s="2"/>
      <c r="K31" s="2"/>
      <c r="L31" s="2"/>
    </row>
    <row r="32" spans="1:14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2">
      <c r="A35" s="1" t="s">
        <v>186</v>
      </c>
      <c r="B35" s="3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2">
      <c r="A37" s="1" t="s">
        <v>1</v>
      </c>
      <c r="B37" s="1" t="s">
        <v>6</v>
      </c>
      <c r="C37" s="2" t="s">
        <v>165</v>
      </c>
      <c r="D37" s="2" t="s">
        <v>166</v>
      </c>
      <c r="E37" s="67" t="s">
        <v>182</v>
      </c>
      <c r="F37" s="2"/>
      <c r="G37" s="2"/>
      <c r="H37" s="2"/>
      <c r="I37" s="2"/>
      <c r="J37" s="2"/>
      <c r="K37" s="2"/>
      <c r="L37" s="2"/>
    </row>
    <row r="38" spans="1:12" x14ac:dyDescent="0.2">
      <c r="A38" s="2" t="s">
        <v>67</v>
      </c>
      <c r="B38" s="16">
        <f>Parameters!B48</f>
        <v>0.77</v>
      </c>
      <c r="C38" s="9">
        <v>521.23749999999995</v>
      </c>
      <c r="D38" s="9">
        <v>155.6943</v>
      </c>
      <c r="E38" s="67"/>
      <c r="F38" s="2"/>
      <c r="G38" s="2"/>
      <c r="H38" s="2"/>
      <c r="I38" s="2"/>
      <c r="J38" s="67"/>
      <c r="K38" s="67"/>
      <c r="L38" s="2"/>
    </row>
    <row r="39" spans="1:12" x14ac:dyDescent="0.2">
      <c r="A39" s="2" t="s">
        <v>68</v>
      </c>
      <c r="B39" s="16">
        <f>Parameters!B49</f>
        <v>0.66</v>
      </c>
      <c r="C39" s="9">
        <v>115.7063</v>
      </c>
      <c r="D39" s="9">
        <v>59.606299999999997</v>
      </c>
      <c r="E39" s="67"/>
      <c r="F39" s="2"/>
      <c r="G39" s="2"/>
      <c r="H39" s="2"/>
      <c r="I39" s="2"/>
      <c r="J39" s="2"/>
      <c r="K39" s="2"/>
      <c r="L39" s="2"/>
    </row>
    <row r="40" spans="1:12" x14ac:dyDescent="0.2">
      <c r="A40" s="2" t="s">
        <v>69</v>
      </c>
      <c r="B40" s="16">
        <f>Parameters!B50</f>
        <v>0.55000000000000004</v>
      </c>
      <c r="C40" s="9">
        <v>47.1021</v>
      </c>
      <c r="D40" s="9">
        <v>38.5381</v>
      </c>
      <c r="E40" s="67"/>
      <c r="F40" s="2"/>
      <c r="G40" s="2"/>
      <c r="H40" s="2"/>
      <c r="I40" s="2"/>
      <c r="J40" s="2"/>
      <c r="K40" s="2"/>
      <c r="L40" s="2"/>
    </row>
    <row r="41" spans="1:12" x14ac:dyDescent="0.2">
      <c r="A41" s="2" t="s">
        <v>70</v>
      </c>
      <c r="B41" s="16">
        <f>Parameters!B51</f>
        <v>0.45</v>
      </c>
      <c r="C41" s="9">
        <v>123.75</v>
      </c>
      <c r="D41" s="9">
        <v>151.25</v>
      </c>
      <c r="E41" s="67"/>
      <c r="F41" s="2"/>
      <c r="G41" s="2"/>
      <c r="H41" s="2"/>
      <c r="I41" s="2"/>
      <c r="J41" s="2"/>
      <c r="K41" s="2"/>
      <c r="L41" s="2"/>
    </row>
    <row r="42" spans="1:12" x14ac:dyDescent="0.2">
      <c r="A42" s="2" t="s">
        <v>71</v>
      </c>
      <c r="B42" s="16">
        <f>Parameters!B52</f>
        <v>0.45</v>
      </c>
      <c r="C42" s="9">
        <v>123.75</v>
      </c>
      <c r="D42" s="9">
        <v>151.25</v>
      </c>
      <c r="E42" s="67"/>
      <c r="F42" s="2"/>
      <c r="G42" s="2"/>
      <c r="H42" s="2"/>
      <c r="I42" s="2"/>
      <c r="J42" s="2"/>
      <c r="K42" s="2"/>
      <c r="L42" s="2"/>
    </row>
    <row r="43" spans="1:12" x14ac:dyDescent="0.2">
      <c r="A43" s="2" t="s">
        <v>72</v>
      </c>
      <c r="B43" s="16">
        <f>Parameters!B53</f>
        <v>0.45</v>
      </c>
      <c r="C43" s="9">
        <v>123.75</v>
      </c>
      <c r="D43" s="9">
        <v>151.25</v>
      </c>
      <c r="E43" s="67"/>
      <c r="F43" s="2"/>
      <c r="G43" s="2"/>
      <c r="H43" s="2"/>
      <c r="I43" s="2"/>
      <c r="J43" s="2"/>
      <c r="K43" s="2"/>
      <c r="L43" s="2"/>
    </row>
    <row r="44" spans="1:12" x14ac:dyDescent="0.2">
      <c r="A44" s="2" t="s">
        <v>73</v>
      </c>
      <c r="B44" s="16">
        <f>Parameters!B54</f>
        <v>0.67</v>
      </c>
      <c r="C44" s="9">
        <v>59.254800000000003</v>
      </c>
      <c r="D44" s="9">
        <v>29.182500000000001</v>
      </c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 t="s">
        <v>78</v>
      </c>
      <c r="B45" s="16">
        <f>Parameters!B55</f>
        <v>0.82</v>
      </c>
      <c r="C45" s="9">
        <v>65.867800000000003</v>
      </c>
      <c r="D45" s="9">
        <v>14.4588</v>
      </c>
      <c r="E45" s="2"/>
      <c r="F45" s="2"/>
      <c r="G45" s="2"/>
      <c r="H45" s="2"/>
      <c r="I45" s="2"/>
      <c r="J45" s="2"/>
      <c r="K45" s="2"/>
      <c r="L45" s="2"/>
    </row>
    <row r="46" spans="1:12" x14ac:dyDescent="0.2">
      <c r="A46" s="2" t="s">
        <v>79</v>
      </c>
      <c r="B46" s="16">
        <f>Parameters!B56</f>
        <v>0.72</v>
      </c>
      <c r="C46" s="9">
        <v>58.0608</v>
      </c>
      <c r="D46" s="9">
        <v>22.5792</v>
      </c>
      <c r="E46" s="2"/>
      <c r="F46" s="2"/>
      <c r="G46" s="2"/>
      <c r="H46" s="2"/>
      <c r="I46" s="2"/>
      <c r="J46" s="2"/>
      <c r="K46" s="2"/>
      <c r="L46" s="2"/>
    </row>
    <row r="47" spans="1:12" x14ac:dyDescent="0.2">
      <c r="A47" s="2" t="s">
        <v>80</v>
      </c>
      <c r="B47" s="16">
        <f>Parameters!B57</f>
        <v>0.61</v>
      </c>
      <c r="C47" s="9">
        <v>58.047600000000003</v>
      </c>
      <c r="D47" s="9">
        <v>37.112400000000001</v>
      </c>
      <c r="E47" s="2"/>
      <c r="F47" s="2"/>
      <c r="G47" s="2"/>
      <c r="H47" s="2"/>
      <c r="I47" s="2"/>
      <c r="J47" s="2"/>
      <c r="K47" s="2"/>
      <c r="L47" s="2"/>
    </row>
    <row r="48" spans="1:12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x14ac:dyDescent="0.2">
      <c r="A49" s="65" t="s">
        <v>176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x14ac:dyDescent="0.2">
      <c r="A50" s="3" t="s">
        <v>1</v>
      </c>
      <c r="B50" s="3" t="s">
        <v>121</v>
      </c>
      <c r="C50" s="2" t="s">
        <v>165</v>
      </c>
      <c r="D50" s="2" t="s">
        <v>166</v>
      </c>
      <c r="E50" s="2" t="s">
        <v>182</v>
      </c>
      <c r="F50" s="2"/>
      <c r="G50" s="2"/>
      <c r="H50" s="2"/>
      <c r="I50" s="2"/>
      <c r="J50" s="2"/>
      <c r="K50" s="2"/>
      <c r="L50" s="2"/>
    </row>
    <row r="51" spans="1:12" x14ac:dyDescent="0.2">
      <c r="A51" s="9" t="s">
        <v>113</v>
      </c>
      <c r="B51" s="33">
        <f>Parameters!F77</f>
        <v>138.00117510000001</v>
      </c>
      <c r="C51" s="9">
        <v>25.6995</v>
      </c>
      <c r="D51" s="9">
        <v>5.3697999999999997</v>
      </c>
      <c r="E51" s="2"/>
      <c r="F51" s="2"/>
      <c r="G51" s="2"/>
      <c r="H51" s="2"/>
      <c r="I51" s="2"/>
      <c r="J51" s="2"/>
      <c r="K51" s="2"/>
      <c r="L51" s="2"/>
    </row>
    <row r="52" spans="1:12" x14ac:dyDescent="0.2">
      <c r="A52" s="9" t="s">
        <v>114</v>
      </c>
      <c r="B52" s="33">
        <f>Parameters!F78</f>
        <v>717</v>
      </c>
      <c r="C52" s="9">
        <v>88.850200000000001</v>
      </c>
      <c r="D52" s="9">
        <v>8.0698000000000008</v>
      </c>
      <c r="E52" s="2"/>
      <c r="F52" s="2"/>
      <c r="G52" s="2"/>
      <c r="H52" s="2"/>
      <c r="I52" s="2"/>
      <c r="J52" s="2"/>
      <c r="K52" s="2"/>
      <c r="L52" s="2"/>
    </row>
    <row r="53" spans="1:12" x14ac:dyDescent="0.2">
      <c r="A53" s="9" t="s">
        <v>142</v>
      </c>
      <c r="B53" s="33">
        <f>Parameters!F79</f>
        <v>1138</v>
      </c>
      <c r="C53" s="9">
        <v>24.234200000000001</v>
      </c>
      <c r="D53" s="9">
        <v>46.958399999999997</v>
      </c>
      <c r="E53" s="2"/>
      <c r="F53" s="2"/>
      <c r="G53" s="2"/>
      <c r="H53" s="2"/>
      <c r="I53" s="2"/>
      <c r="J53" s="2"/>
      <c r="K53" s="2"/>
      <c r="L53" s="2"/>
    </row>
    <row r="54" spans="1:12" x14ac:dyDescent="0.2">
      <c r="A54" s="9" t="s">
        <v>143</v>
      </c>
      <c r="B54" s="33">
        <f>Parameters!F80</f>
        <v>9120</v>
      </c>
      <c r="C54" s="9">
        <v>36.024900000000002</v>
      </c>
      <c r="D54" s="9">
        <v>253.15819999999999</v>
      </c>
      <c r="E54" s="2"/>
      <c r="F54" s="2"/>
      <c r="G54" s="2"/>
      <c r="H54" s="2"/>
      <c r="I54" s="2"/>
      <c r="J54" s="2"/>
      <c r="K54" s="2"/>
      <c r="L54" s="2"/>
    </row>
    <row r="55" spans="1:12" x14ac:dyDescent="0.2">
      <c r="A55" s="9" t="s">
        <v>115</v>
      </c>
      <c r="B55" s="33">
        <f>Parameters!F81</f>
        <v>8127</v>
      </c>
      <c r="C55" s="9">
        <v>18.1081</v>
      </c>
      <c r="D55" s="9">
        <v>448.80450000000002</v>
      </c>
      <c r="E55" s="2"/>
      <c r="F55" s="2"/>
      <c r="G55" s="2"/>
      <c r="H55" s="2"/>
      <c r="I55" s="2"/>
      <c r="J55" s="2"/>
      <c r="K55" s="2"/>
      <c r="L55" s="2"/>
    </row>
    <row r="56" spans="1:12" x14ac:dyDescent="0.2">
      <c r="A56" s="9" t="s">
        <v>116</v>
      </c>
      <c r="B56" s="33">
        <f>Parameters!F82</f>
        <v>27330</v>
      </c>
      <c r="C56" s="9">
        <v>89.753600000000006</v>
      </c>
      <c r="D56" s="9">
        <v>304.50040000000001</v>
      </c>
      <c r="E56" s="2"/>
      <c r="F56" s="2"/>
      <c r="G56" s="2"/>
      <c r="H56" s="2"/>
      <c r="I56" s="2"/>
      <c r="J56" s="2"/>
      <c r="K56" s="2"/>
      <c r="L56" s="2"/>
    </row>
    <row r="57" spans="1:12" x14ac:dyDescent="0.2">
      <c r="A57" s="9" t="s">
        <v>180</v>
      </c>
      <c r="B57" s="33">
        <f>Parameters!F83</f>
        <v>9458</v>
      </c>
      <c r="C57" s="9">
        <v>13.7788</v>
      </c>
      <c r="D57" s="9">
        <v>686.41679999999997</v>
      </c>
      <c r="E57" s="2"/>
      <c r="F57" s="2"/>
      <c r="G57" s="2"/>
      <c r="H57" s="2"/>
      <c r="I57" s="2"/>
      <c r="J57" s="2"/>
      <c r="K57" s="2"/>
      <c r="L57" s="2"/>
    </row>
    <row r="58" spans="1:12" x14ac:dyDescent="0.2">
      <c r="A58" s="9" t="s">
        <v>117</v>
      </c>
      <c r="B58" s="33">
        <f>Parameters!F84</f>
        <v>1385</v>
      </c>
      <c r="C58" s="9">
        <v>15.2189</v>
      </c>
      <c r="D58" s="9">
        <v>91.005300000000005</v>
      </c>
      <c r="E58" s="2"/>
      <c r="F58" s="2"/>
      <c r="G58" s="2"/>
      <c r="H58" s="2"/>
      <c r="I58" s="2"/>
      <c r="J58" s="2"/>
      <c r="K58" s="2"/>
      <c r="L58" s="2"/>
    </row>
    <row r="59" spans="1:12" x14ac:dyDescent="0.2">
      <c r="A59" s="9" t="s">
        <v>144</v>
      </c>
      <c r="B59" s="33">
        <f>Parameters!F85</f>
        <v>259</v>
      </c>
      <c r="C59" s="9">
        <v>28.8141</v>
      </c>
      <c r="D59" s="9">
        <v>8.9886999999999997</v>
      </c>
      <c r="E59" s="2"/>
      <c r="F59" s="2"/>
      <c r="G59" s="2"/>
      <c r="H59" s="2"/>
      <c r="I59" s="2"/>
      <c r="J59" s="2"/>
      <c r="K59" s="2"/>
      <c r="L59" s="2"/>
    </row>
    <row r="60" spans="1:12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</sheetData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15AAB-C9C7-B245-AF06-D161550FA571}">
  <sheetPr codeName="Worksheet___10"/>
  <dimension ref="A1:BD1007"/>
  <sheetViews>
    <sheetView topLeftCell="AI66" zoomScale="88" zoomScaleNormal="88" workbookViewId="0">
      <selection activeCell="AU9" sqref="AU9"/>
    </sheetView>
  </sheetViews>
  <sheetFormatPr baseColWidth="10" defaultRowHeight="16" x14ac:dyDescent="0.2"/>
  <cols>
    <col min="4" max="4" width="14.5" customWidth="1"/>
    <col min="5" max="5" width="13" customWidth="1"/>
    <col min="6" max="6" width="15.1640625" customWidth="1"/>
    <col min="7" max="7" width="14.6640625" customWidth="1"/>
    <col min="8" max="8" width="12.1640625" customWidth="1"/>
    <col min="9" max="9" width="14.83203125" customWidth="1"/>
    <col min="10" max="10" width="13.1640625" customWidth="1"/>
    <col min="11" max="11" width="12.6640625" customWidth="1"/>
    <col min="14" max="14" width="11.83203125" customWidth="1"/>
    <col min="15" max="15" width="16" style="72" customWidth="1"/>
    <col min="31" max="31" width="13" bestFit="1" customWidth="1"/>
    <col min="32" max="32" width="11.83203125" bestFit="1" customWidth="1"/>
    <col min="39" max="39" width="12.5" customWidth="1"/>
    <col min="40" max="40" width="4.6640625" customWidth="1"/>
    <col min="47" max="47" width="4" customWidth="1"/>
    <col min="48" max="48" width="20.1640625" customWidth="1"/>
    <col min="49" max="49" width="15.6640625" customWidth="1"/>
    <col min="51" max="51" width="14.83203125" customWidth="1"/>
    <col min="52" max="52" width="14.5" customWidth="1"/>
    <col min="54" max="54" width="17.5" customWidth="1"/>
    <col min="55" max="55" width="15.6640625" customWidth="1"/>
    <col min="56" max="56" width="15.5" customWidth="1"/>
    <col min="62" max="62" width="11" customWidth="1"/>
  </cols>
  <sheetData>
    <row r="1" spans="1:56" ht="24" x14ac:dyDescent="0.2">
      <c r="A1" s="85" t="s">
        <v>205</v>
      </c>
      <c r="B1" s="86"/>
      <c r="AO1" s="89" t="s">
        <v>203</v>
      </c>
      <c r="AP1" s="90"/>
      <c r="AQ1" s="90"/>
      <c r="AR1" s="90"/>
      <c r="AV1" s="2" t="s">
        <v>208</v>
      </c>
      <c r="AW1" s="2">
        <v>100000</v>
      </c>
    </row>
    <row r="2" spans="1:56" x14ac:dyDescent="0.2">
      <c r="A2" s="91" t="s">
        <v>193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2" t="s">
        <v>195</v>
      </c>
      <c r="P2" s="93"/>
      <c r="Q2" s="93"/>
      <c r="R2" s="93"/>
      <c r="S2" s="93"/>
      <c r="T2" s="93"/>
      <c r="U2" s="89" t="s">
        <v>196</v>
      </c>
      <c r="V2" s="89"/>
      <c r="W2" s="89"/>
      <c r="X2" s="89"/>
      <c r="Y2" s="89"/>
      <c r="Z2" s="89"/>
      <c r="AA2" s="89"/>
      <c r="AB2" s="89"/>
      <c r="AC2" s="89"/>
      <c r="AD2" s="89"/>
      <c r="AE2" s="89" t="s">
        <v>197</v>
      </c>
      <c r="AF2" s="90"/>
      <c r="AG2" s="90"/>
      <c r="AH2" s="90"/>
      <c r="AI2" s="90"/>
      <c r="AJ2" s="90"/>
      <c r="AK2" s="90"/>
      <c r="AL2" s="90"/>
      <c r="AM2" s="90"/>
      <c r="AO2" s="89" t="s">
        <v>201</v>
      </c>
      <c r="AP2" s="89"/>
      <c r="AQ2" s="89" t="s">
        <v>202</v>
      </c>
      <c r="AR2" s="89"/>
      <c r="AS2" s="89" t="s">
        <v>206</v>
      </c>
      <c r="AT2" s="89"/>
      <c r="AV2" s="2" t="s">
        <v>207</v>
      </c>
      <c r="AW2" s="2"/>
      <c r="AY2" s="2" t="s">
        <v>209</v>
      </c>
      <c r="BB2" s="2" t="s">
        <v>211</v>
      </c>
    </row>
    <row r="3" spans="1:56" x14ac:dyDescent="0.2">
      <c r="A3" s="2"/>
      <c r="B3" s="10" t="s">
        <v>32</v>
      </c>
      <c r="C3" s="10" t="s">
        <v>33</v>
      </c>
      <c r="D3" s="10" t="s">
        <v>34</v>
      </c>
      <c r="E3" s="10" t="s">
        <v>35</v>
      </c>
      <c r="F3" s="10" t="s">
        <v>77</v>
      </c>
      <c r="G3" s="10" t="s">
        <v>36</v>
      </c>
      <c r="H3" s="10" t="s">
        <v>37</v>
      </c>
      <c r="I3" s="10" t="s">
        <v>38</v>
      </c>
      <c r="J3" s="10" t="s">
        <v>39</v>
      </c>
      <c r="K3" s="10" t="s">
        <v>40</v>
      </c>
      <c r="L3" s="10" t="s">
        <v>41</v>
      </c>
      <c r="M3" s="10" t="s">
        <v>103</v>
      </c>
      <c r="N3" s="10" t="s">
        <v>42</v>
      </c>
      <c r="O3" s="73" t="s">
        <v>98</v>
      </c>
      <c r="P3" s="3" t="s">
        <v>97</v>
      </c>
      <c r="Q3" s="3" t="s">
        <v>99</v>
      </c>
      <c r="R3" s="3" t="s">
        <v>100</v>
      </c>
      <c r="S3" s="3" t="s">
        <v>101</v>
      </c>
      <c r="T3" s="3" t="s">
        <v>194</v>
      </c>
      <c r="U3" s="74" t="s">
        <v>67</v>
      </c>
      <c r="V3" s="74" t="s">
        <v>68</v>
      </c>
      <c r="W3" s="74" t="s">
        <v>69</v>
      </c>
      <c r="X3" s="74" t="s">
        <v>70</v>
      </c>
      <c r="Y3" s="74" t="s">
        <v>71</v>
      </c>
      <c r="Z3" s="74" t="s">
        <v>72</v>
      </c>
      <c r="AA3" s="74" t="s">
        <v>73</v>
      </c>
      <c r="AB3" s="74" t="s">
        <v>78</v>
      </c>
      <c r="AC3" s="74" t="s">
        <v>79</v>
      </c>
      <c r="AD3" s="74" t="s">
        <v>80</v>
      </c>
      <c r="AE3" s="9" t="s">
        <v>113</v>
      </c>
      <c r="AF3" s="9" t="s">
        <v>114</v>
      </c>
      <c r="AG3" s="9" t="s">
        <v>142</v>
      </c>
      <c r="AH3" s="9" t="s">
        <v>143</v>
      </c>
      <c r="AI3" s="9" t="s">
        <v>115</v>
      </c>
      <c r="AJ3" s="9" t="s">
        <v>116</v>
      </c>
      <c r="AK3" s="9" t="s">
        <v>180</v>
      </c>
      <c r="AL3" s="9" t="s">
        <v>117</v>
      </c>
      <c r="AM3" s="9" t="s">
        <v>144</v>
      </c>
      <c r="AO3" s="2" t="s">
        <v>65</v>
      </c>
      <c r="AP3" s="2" t="s">
        <v>66</v>
      </c>
      <c r="AQ3" s="2" t="s">
        <v>65</v>
      </c>
      <c r="AR3" s="2" t="s">
        <v>200</v>
      </c>
      <c r="AS3" s="2" t="s">
        <v>65</v>
      </c>
      <c r="AT3" s="2" t="s">
        <v>200</v>
      </c>
      <c r="AV3" s="2" t="s">
        <v>204</v>
      </c>
      <c r="AW3" s="2" t="s">
        <v>202</v>
      </c>
      <c r="AY3" s="2" t="s">
        <v>204</v>
      </c>
      <c r="AZ3" s="2" t="s">
        <v>202</v>
      </c>
      <c r="BB3" s="2" t="s">
        <v>210</v>
      </c>
      <c r="BC3" s="2" t="s">
        <v>204</v>
      </c>
      <c r="BD3" s="2" t="s">
        <v>202</v>
      </c>
    </row>
    <row r="4" spans="1:56" x14ac:dyDescent="0.2">
      <c r="A4" s="2" t="s">
        <v>192</v>
      </c>
      <c r="B4" s="75">
        <f>tpMi2Mo</f>
        <v>2.5000000000000001E-2</v>
      </c>
      <c r="C4" s="75">
        <f>tpMo2Com</f>
        <v>3.6999999999999998E-2</v>
      </c>
      <c r="D4" s="75">
        <f>tpCom2Decom</f>
        <v>3.9E-2</v>
      </c>
      <c r="E4" s="75">
        <f>tpCom2HCC</f>
        <v>1.4E-2</v>
      </c>
      <c r="F4" s="75">
        <f>tpSRcc2Decom</f>
        <v>3.3400000000000001E-3</v>
      </c>
      <c r="G4" s="75">
        <f>tpDecom2HCC</f>
        <v>1.4E-2</v>
      </c>
      <c r="H4" s="75">
        <f>tpDecom2LT</f>
        <v>0.03</v>
      </c>
      <c r="I4" s="75">
        <f>tpDecom2LRD</f>
        <v>0.13</v>
      </c>
      <c r="J4" s="75">
        <f>tpHCC2LT</f>
        <v>0</v>
      </c>
      <c r="K4" s="75">
        <f>tpHCC2LRD</f>
        <v>0.43</v>
      </c>
      <c r="L4" s="75">
        <f>tpLT2LRD</f>
        <v>0.21</v>
      </c>
      <c r="M4" s="75">
        <f>tpLR2PLT</f>
        <v>0.79</v>
      </c>
      <c r="N4" s="75">
        <f>tpPLT2LRD</f>
        <v>5.7000000000000002E-2</v>
      </c>
      <c r="O4" s="75">
        <f>daaSVRmo</f>
        <v>0.99852928149811193</v>
      </c>
      <c r="P4" s="75">
        <f>daaSVRmi</f>
        <v>0.99852928149811193</v>
      </c>
      <c r="Q4" s="75">
        <f>daaSVRcc</f>
        <v>0.97035217281602271</v>
      </c>
      <c r="R4" s="75">
        <f>prSVRmi</f>
        <v>0.48406037624627107</v>
      </c>
      <c r="S4" s="75">
        <f>prSVRmo</f>
        <v>0.40261718578270667</v>
      </c>
      <c r="T4" s="75">
        <f>prSVRcc</f>
        <v>0.25116289175678652</v>
      </c>
      <c r="U4" s="75">
        <f>uMild</f>
        <v>0.77</v>
      </c>
      <c r="V4" s="75">
        <f>uModerate</f>
        <v>0.66</v>
      </c>
      <c r="W4" s="75">
        <f>uCom</f>
        <v>0.55000000000000004</v>
      </c>
      <c r="X4" s="75">
        <f>uDecom</f>
        <v>0.45</v>
      </c>
      <c r="Y4" s="75">
        <f>uHCC</f>
        <v>0.45</v>
      </c>
      <c r="Z4" s="75">
        <f>uLT</f>
        <v>0.45</v>
      </c>
      <c r="AA4" s="75">
        <f>uPLT</f>
        <v>0.67</v>
      </c>
      <c r="AB4" s="75">
        <f>uSVRmi</f>
        <v>0.82</v>
      </c>
      <c r="AC4" s="75">
        <f>uSVRmo</f>
        <v>0.72</v>
      </c>
      <c r="AD4" s="75">
        <f>uSVRcc</f>
        <v>0.61</v>
      </c>
      <c r="AE4" s="76">
        <f>cMild</f>
        <v>201.35205011234899</v>
      </c>
      <c r="AF4" s="76">
        <f>cModerate</f>
        <v>1046.1463087248321</v>
      </c>
      <c r="AG4" s="76">
        <f>cCom</f>
        <v>1660.4107382550335</v>
      </c>
      <c r="AH4" s="76">
        <f>cDecom</f>
        <v>13306.630872483222</v>
      </c>
      <c r="AI4" s="76">
        <f>cHCC</f>
        <v>11857.78389261745</v>
      </c>
      <c r="AJ4" s="76">
        <f>cLT</f>
        <v>39876.12080536913</v>
      </c>
      <c r="AK4" s="76">
        <f>cLTC</f>
        <v>13799.793288590603</v>
      </c>
      <c r="AL4" s="76">
        <f>cPLT</f>
        <v>2020.7986577181207</v>
      </c>
      <c r="AM4" s="76">
        <f>cSVR</f>
        <v>377.896644295302</v>
      </c>
      <c r="AO4" s="75">
        <f>'model for PR'!R38</f>
        <v>42887.962684114173</v>
      </c>
      <c r="AP4" s="75">
        <f>'model for PR'!S38</f>
        <v>13.337018523543652</v>
      </c>
      <c r="AQ4" s="75">
        <f>'model for DAA'!R38</f>
        <v>46435.06568152504</v>
      </c>
      <c r="AR4" s="75">
        <f>'model for DAA'!S38</f>
        <v>13.519381513000626</v>
      </c>
      <c r="AS4" s="75">
        <f>AQ4-AO4</f>
        <v>3547.1029974108678</v>
      </c>
      <c r="AT4" s="75">
        <f>AR4-AP4</f>
        <v>0.18236298945697449</v>
      </c>
      <c r="AV4" s="88">
        <f>AVERAGE(AV5:AV1004)</f>
        <v>1288663.0351135407</v>
      </c>
      <c r="AW4" s="88">
        <f>AVERAGE(AW5:AW1004)</f>
        <v>1304601.1882338822</v>
      </c>
      <c r="AY4" s="88">
        <f>AVERAGE(AY5:AY1004)</f>
        <v>0.01</v>
      </c>
      <c r="AZ4" s="88">
        <f>AVERAGE(AZ5:AZ1004)</f>
        <v>0.99</v>
      </c>
      <c r="BB4" s="87"/>
      <c r="BC4" s="87"/>
      <c r="BD4" s="87"/>
    </row>
    <row r="5" spans="1:56" x14ac:dyDescent="0.2">
      <c r="A5">
        <v>1</v>
      </c>
      <c r="B5">
        <v>2.9676881444522074E-2</v>
      </c>
      <c r="C5">
        <v>3.4988850321124941E-2</v>
      </c>
      <c r="D5">
        <v>4.6611504916886815E-2</v>
      </c>
      <c r="E5">
        <v>6.7668267278828903E-3</v>
      </c>
      <c r="F5">
        <v>3.2933839833345232E-3</v>
      </c>
      <c r="G5">
        <v>2.2117976891043445E-2</v>
      </c>
      <c r="H5">
        <v>3.5928743146498521E-2</v>
      </c>
      <c r="I5">
        <v>0.12656729857040569</v>
      </c>
      <c r="J5">
        <v>0</v>
      </c>
      <c r="K5">
        <v>0.42031859191763854</v>
      </c>
      <c r="L5">
        <v>0.15580186518635572</v>
      </c>
      <c r="M5">
        <v>0.84419813481364425</v>
      </c>
      <c r="N5">
        <v>5.8768153864487749E-2</v>
      </c>
      <c r="O5" s="72">
        <v>0.99994824705389462</v>
      </c>
      <c r="P5">
        <v>0.99575549968316157</v>
      </c>
      <c r="Q5">
        <v>0.97591409041967891</v>
      </c>
      <c r="R5">
        <v>0.50631321698642884</v>
      </c>
      <c r="S5">
        <v>0.40923857854001366</v>
      </c>
      <c r="T5">
        <v>0.1743201439916835</v>
      </c>
      <c r="U5">
        <v>0.78140452744219824</v>
      </c>
      <c r="V5">
        <v>0.61240274960156793</v>
      </c>
      <c r="W5">
        <v>0.47964088877776612</v>
      </c>
      <c r="X5">
        <v>0.41457242138847095</v>
      </c>
      <c r="Y5">
        <v>0.4461126034658246</v>
      </c>
      <c r="Z5">
        <v>0.46569918344503614</v>
      </c>
      <c r="AA5">
        <v>0.71702511635019228</v>
      </c>
      <c r="AB5">
        <v>0.83304889213087174</v>
      </c>
      <c r="AC5">
        <v>0.66307858545170273</v>
      </c>
      <c r="AD5">
        <v>0.56980888521434481</v>
      </c>
      <c r="AE5">
        <v>164.79266367068379</v>
      </c>
      <c r="AF5">
        <v>963.10441756088062</v>
      </c>
      <c r="AG5">
        <v>1748.4057316945884</v>
      </c>
      <c r="AH5">
        <v>10037.505364999855</v>
      </c>
      <c r="AI5">
        <v>15421.21275184793</v>
      </c>
      <c r="AJ5">
        <v>36109.119061855919</v>
      </c>
      <c r="AK5">
        <v>21211.037480796571</v>
      </c>
      <c r="AL5">
        <v>1743.0888011116858</v>
      </c>
      <c r="AM5">
        <v>447.94696413884151</v>
      </c>
      <c r="AO5">
        <v>44324.792092653886</v>
      </c>
      <c r="AP5">
        <v>13.308332013017042</v>
      </c>
      <c r="AQ5">
        <v>47499.854926396962</v>
      </c>
      <c r="AR5">
        <v>13.542323870615132</v>
      </c>
      <c r="AS5" s="2">
        <f>AQ5-AO5</f>
        <v>3175.0628337430753</v>
      </c>
      <c r="AT5" s="2">
        <f>AR5-AP5</f>
        <v>0.23399185759808994</v>
      </c>
      <c r="AV5">
        <f>$AW$1*AP5-AO5</f>
        <v>1286508.4092090502</v>
      </c>
      <c r="AW5">
        <f>$AW$1*AR5-AQ5</f>
        <v>1306732.5321351164</v>
      </c>
      <c r="AY5">
        <f>IF(AV5=MAX($AV5:$AW5),1,0)</f>
        <v>0</v>
      </c>
      <c r="AZ5">
        <f>IF(AW5=MAX($AV5:$AW5),1,0)</f>
        <v>1</v>
      </c>
      <c r="BB5">
        <v>0</v>
      </c>
      <c r="BC5">
        <v>0.91500000000000004</v>
      </c>
      <c r="BD5">
        <v>8.5000000000000006E-2</v>
      </c>
    </row>
    <row r="6" spans="1:56" x14ac:dyDescent="0.2">
      <c r="A6">
        <f>A5+1</f>
        <v>2</v>
      </c>
      <c r="B6">
        <v>2.6839496758836012E-2</v>
      </c>
      <c r="C6">
        <v>4.2255450395942362E-2</v>
      </c>
      <c r="D6">
        <v>3.1579916996110728E-2</v>
      </c>
      <c r="E6">
        <v>1.5109703240186012E-2</v>
      </c>
      <c r="F6">
        <v>3.3084135471198608E-3</v>
      </c>
      <c r="G6">
        <v>8.4645804074171913E-3</v>
      </c>
      <c r="H6">
        <v>1.9081139190841073E-2</v>
      </c>
      <c r="I6">
        <v>0.13571719247118075</v>
      </c>
      <c r="J6">
        <v>0</v>
      </c>
      <c r="K6">
        <v>0.48295773986473833</v>
      </c>
      <c r="L6">
        <v>0.20273221471069894</v>
      </c>
      <c r="M6">
        <v>0.79726778528930109</v>
      </c>
      <c r="N6">
        <v>5.3604501815707382E-2</v>
      </c>
      <c r="O6" s="72">
        <v>0.99689559438892694</v>
      </c>
      <c r="P6">
        <v>0.99858761768054294</v>
      </c>
      <c r="Q6">
        <v>0.97756266977713424</v>
      </c>
      <c r="R6">
        <v>0.48774693458135376</v>
      </c>
      <c r="S6">
        <v>0.33402346396913973</v>
      </c>
      <c r="T6">
        <v>0.23873789303482584</v>
      </c>
      <c r="U6">
        <v>0.77681371510806896</v>
      </c>
      <c r="V6">
        <v>0.67725303793371605</v>
      </c>
      <c r="W6">
        <v>0.57937971642342134</v>
      </c>
      <c r="X6">
        <v>0.38806965478047301</v>
      </c>
      <c r="Y6">
        <v>0.49543862672636474</v>
      </c>
      <c r="Z6">
        <v>0.45458769113132524</v>
      </c>
      <c r="AA6">
        <v>0.60469703428468335</v>
      </c>
      <c r="AB6">
        <v>0.83785295212038968</v>
      </c>
      <c r="AC6">
        <v>0.73282218311384628</v>
      </c>
      <c r="AD6">
        <v>0.60346029944129731</v>
      </c>
      <c r="AE6">
        <v>239.53872572915222</v>
      </c>
      <c r="AF6">
        <v>1034.0991730565715</v>
      </c>
      <c r="AG6">
        <v>1500.8475176125494</v>
      </c>
      <c r="AH6">
        <v>9551.759078078032</v>
      </c>
      <c r="AI6">
        <v>9932.9860796507728</v>
      </c>
      <c r="AJ6">
        <v>39052.656985493268</v>
      </c>
      <c r="AK6">
        <v>14178.310583562343</v>
      </c>
      <c r="AL6">
        <v>2384.5035266704876</v>
      </c>
      <c r="AM6">
        <v>385.8307078753557</v>
      </c>
      <c r="AO6">
        <v>43750.39048460871</v>
      </c>
      <c r="AP6">
        <v>13.581323800757469</v>
      </c>
      <c r="AQ6">
        <v>46470.148979645317</v>
      </c>
      <c r="AR6">
        <v>13.779905269351135</v>
      </c>
      <c r="AS6" s="2">
        <f t="shared" ref="AS6:AS69" si="0">AQ6-AO6</f>
        <v>2719.7584950366072</v>
      </c>
      <c r="AT6" s="2">
        <f t="shared" ref="AT6:AT69" si="1">AR6-AP6</f>
        <v>0.19858146859366599</v>
      </c>
      <c r="AV6">
        <f t="shared" ref="AV6:AV69" si="2">$AW$1*AP6-AO6</f>
        <v>1314381.9895911382</v>
      </c>
      <c r="AW6">
        <f t="shared" ref="AW6:AW69" si="3">$AW$1*AR6-AQ6</f>
        <v>1331520.3779554681</v>
      </c>
      <c r="AY6">
        <f t="shared" ref="AY6:AY69" si="4">IF(AV6=MAX($AV6:$AW6),1,0)</f>
        <v>0</v>
      </c>
      <c r="AZ6">
        <f t="shared" ref="AZ6:AZ69" si="5">IF(AW6=MAX($AV6:$AW6),1,0)</f>
        <v>1</v>
      </c>
      <c r="BB6">
        <v>100</v>
      </c>
      <c r="BC6">
        <v>0.91300000000000003</v>
      </c>
      <c r="BD6">
        <v>8.6999999999999994E-2</v>
      </c>
    </row>
    <row r="7" spans="1:56" x14ac:dyDescent="0.2">
      <c r="A7">
        <f>A6+1</f>
        <v>3</v>
      </c>
      <c r="B7">
        <v>2.6906992371349747E-2</v>
      </c>
      <c r="C7">
        <v>4.5513852233910468E-2</v>
      </c>
      <c r="D7">
        <v>2.5387914637474897E-2</v>
      </c>
      <c r="E7">
        <v>1.7505075083801835E-2</v>
      </c>
      <c r="F7">
        <v>3.1842241072457308E-3</v>
      </c>
      <c r="G7">
        <v>8.9144449116049587E-3</v>
      </c>
      <c r="H7">
        <v>3.7708320044830046E-2</v>
      </c>
      <c r="I7">
        <v>0.14203305899064544</v>
      </c>
      <c r="J7">
        <v>0</v>
      </c>
      <c r="K7">
        <v>0.39700913293170381</v>
      </c>
      <c r="L7">
        <v>0.22841442677968538</v>
      </c>
      <c r="M7">
        <v>0.77158557322031462</v>
      </c>
      <c r="N7">
        <v>3.9148239936343157E-2</v>
      </c>
      <c r="O7" s="72">
        <v>0.96210446618482459</v>
      </c>
      <c r="P7">
        <v>0.97846135116782329</v>
      </c>
      <c r="Q7">
        <v>0.97070171444695252</v>
      </c>
      <c r="R7">
        <v>0.46737648385266917</v>
      </c>
      <c r="S7">
        <v>0.37492484551133987</v>
      </c>
      <c r="T7">
        <v>0.18621255805723913</v>
      </c>
      <c r="U7">
        <v>0.78810896941267561</v>
      </c>
      <c r="V7">
        <v>0.66161284584897939</v>
      </c>
      <c r="W7">
        <v>0.53325597435971184</v>
      </c>
      <c r="X7">
        <v>0.40345408774664759</v>
      </c>
      <c r="Y7">
        <v>0.47362360747267562</v>
      </c>
      <c r="Z7">
        <v>0.47065975320137599</v>
      </c>
      <c r="AA7">
        <v>0.77956440726720089</v>
      </c>
      <c r="AB7">
        <v>0.81587306249626634</v>
      </c>
      <c r="AC7">
        <v>0.70810659759397954</v>
      </c>
      <c r="AD7">
        <v>0.62829835879989315</v>
      </c>
      <c r="AE7">
        <v>256.32433918264996</v>
      </c>
      <c r="AF7">
        <v>1050.0665024463447</v>
      </c>
      <c r="AG7">
        <v>2136.4298827249272</v>
      </c>
      <c r="AH7">
        <v>16154.003720341234</v>
      </c>
      <c r="AI7">
        <v>12931.655368500251</v>
      </c>
      <c r="AJ7">
        <v>42316.674828029216</v>
      </c>
      <c r="AK7">
        <v>11535.389097263274</v>
      </c>
      <c r="AL7">
        <v>1652.4175920766515</v>
      </c>
      <c r="AM7">
        <v>392.76700017393892</v>
      </c>
      <c r="AO7">
        <v>46100.021632758668</v>
      </c>
      <c r="AP7">
        <v>13.263838535667157</v>
      </c>
      <c r="AQ7">
        <v>47568.457604905321</v>
      </c>
      <c r="AR7">
        <v>13.464700686421399</v>
      </c>
      <c r="AS7" s="2">
        <f t="shared" si="0"/>
        <v>1468.4359721466535</v>
      </c>
      <c r="AT7" s="2">
        <f t="shared" si="1"/>
        <v>0.20086215075424185</v>
      </c>
      <c r="AV7">
        <f t="shared" si="2"/>
        <v>1280283.8319339571</v>
      </c>
      <c r="AW7">
        <f t="shared" si="3"/>
        <v>1298901.6110372345</v>
      </c>
      <c r="AY7">
        <f t="shared" si="4"/>
        <v>0</v>
      </c>
      <c r="AZ7">
        <f t="shared" si="5"/>
        <v>1</v>
      </c>
      <c r="BB7">
        <v>200</v>
      </c>
      <c r="BC7">
        <v>0.91300000000000003</v>
      </c>
      <c r="BD7">
        <v>8.6999999999999994E-2</v>
      </c>
    </row>
    <row r="8" spans="1:56" x14ac:dyDescent="0.2">
      <c r="A8">
        <f t="shared" ref="A8:A71" si="6">A7+1</f>
        <v>4</v>
      </c>
      <c r="B8">
        <v>2.2250433696726045E-2</v>
      </c>
      <c r="C8">
        <v>3.6753940875286606E-2</v>
      </c>
      <c r="D8">
        <v>2.6080802330102928E-2</v>
      </c>
      <c r="E8">
        <v>2.1532755334827403E-3</v>
      </c>
      <c r="F8">
        <v>3.3184280331748301E-3</v>
      </c>
      <c r="G8">
        <v>7.8200142832519411E-3</v>
      </c>
      <c r="H8">
        <v>2.6108228793966244E-2</v>
      </c>
      <c r="I8">
        <v>0.12615505610735472</v>
      </c>
      <c r="J8">
        <v>0</v>
      </c>
      <c r="K8">
        <v>0.52214300485666121</v>
      </c>
      <c r="L8">
        <v>0.27248181486016076</v>
      </c>
      <c r="M8">
        <v>0.72751818513983924</v>
      </c>
      <c r="N8">
        <v>5.7324348801926162E-2</v>
      </c>
      <c r="O8" s="72">
        <v>0.99718343967694867</v>
      </c>
      <c r="P8">
        <v>0.99977654049991949</v>
      </c>
      <c r="Q8">
        <v>0.99672119294895656</v>
      </c>
      <c r="R8">
        <v>0.48012297477127275</v>
      </c>
      <c r="S8">
        <v>0.43697162518751764</v>
      </c>
      <c r="T8">
        <v>0.31249429911931081</v>
      </c>
      <c r="U8">
        <v>0.77783933237483827</v>
      </c>
      <c r="V8">
        <v>0.65762607706688359</v>
      </c>
      <c r="W8">
        <v>0.54222557176456743</v>
      </c>
      <c r="X8">
        <v>0.41967793224887973</v>
      </c>
      <c r="Y8">
        <v>0.41297041455766637</v>
      </c>
      <c r="Z8">
        <v>0.46591432986420178</v>
      </c>
      <c r="AA8">
        <v>0.6379186287669939</v>
      </c>
      <c r="AB8">
        <v>0.78002361026515554</v>
      </c>
      <c r="AC8">
        <v>0.7036554821692681</v>
      </c>
      <c r="AD8">
        <v>0.62996427946434697</v>
      </c>
      <c r="AE8">
        <v>170.17635112487255</v>
      </c>
      <c r="AF8">
        <v>1179.9518252845771</v>
      </c>
      <c r="AG8">
        <v>1649.5945094873316</v>
      </c>
      <c r="AH8">
        <v>12824.323252366423</v>
      </c>
      <c r="AI8">
        <v>8818.0657601341281</v>
      </c>
      <c r="AJ8">
        <v>43882.37518405616</v>
      </c>
      <c r="AK8">
        <v>16740.99742834401</v>
      </c>
      <c r="AL8">
        <v>1315.3664375279104</v>
      </c>
      <c r="AM8">
        <v>337.3240936122242</v>
      </c>
      <c r="AO8">
        <v>41214.849218087205</v>
      </c>
      <c r="AP8">
        <v>12.87739423986516</v>
      </c>
      <c r="AQ8">
        <v>45660.208484153809</v>
      </c>
      <c r="AR8">
        <v>12.963358700283022</v>
      </c>
      <c r="AS8" s="2">
        <f t="shared" si="0"/>
        <v>4445.3592660666036</v>
      </c>
      <c r="AT8" s="2">
        <f t="shared" si="1"/>
        <v>8.5964460417862654E-2</v>
      </c>
      <c r="AV8">
        <f t="shared" si="2"/>
        <v>1246524.5747684287</v>
      </c>
      <c r="AW8">
        <f t="shared" si="3"/>
        <v>1250675.6615441486</v>
      </c>
      <c r="AY8">
        <f t="shared" si="4"/>
        <v>0</v>
      </c>
      <c r="AZ8">
        <f t="shared" si="5"/>
        <v>1</v>
      </c>
      <c r="BB8">
        <v>300</v>
      </c>
      <c r="BC8">
        <v>0.91100000000000003</v>
      </c>
      <c r="BD8">
        <v>8.8999999999999996E-2</v>
      </c>
    </row>
    <row r="9" spans="1:56" x14ac:dyDescent="0.2">
      <c r="A9">
        <f t="shared" si="6"/>
        <v>5</v>
      </c>
      <c r="B9">
        <v>3.1491792209163205E-2</v>
      </c>
      <c r="C9">
        <v>3.1771120957623231E-2</v>
      </c>
      <c r="D9">
        <v>3.6369916754217968E-2</v>
      </c>
      <c r="E9">
        <v>1.356747424125615E-2</v>
      </c>
      <c r="F9">
        <v>3.3112168812050717E-3</v>
      </c>
      <c r="G9">
        <v>2.0965573483885613E-2</v>
      </c>
      <c r="H9">
        <v>2.7187059433914286E-2</v>
      </c>
      <c r="I9">
        <v>0.12165996182892486</v>
      </c>
      <c r="J9">
        <v>0</v>
      </c>
      <c r="K9">
        <v>0.43033995129308256</v>
      </c>
      <c r="L9">
        <v>0.20464438972862842</v>
      </c>
      <c r="M9">
        <v>0.79535561027137158</v>
      </c>
      <c r="N9">
        <v>6.3327626121834846E-2</v>
      </c>
      <c r="O9" s="72">
        <v>0.99676845580478013</v>
      </c>
      <c r="P9">
        <v>0.99838996124401147</v>
      </c>
      <c r="Q9">
        <v>0.99195117326376214</v>
      </c>
      <c r="R9">
        <v>0.47045006964295033</v>
      </c>
      <c r="S9">
        <v>0.42040242714078246</v>
      </c>
      <c r="T9">
        <v>0.1501654206655848</v>
      </c>
      <c r="U9">
        <v>0.76431574088958376</v>
      </c>
      <c r="V9">
        <v>0.6727056150313</v>
      </c>
      <c r="W9">
        <v>0.51668381713200484</v>
      </c>
      <c r="X9">
        <v>0.40883451993604714</v>
      </c>
      <c r="Y9">
        <v>0.49645401381952903</v>
      </c>
      <c r="Z9">
        <v>0.41212040598042315</v>
      </c>
      <c r="AA9">
        <v>0.68418682892690497</v>
      </c>
      <c r="AB9">
        <v>0.8866178417578211</v>
      </c>
      <c r="AC9">
        <v>0.7536651943444812</v>
      </c>
      <c r="AD9">
        <v>0.64535960600039766</v>
      </c>
      <c r="AE9">
        <v>229.51065061858773</v>
      </c>
      <c r="AF9">
        <v>1282.3536707960004</v>
      </c>
      <c r="AG9">
        <v>1810.5602451847287</v>
      </c>
      <c r="AH9">
        <v>12933.979038590101</v>
      </c>
      <c r="AI9">
        <v>16814.469501318748</v>
      </c>
      <c r="AJ9">
        <v>38854.06105288463</v>
      </c>
      <c r="AK9">
        <v>13706.214072458824</v>
      </c>
      <c r="AL9">
        <v>3068.1214630872432</v>
      </c>
      <c r="AM9">
        <v>308.70556207241754</v>
      </c>
      <c r="AO9">
        <v>45072.395328855506</v>
      </c>
      <c r="AP9">
        <v>14.210600943576734</v>
      </c>
      <c r="AQ9">
        <v>45348.617887949113</v>
      </c>
      <c r="AR9">
        <v>14.5526087690338</v>
      </c>
      <c r="AS9" s="2">
        <f t="shared" si="0"/>
        <v>276.22255909360683</v>
      </c>
      <c r="AT9" s="2">
        <f t="shared" si="1"/>
        <v>0.3420078254570651</v>
      </c>
      <c r="AV9">
        <f t="shared" si="2"/>
        <v>1375987.6990288179</v>
      </c>
      <c r="AW9">
        <f t="shared" si="3"/>
        <v>1409912.2590154309</v>
      </c>
      <c r="AY9">
        <f t="shared" si="4"/>
        <v>0</v>
      </c>
      <c r="AZ9">
        <f t="shared" si="5"/>
        <v>1</v>
      </c>
      <c r="BB9">
        <v>400</v>
      </c>
      <c r="BC9">
        <v>0.90900000000000003</v>
      </c>
      <c r="BD9">
        <v>9.0999999999999998E-2</v>
      </c>
    </row>
    <row r="10" spans="1:56" x14ac:dyDescent="0.2">
      <c r="A10">
        <f t="shared" si="6"/>
        <v>6</v>
      </c>
      <c r="B10">
        <v>2.2915552361644515E-2</v>
      </c>
      <c r="C10">
        <v>3.3296186125726983E-2</v>
      </c>
      <c r="D10">
        <v>2.8315983878340781E-2</v>
      </c>
      <c r="E10">
        <v>2.1931664305333887E-2</v>
      </c>
      <c r="F10">
        <v>3.2547139300680376E-3</v>
      </c>
      <c r="G10">
        <v>1.2145612403506534E-2</v>
      </c>
      <c r="H10">
        <v>2.6692233766198187E-2</v>
      </c>
      <c r="I10">
        <v>0.12939041560293862</v>
      </c>
      <c r="J10">
        <v>0</v>
      </c>
      <c r="K10">
        <v>0.4229510488287162</v>
      </c>
      <c r="L10">
        <v>0.2074311998200247</v>
      </c>
      <c r="M10">
        <v>0.79256880017997533</v>
      </c>
      <c r="N10">
        <v>5.5505103800979297E-2</v>
      </c>
      <c r="O10" s="72">
        <v>0.99999177257156846</v>
      </c>
      <c r="P10">
        <v>0.99997117683732017</v>
      </c>
      <c r="Q10">
        <v>0.90747549494133806</v>
      </c>
      <c r="R10">
        <v>0.50303081741197198</v>
      </c>
      <c r="S10">
        <v>0.34154219375151229</v>
      </c>
      <c r="T10">
        <v>0.17357204916519053</v>
      </c>
      <c r="U10">
        <v>0.79324973950346767</v>
      </c>
      <c r="V10">
        <v>0.68141017399659343</v>
      </c>
      <c r="W10">
        <v>0.71274062329436583</v>
      </c>
      <c r="X10">
        <v>0.42764987879802652</v>
      </c>
      <c r="Y10">
        <v>0.42049386064681671</v>
      </c>
      <c r="Z10">
        <v>0.47605398941369348</v>
      </c>
      <c r="AA10">
        <v>0.6654946177841331</v>
      </c>
      <c r="AB10">
        <v>0.80346276624727131</v>
      </c>
      <c r="AC10">
        <v>0.70109994148130284</v>
      </c>
      <c r="AD10">
        <v>0.60436313405735764</v>
      </c>
      <c r="AE10">
        <v>257.94272540715201</v>
      </c>
      <c r="AF10">
        <v>952.65578044634265</v>
      </c>
      <c r="AG10">
        <v>1443.5298038536132</v>
      </c>
      <c r="AH10">
        <v>12452.76365477012</v>
      </c>
      <c r="AI10">
        <v>12298.381643946403</v>
      </c>
      <c r="AJ10">
        <v>36368.99649787003</v>
      </c>
      <c r="AK10">
        <v>11107.954527751435</v>
      </c>
      <c r="AL10">
        <v>1636.8391629668461</v>
      </c>
      <c r="AM10">
        <v>381.26101743179549</v>
      </c>
      <c r="AO10">
        <v>44325.91633293323</v>
      </c>
      <c r="AP10">
        <v>13.119943112952505</v>
      </c>
      <c r="AQ10">
        <v>46660.939209317839</v>
      </c>
      <c r="AR10">
        <v>13.24703916089387</v>
      </c>
      <c r="AS10" s="2">
        <f t="shared" si="0"/>
        <v>2335.0228763846098</v>
      </c>
      <c r="AT10" s="2">
        <f t="shared" si="1"/>
        <v>0.12709604794136453</v>
      </c>
      <c r="AV10">
        <f t="shared" si="2"/>
        <v>1267668.3949623173</v>
      </c>
      <c r="AW10">
        <f t="shared" si="3"/>
        <v>1278042.9768800691</v>
      </c>
      <c r="AY10">
        <f t="shared" si="4"/>
        <v>0</v>
      </c>
      <c r="AZ10">
        <f t="shared" si="5"/>
        <v>1</v>
      </c>
      <c r="BB10">
        <v>500</v>
      </c>
      <c r="BC10">
        <v>0.90900000000000003</v>
      </c>
      <c r="BD10">
        <v>9.0999999999999998E-2</v>
      </c>
    </row>
    <row r="11" spans="1:56" x14ac:dyDescent="0.2">
      <c r="A11">
        <f t="shared" si="6"/>
        <v>7</v>
      </c>
      <c r="B11">
        <v>2.8970064196679912E-2</v>
      </c>
      <c r="C11">
        <v>3.5817834023804035E-2</v>
      </c>
      <c r="D11">
        <v>5.3418454400337545E-2</v>
      </c>
      <c r="E11">
        <v>1.8014899261757922E-2</v>
      </c>
      <c r="F11">
        <v>3.2249693412393131E-3</v>
      </c>
      <c r="G11">
        <v>5.55269831550112E-3</v>
      </c>
      <c r="H11">
        <v>1.1544826522239185E-2</v>
      </c>
      <c r="I11">
        <v>0.12532892632170869</v>
      </c>
      <c r="J11">
        <v>0</v>
      </c>
      <c r="K11">
        <v>0.46958599012530911</v>
      </c>
      <c r="L11">
        <v>0.20109917916830994</v>
      </c>
      <c r="M11">
        <v>0.79890082083169012</v>
      </c>
      <c r="N11">
        <v>4.9270833621225071E-2</v>
      </c>
      <c r="O11" s="72">
        <v>0.99793365130223244</v>
      </c>
      <c r="P11">
        <v>0.9937035915064959</v>
      </c>
      <c r="Q11">
        <v>0.97775318433792269</v>
      </c>
      <c r="R11">
        <v>0.46073037167804909</v>
      </c>
      <c r="S11">
        <v>0.40599949590083562</v>
      </c>
      <c r="T11">
        <v>0.31942021487267869</v>
      </c>
      <c r="U11">
        <v>0.76376852573971943</v>
      </c>
      <c r="V11">
        <v>0.63948865451947046</v>
      </c>
      <c r="W11">
        <v>0.61938876739821547</v>
      </c>
      <c r="X11">
        <v>0.46089776734347454</v>
      </c>
      <c r="Y11">
        <v>0.4547644335866613</v>
      </c>
      <c r="Z11">
        <v>0.35637097839700926</v>
      </c>
      <c r="AA11">
        <v>0.7832982395933642</v>
      </c>
      <c r="AB11">
        <v>0.87974382649284877</v>
      </c>
      <c r="AC11">
        <v>0.73318209251738986</v>
      </c>
      <c r="AD11">
        <v>0.56692823330143371</v>
      </c>
      <c r="AE11">
        <v>158.65351030181085</v>
      </c>
      <c r="AF11">
        <v>879.07998792852186</v>
      </c>
      <c r="AG11">
        <v>1946.1929666778385</v>
      </c>
      <c r="AH11">
        <v>15108.510496533463</v>
      </c>
      <c r="AI11">
        <v>13352.002276303523</v>
      </c>
      <c r="AJ11">
        <v>39220.155813748148</v>
      </c>
      <c r="AK11">
        <v>10650.843946339319</v>
      </c>
      <c r="AL11">
        <v>1786.165490728031</v>
      </c>
      <c r="AM11">
        <v>507.88327397241</v>
      </c>
      <c r="AO11">
        <v>45128.730963740047</v>
      </c>
      <c r="AP11">
        <v>14.057830851250751</v>
      </c>
      <c r="AQ11">
        <v>48615.089375415802</v>
      </c>
      <c r="AR11">
        <v>14.313150822367851</v>
      </c>
      <c r="AS11" s="2">
        <f t="shared" si="0"/>
        <v>3486.3584116757556</v>
      </c>
      <c r="AT11" s="2">
        <f t="shared" si="1"/>
        <v>0.2553199711170997</v>
      </c>
      <c r="AV11">
        <f t="shared" si="2"/>
        <v>1360654.3541613352</v>
      </c>
      <c r="AW11">
        <f t="shared" si="3"/>
        <v>1382699.9928613692</v>
      </c>
      <c r="AY11">
        <f t="shared" si="4"/>
        <v>0</v>
      </c>
      <c r="AZ11">
        <f t="shared" si="5"/>
        <v>1</v>
      </c>
      <c r="BB11">
        <v>600</v>
      </c>
      <c r="BC11">
        <v>0.90800000000000003</v>
      </c>
      <c r="BD11">
        <v>9.1999999999999998E-2</v>
      </c>
    </row>
    <row r="12" spans="1:56" x14ac:dyDescent="0.2">
      <c r="A12">
        <f t="shared" si="6"/>
        <v>8</v>
      </c>
      <c r="B12">
        <v>1.7509471976722316E-2</v>
      </c>
      <c r="C12">
        <v>4.0731794556092993E-2</v>
      </c>
      <c r="D12">
        <v>4.0896932580814394E-2</v>
      </c>
      <c r="E12">
        <v>1.3707471523698223E-2</v>
      </c>
      <c r="F12">
        <v>3.1632618805747404E-3</v>
      </c>
      <c r="G12">
        <v>3.2726288080009718E-3</v>
      </c>
      <c r="H12">
        <v>4.1565409500412431E-2</v>
      </c>
      <c r="I12">
        <v>0.12158420624841867</v>
      </c>
      <c r="J12">
        <v>0</v>
      </c>
      <c r="K12">
        <v>0.40338010748002101</v>
      </c>
      <c r="L12">
        <v>0.14107908045626699</v>
      </c>
      <c r="M12">
        <v>0.85892091954373306</v>
      </c>
      <c r="N12">
        <v>4.1323624629295702E-2</v>
      </c>
      <c r="O12" s="72">
        <v>0.99757898087639829</v>
      </c>
      <c r="P12">
        <v>0.9999953641188345</v>
      </c>
      <c r="Q12">
        <v>0.97227340829565401</v>
      </c>
      <c r="R12">
        <v>0.52587903479403519</v>
      </c>
      <c r="S12">
        <v>0.47675156289475373</v>
      </c>
      <c r="T12">
        <v>0.15391436927651247</v>
      </c>
      <c r="U12">
        <v>0.77282493969229304</v>
      </c>
      <c r="V12">
        <v>0.67632364671784151</v>
      </c>
      <c r="W12">
        <v>0.54946515523016037</v>
      </c>
      <c r="X12">
        <v>0.44689841502263411</v>
      </c>
      <c r="Y12">
        <v>0.44800625243854009</v>
      </c>
      <c r="Z12">
        <v>0.42657746789858686</v>
      </c>
      <c r="AA12">
        <v>0.6740966463357615</v>
      </c>
      <c r="AB12">
        <v>0.72588681235249453</v>
      </c>
      <c r="AC12">
        <v>0.73706367507865411</v>
      </c>
      <c r="AD12">
        <v>0.63692122116743244</v>
      </c>
      <c r="AE12">
        <v>150.46719433652149</v>
      </c>
      <c r="AF12">
        <v>867.02076237977224</v>
      </c>
      <c r="AG12">
        <v>1852.920648755834</v>
      </c>
      <c r="AH12">
        <v>15864.614340706945</v>
      </c>
      <c r="AI12">
        <v>11809.758747371769</v>
      </c>
      <c r="AJ12">
        <v>36144.500865089482</v>
      </c>
      <c r="AK12">
        <v>14236.290018245381</v>
      </c>
      <c r="AL12">
        <v>2411.0911547370656</v>
      </c>
      <c r="AM12">
        <v>312.09666214406474</v>
      </c>
      <c r="AO12">
        <v>41759.655130479128</v>
      </c>
      <c r="AP12">
        <v>12.159018568840787</v>
      </c>
      <c r="AQ12">
        <v>45367.208594583004</v>
      </c>
      <c r="AR12">
        <v>12.284698182617415</v>
      </c>
      <c r="AS12" s="2">
        <f t="shared" si="0"/>
        <v>3607.5534641038757</v>
      </c>
      <c r="AT12" s="2">
        <f t="shared" si="1"/>
        <v>0.12567961377662762</v>
      </c>
      <c r="AV12">
        <f t="shared" si="2"/>
        <v>1174142.2017535998</v>
      </c>
      <c r="AW12">
        <f t="shared" si="3"/>
        <v>1183102.6096671585</v>
      </c>
      <c r="AY12">
        <f t="shared" si="4"/>
        <v>0</v>
      </c>
      <c r="AZ12">
        <f t="shared" si="5"/>
        <v>1</v>
      </c>
      <c r="BB12">
        <v>700</v>
      </c>
      <c r="BC12">
        <v>0.90600000000000003</v>
      </c>
      <c r="BD12">
        <v>9.4E-2</v>
      </c>
    </row>
    <row r="13" spans="1:56" x14ac:dyDescent="0.2">
      <c r="A13">
        <f t="shared" si="6"/>
        <v>9</v>
      </c>
      <c r="B13">
        <v>3.0174108994598492E-2</v>
      </c>
      <c r="C13">
        <v>3.2842209318287047E-2</v>
      </c>
      <c r="D13">
        <v>6.6224734685906284E-2</v>
      </c>
      <c r="E13">
        <v>8.5287227853030716E-3</v>
      </c>
      <c r="F13">
        <v>3.3394059996804809E-3</v>
      </c>
      <c r="G13">
        <v>6.6217325280173685E-3</v>
      </c>
      <c r="H13">
        <v>2.9103436432993846E-2</v>
      </c>
      <c r="I13">
        <v>0.13398995713527884</v>
      </c>
      <c r="J13">
        <v>0</v>
      </c>
      <c r="K13">
        <v>0.38526478024623495</v>
      </c>
      <c r="L13">
        <v>0.20593756326914561</v>
      </c>
      <c r="M13">
        <v>0.79406243673085442</v>
      </c>
      <c r="N13">
        <v>4.3730705135241493E-2</v>
      </c>
      <c r="O13" s="72">
        <v>0.99912610487940801</v>
      </c>
      <c r="P13">
        <v>0.99521600091608098</v>
      </c>
      <c r="Q13">
        <v>0.96347334559029418</v>
      </c>
      <c r="R13">
        <v>0.5178831423525152</v>
      </c>
      <c r="S13">
        <v>0.35353501481631933</v>
      </c>
      <c r="T13">
        <v>0.32716360938652744</v>
      </c>
      <c r="U13">
        <v>0.76059863806645212</v>
      </c>
      <c r="V13">
        <v>0.66555630567705804</v>
      </c>
      <c r="W13">
        <v>0.55906902666657643</v>
      </c>
      <c r="X13">
        <v>0.44902235283580427</v>
      </c>
      <c r="Y13">
        <v>0.41754694097020034</v>
      </c>
      <c r="Z13">
        <v>0.45655458692642181</v>
      </c>
      <c r="AA13">
        <v>0.63356548242916144</v>
      </c>
      <c r="AB13">
        <v>0.82547080411924223</v>
      </c>
      <c r="AC13">
        <v>0.69030625352143071</v>
      </c>
      <c r="AD13">
        <v>0.64972378153312005</v>
      </c>
      <c r="AE13">
        <v>203.15979797148276</v>
      </c>
      <c r="AF13">
        <v>1119.8349178746407</v>
      </c>
      <c r="AG13">
        <v>1385.2930715049558</v>
      </c>
      <c r="AH13">
        <v>10704.92257526813</v>
      </c>
      <c r="AI13">
        <v>12495.77534580781</v>
      </c>
      <c r="AJ13">
        <v>40290.753021011471</v>
      </c>
      <c r="AK13">
        <v>16904.830165271756</v>
      </c>
      <c r="AL13">
        <v>1289.1395423388867</v>
      </c>
      <c r="AM13">
        <v>444.80501757607936</v>
      </c>
      <c r="AO13">
        <v>41768.853860646806</v>
      </c>
      <c r="AP13">
        <v>13.398145735799366</v>
      </c>
      <c r="AQ13">
        <v>47544.213237570708</v>
      </c>
      <c r="AR13">
        <v>13.594615652994481</v>
      </c>
      <c r="AS13" s="2">
        <f t="shared" si="0"/>
        <v>5775.3593769239014</v>
      </c>
      <c r="AT13" s="2">
        <f t="shared" si="1"/>
        <v>0.19646991719511497</v>
      </c>
      <c r="AV13">
        <f t="shared" si="2"/>
        <v>1298045.7197192898</v>
      </c>
      <c r="AW13">
        <f t="shared" si="3"/>
        <v>1311917.3520618775</v>
      </c>
      <c r="AY13">
        <f t="shared" si="4"/>
        <v>0</v>
      </c>
      <c r="AZ13">
        <f t="shared" si="5"/>
        <v>1</v>
      </c>
      <c r="BB13">
        <v>800</v>
      </c>
      <c r="BC13">
        <v>0.90500000000000003</v>
      </c>
      <c r="BD13">
        <v>9.5000000000000001E-2</v>
      </c>
    </row>
    <row r="14" spans="1:56" x14ac:dyDescent="0.2">
      <c r="A14">
        <f t="shared" si="6"/>
        <v>10</v>
      </c>
      <c r="B14">
        <v>2.8723202033731687E-2</v>
      </c>
      <c r="C14">
        <v>2.8482651467386034E-2</v>
      </c>
      <c r="D14">
        <v>3.1222724817616336E-2</v>
      </c>
      <c r="E14">
        <v>9.2803799112081541E-3</v>
      </c>
      <c r="F14">
        <v>3.3574795913007272E-3</v>
      </c>
      <c r="G14">
        <v>1.8690710510354203E-2</v>
      </c>
      <c r="H14">
        <v>3.1700414398509014E-2</v>
      </c>
      <c r="I14">
        <v>0.13407450824698752</v>
      </c>
      <c r="J14">
        <v>0</v>
      </c>
      <c r="K14">
        <v>0.42300353889264686</v>
      </c>
      <c r="L14">
        <v>0.17901208836330501</v>
      </c>
      <c r="M14">
        <v>0.82098791163669493</v>
      </c>
      <c r="N14">
        <v>4.8813336877619226E-2</v>
      </c>
      <c r="O14" s="72">
        <v>0.99978865318468657</v>
      </c>
      <c r="P14">
        <v>0.99999999373413007</v>
      </c>
      <c r="Q14">
        <v>0.83665559618140339</v>
      </c>
      <c r="R14">
        <v>0.53155017106189995</v>
      </c>
      <c r="S14">
        <v>0.37713750141276303</v>
      </c>
      <c r="T14">
        <v>0.25193463811752681</v>
      </c>
      <c r="U14">
        <v>0.77282357363120524</v>
      </c>
      <c r="V14">
        <v>0.62609321773951521</v>
      </c>
      <c r="W14">
        <v>0.55777275945518323</v>
      </c>
      <c r="X14">
        <v>0.44779428109856562</v>
      </c>
      <c r="Y14">
        <v>0.49641529677152307</v>
      </c>
      <c r="Z14">
        <v>0.47225443252810817</v>
      </c>
      <c r="AA14">
        <v>0.72706862140319939</v>
      </c>
      <c r="AB14">
        <v>0.80219976342145216</v>
      </c>
      <c r="AC14">
        <v>0.7050851364447539</v>
      </c>
      <c r="AD14">
        <v>0.59739040272368493</v>
      </c>
      <c r="AE14">
        <v>202.85522276501686</v>
      </c>
      <c r="AF14">
        <v>1169.2589225274437</v>
      </c>
      <c r="AG14">
        <v>2794.8957904128538</v>
      </c>
      <c r="AH14">
        <v>10492.894865541855</v>
      </c>
      <c r="AI14">
        <v>12928.575479038076</v>
      </c>
      <c r="AJ14">
        <v>39422.40939297642</v>
      </c>
      <c r="AK14">
        <v>7133.4058205307374</v>
      </c>
      <c r="AL14">
        <v>1462.2832901657516</v>
      </c>
      <c r="AM14">
        <v>328.56312762555365</v>
      </c>
      <c r="AO14">
        <v>40497.708453944986</v>
      </c>
      <c r="AP14">
        <v>13.090251741758117</v>
      </c>
      <c r="AQ14">
        <v>46207.610383280211</v>
      </c>
      <c r="AR14">
        <v>13.224573054175501</v>
      </c>
      <c r="AS14" s="2">
        <f t="shared" si="0"/>
        <v>5709.9019293352248</v>
      </c>
      <c r="AT14" s="2">
        <f t="shared" si="1"/>
        <v>0.13432131241738432</v>
      </c>
      <c r="AV14">
        <f t="shared" si="2"/>
        <v>1268527.4657218668</v>
      </c>
      <c r="AW14">
        <f t="shared" si="3"/>
        <v>1276249.6950342697</v>
      </c>
      <c r="AY14">
        <f t="shared" si="4"/>
        <v>0</v>
      </c>
      <c r="AZ14">
        <f t="shared" si="5"/>
        <v>1</v>
      </c>
      <c r="BB14">
        <v>900</v>
      </c>
      <c r="BC14">
        <v>0.90400000000000003</v>
      </c>
      <c r="BD14">
        <v>9.6000000000000002E-2</v>
      </c>
    </row>
    <row r="15" spans="1:56" x14ac:dyDescent="0.2">
      <c r="A15">
        <f t="shared" si="6"/>
        <v>11</v>
      </c>
      <c r="B15">
        <v>2.5910708124225024E-2</v>
      </c>
      <c r="C15">
        <v>2.232948076620379E-2</v>
      </c>
      <c r="D15">
        <v>2.7264555717776869E-2</v>
      </c>
      <c r="E15">
        <v>1.4006106257751227E-2</v>
      </c>
      <c r="F15">
        <v>3.4363533825130244E-3</v>
      </c>
      <c r="G15">
        <v>1.2833743147797394E-2</v>
      </c>
      <c r="H15">
        <v>3.8977690140226673E-2</v>
      </c>
      <c r="I15">
        <v>0.13249000761827368</v>
      </c>
      <c r="J15">
        <v>0</v>
      </c>
      <c r="K15">
        <v>0.39603761744764282</v>
      </c>
      <c r="L15">
        <v>0.17807333319382954</v>
      </c>
      <c r="M15">
        <v>0.82192666680617044</v>
      </c>
      <c r="N15">
        <v>9.4137963466496388E-2</v>
      </c>
      <c r="O15" s="72">
        <v>0.99965946488035484</v>
      </c>
      <c r="P15">
        <v>0.99925302597240173</v>
      </c>
      <c r="Q15">
        <v>0.98984912954922255</v>
      </c>
      <c r="R15">
        <v>0.51944604230708169</v>
      </c>
      <c r="S15">
        <v>0.49215232424923006</v>
      </c>
      <c r="T15">
        <v>0.21183202444265448</v>
      </c>
      <c r="U15">
        <v>0.74000671589362599</v>
      </c>
      <c r="V15">
        <v>0.66554130842335169</v>
      </c>
      <c r="W15">
        <v>0.56972565739960501</v>
      </c>
      <c r="X15">
        <v>0.48456623243173513</v>
      </c>
      <c r="Y15">
        <v>0.46019655680533456</v>
      </c>
      <c r="Z15">
        <v>0.45578219349783089</v>
      </c>
      <c r="AA15">
        <v>0.63439674816711011</v>
      </c>
      <c r="AB15">
        <v>0.86194775992627726</v>
      </c>
      <c r="AC15">
        <v>0.74203726942446679</v>
      </c>
      <c r="AD15">
        <v>0.66721345559611778</v>
      </c>
      <c r="AE15">
        <v>247.28642379254873</v>
      </c>
      <c r="AF15">
        <v>919.67785622658971</v>
      </c>
      <c r="AG15">
        <v>1588.7566688356058</v>
      </c>
      <c r="AH15">
        <v>16551.992701028837</v>
      </c>
      <c r="AI15">
        <v>9055.3349371727236</v>
      </c>
      <c r="AJ15">
        <v>41410.855537525749</v>
      </c>
      <c r="AK15">
        <v>10424.265958437223</v>
      </c>
      <c r="AL15">
        <v>1328.9770038813178</v>
      </c>
      <c r="AM15">
        <v>481.32962232448375</v>
      </c>
      <c r="AO15">
        <v>42730.23164178626</v>
      </c>
      <c r="AP15">
        <v>13.987989322087262</v>
      </c>
      <c r="AQ15">
        <v>48042.833226299379</v>
      </c>
      <c r="AR15">
        <v>14.219772157884227</v>
      </c>
      <c r="AS15" s="2">
        <f t="shared" si="0"/>
        <v>5312.6015845131187</v>
      </c>
      <c r="AT15" s="2">
        <f t="shared" si="1"/>
        <v>0.2317828357969649</v>
      </c>
      <c r="AV15">
        <f t="shared" si="2"/>
        <v>1356068.70056694</v>
      </c>
      <c r="AW15">
        <f t="shared" si="3"/>
        <v>1373934.3825621232</v>
      </c>
      <c r="AY15">
        <f t="shared" si="4"/>
        <v>0</v>
      </c>
      <c r="AZ15">
        <f t="shared" si="5"/>
        <v>1</v>
      </c>
      <c r="BB15">
        <v>1000</v>
      </c>
      <c r="BC15">
        <v>0.90200000000000002</v>
      </c>
      <c r="BD15">
        <v>9.8000000000000004E-2</v>
      </c>
    </row>
    <row r="16" spans="1:56" x14ac:dyDescent="0.2">
      <c r="A16">
        <f t="shared" si="6"/>
        <v>12</v>
      </c>
      <c r="B16">
        <v>2.5744559389145438E-2</v>
      </c>
      <c r="C16">
        <v>5.3170032248643473E-2</v>
      </c>
      <c r="D16">
        <v>4.1385109360179584E-2</v>
      </c>
      <c r="E16">
        <v>6.3614992542169752E-3</v>
      </c>
      <c r="F16">
        <v>3.2532992831320042E-3</v>
      </c>
      <c r="G16">
        <v>3.2203447948580211E-2</v>
      </c>
      <c r="H16">
        <v>2.0591919158830504E-2</v>
      </c>
      <c r="I16">
        <v>0.12714549384812862</v>
      </c>
      <c r="J16">
        <v>0</v>
      </c>
      <c r="K16">
        <v>0.40091928369300256</v>
      </c>
      <c r="L16">
        <v>0.25505600845408283</v>
      </c>
      <c r="M16">
        <v>0.74494399154591717</v>
      </c>
      <c r="N16">
        <v>5.5583992368866388E-2</v>
      </c>
      <c r="O16" s="72">
        <v>0.99999879138470871</v>
      </c>
      <c r="P16">
        <v>0.99999586463292445</v>
      </c>
      <c r="Q16">
        <v>0.98949469044921456</v>
      </c>
      <c r="R16">
        <v>0.47933936000776189</v>
      </c>
      <c r="S16">
        <v>0.48635847453791237</v>
      </c>
      <c r="T16">
        <v>0.2006332757680952</v>
      </c>
      <c r="U16">
        <v>0.72846762262677034</v>
      </c>
      <c r="V16">
        <v>0.69608161493182541</v>
      </c>
      <c r="W16">
        <v>0.55192095720119161</v>
      </c>
      <c r="X16">
        <v>0.40399791441998067</v>
      </c>
      <c r="Y16">
        <v>0.46157346697081336</v>
      </c>
      <c r="Z16">
        <v>0.4959348617208309</v>
      </c>
      <c r="AA16">
        <v>0.59553462797825929</v>
      </c>
      <c r="AB16">
        <v>0.80595142975012446</v>
      </c>
      <c r="AC16">
        <v>0.73216036550393171</v>
      </c>
      <c r="AD16">
        <v>0.62685761580141031</v>
      </c>
      <c r="AE16">
        <v>173.02777318062479</v>
      </c>
      <c r="AF16">
        <v>1010.332031393124</v>
      </c>
      <c r="AG16">
        <v>1898.9435715597569</v>
      </c>
      <c r="AH16">
        <v>11788.446694965058</v>
      </c>
      <c r="AI16">
        <v>17617.361994358987</v>
      </c>
      <c r="AJ16">
        <v>40384.720928106282</v>
      </c>
      <c r="AK16">
        <v>19149.093658517046</v>
      </c>
      <c r="AL16">
        <v>2303.91656270258</v>
      </c>
      <c r="AM16">
        <v>395.60436710697923</v>
      </c>
      <c r="AO16">
        <v>43689.042518937385</v>
      </c>
      <c r="AP16">
        <v>13.156668867037242</v>
      </c>
      <c r="AQ16">
        <v>46551.986919154799</v>
      </c>
      <c r="AR16">
        <v>13.369349859823064</v>
      </c>
      <c r="AS16" s="2">
        <f t="shared" si="0"/>
        <v>2862.9444002174132</v>
      </c>
      <c r="AT16" s="2">
        <f t="shared" si="1"/>
        <v>0.2126809927858222</v>
      </c>
      <c r="AV16">
        <f t="shared" si="2"/>
        <v>1271977.8441847868</v>
      </c>
      <c r="AW16">
        <f t="shared" si="3"/>
        <v>1290382.9990631514</v>
      </c>
      <c r="AY16">
        <f t="shared" si="4"/>
        <v>0</v>
      </c>
      <c r="AZ16">
        <f t="shared" si="5"/>
        <v>1</v>
      </c>
      <c r="BB16">
        <v>1500</v>
      </c>
      <c r="BC16">
        <v>0.88900000000000001</v>
      </c>
      <c r="BD16">
        <v>0.111</v>
      </c>
    </row>
    <row r="17" spans="1:56" x14ac:dyDescent="0.2">
      <c r="A17">
        <f t="shared" si="6"/>
        <v>13</v>
      </c>
      <c r="B17">
        <v>2.7148216996450092E-2</v>
      </c>
      <c r="C17">
        <v>2.5544273765396669E-2</v>
      </c>
      <c r="D17">
        <v>3.1511076256840839E-2</v>
      </c>
      <c r="E17">
        <v>1.4982697856491201E-2</v>
      </c>
      <c r="F17">
        <v>3.3694992710756599E-3</v>
      </c>
      <c r="G17">
        <v>2.3489577130330841E-2</v>
      </c>
      <c r="H17">
        <v>3.5052292138474828E-2</v>
      </c>
      <c r="I17">
        <v>0.12461947839294792</v>
      </c>
      <c r="J17">
        <v>0</v>
      </c>
      <c r="K17">
        <v>0.42391414452713311</v>
      </c>
      <c r="L17">
        <v>0.21288120663283605</v>
      </c>
      <c r="M17">
        <v>0.78711879336716395</v>
      </c>
      <c r="N17">
        <v>5.5174257092919343E-2</v>
      </c>
      <c r="O17" s="72">
        <v>0.99999993279580979</v>
      </c>
      <c r="P17">
        <v>0.99969913854631021</v>
      </c>
      <c r="Q17">
        <v>0.97497120226017298</v>
      </c>
      <c r="R17">
        <v>0.46015084024408792</v>
      </c>
      <c r="S17">
        <v>0.36882981538080817</v>
      </c>
      <c r="T17">
        <v>0.16118103724469612</v>
      </c>
      <c r="U17">
        <v>0.7945403501818008</v>
      </c>
      <c r="V17">
        <v>0.64753351135970394</v>
      </c>
      <c r="W17">
        <v>0.61251467145633032</v>
      </c>
      <c r="X17">
        <v>0.47908802669016703</v>
      </c>
      <c r="Y17">
        <v>0.43696748354693438</v>
      </c>
      <c r="Z17">
        <v>0.458719534244029</v>
      </c>
      <c r="AA17">
        <v>0.63763587587976656</v>
      </c>
      <c r="AB17">
        <v>0.84847706904748965</v>
      </c>
      <c r="AC17">
        <v>0.67674957116387569</v>
      </c>
      <c r="AD17">
        <v>0.54550704926891425</v>
      </c>
      <c r="AE17">
        <v>236.27783280714877</v>
      </c>
      <c r="AF17">
        <v>817.31941600695757</v>
      </c>
      <c r="AG17">
        <v>1838.6189692068272</v>
      </c>
      <c r="AH17">
        <v>13206.683340269563</v>
      </c>
      <c r="AI17">
        <v>13601.721651283598</v>
      </c>
      <c r="AJ17">
        <v>38871.109598514755</v>
      </c>
      <c r="AK17">
        <v>18360.892513053543</v>
      </c>
      <c r="AL17">
        <v>1458.031562902645</v>
      </c>
      <c r="AM17">
        <v>363.17509830491758</v>
      </c>
      <c r="AO17">
        <v>46469.426342626495</v>
      </c>
      <c r="AP17">
        <v>13.552914736160837</v>
      </c>
      <c r="AQ17">
        <v>46166.478940218549</v>
      </c>
      <c r="AR17">
        <v>13.748985194298131</v>
      </c>
      <c r="AS17" s="2">
        <f t="shared" si="0"/>
        <v>-302.94740240794636</v>
      </c>
      <c r="AT17" s="2">
        <f t="shared" si="1"/>
        <v>0.19607045813729407</v>
      </c>
      <c r="AV17">
        <f t="shared" si="2"/>
        <v>1308822.0472734571</v>
      </c>
      <c r="AW17">
        <f t="shared" si="3"/>
        <v>1328732.0404895947</v>
      </c>
      <c r="AY17">
        <f t="shared" si="4"/>
        <v>0</v>
      </c>
      <c r="AZ17">
        <f t="shared" si="5"/>
        <v>1</v>
      </c>
      <c r="BB17">
        <v>2000</v>
      </c>
      <c r="BC17">
        <v>0.88300000000000001</v>
      </c>
      <c r="BD17">
        <v>0.11700000000000001</v>
      </c>
    </row>
    <row r="18" spans="1:56" x14ac:dyDescent="0.2">
      <c r="A18">
        <f t="shared" si="6"/>
        <v>14</v>
      </c>
      <c r="B18">
        <v>2.358669982991897E-2</v>
      </c>
      <c r="C18">
        <v>3.3418479707342179E-2</v>
      </c>
      <c r="D18">
        <v>4.6267085194233282E-2</v>
      </c>
      <c r="E18">
        <v>1.52978540133005E-3</v>
      </c>
      <c r="F18">
        <v>3.4714901117551822E-3</v>
      </c>
      <c r="G18">
        <v>3.3009805004541653E-3</v>
      </c>
      <c r="H18">
        <v>3.6788533577445826E-2</v>
      </c>
      <c r="I18">
        <v>0.12937183699329441</v>
      </c>
      <c r="J18">
        <v>0</v>
      </c>
      <c r="K18">
        <v>0.4718830861191321</v>
      </c>
      <c r="L18">
        <v>0.15123987394990954</v>
      </c>
      <c r="M18">
        <v>0.84876012605009044</v>
      </c>
      <c r="N18">
        <v>5.9029603678969922E-2</v>
      </c>
      <c r="O18" s="72">
        <v>0.99339143877363933</v>
      </c>
      <c r="P18">
        <v>0.99932012403442472</v>
      </c>
      <c r="Q18">
        <v>0.97396589150072621</v>
      </c>
      <c r="R18">
        <v>0.50879026051175047</v>
      </c>
      <c r="S18">
        <v>0.30446921388096582</v>
      </c>
      <c r="T18">
        <v>0.23807149002216976</v>
      </c>
      <c r="U18">
        <v>0.7790292528209295</v>
      </c>
      <c r="V18">
        <v>0.62115779863393339</v>
      </c>
      <c r="W18">
        <v>0.51110100508814471</v>
      </c>
      <c r="X18">
        <v>0.46444307708490296</v>
      </c>
      <c r="Y18">
        <v>0.47934435544739373</v>
      </c>
      <c r="Z18">
        <v>0.47061956395697235</v>
      </c>
      <c r="AA18">
        <v>0.68370472542987704</v>
      </c>
      <c r="AB18">
        <v>0.80728712605498987</v>
      </c>
      <c r="AC18">
        <v>0.76461857248941512</v>
      </c>
      <c r="AD18">
        <v>0.63595648005217131</v>
      </c>
      <c r="AE18">
        <v>188.82111211568076</v>
      </c>
      <c r="AF18">
        <v>918.83777895877574</v>
      </c>
      <c r="AG18">
        <v>1595.3784214533689</v>
      </c>
      <c r="AH18">
        <v>15726.19685326834</v>
      </c>
      <c r="AI18">
        <v>10372.435778840103</v>
      </c>
      <c r="AJ18">
        <v>35690.172130704013</v>
      </c>
      <c r="AK18">
        <v>7848.9657224065777</v>
      </c>
      <c r="AL18">
        <v>2971.1674224241542</v>
      </c>
      <c r="AM18">
        <v>360.8935609516617</v>
      </c>
      <c r="AO18">
        <v>43310.170572845811</v>
      </c>
      <c r="AP18">
        <v>13.277941946378764</v>
      </c>
      <c r="AQ18">
        <v>46194.835783367416</v>
      </c>
      <c r="AR18">
        <v>13.459696737969054</v>
      </c>
      <c r="AS18" s="2">
        <f t="shared" si="0"/>
        <v>2884.6652105216053</v>
      </c>
      <c r="AT18" s="2">
        <f t="shared" si="1"/>
        <v>0.18175479159028995</v>
      </c>
      <c r="AV18">
        <f t="shared" si="2"/>
        <v>1284484.0240650307</v>
      </c>
      <c r="AW18">
        <f t="shared" si="3"/>
        <v>1299774.8380135379</v>
      </c>
      <c r="AY18">
        <f t="shared" si="4"/>
        <v>0</v>
      </c>
      <c r="AZ18">
        <f t="shared" si="5"/>
        <v>1</v>
      </c>
      <c r="BB18">
        <v>2500</v>
      </c>
      <c r="BC18">
        <v>0.873</v>
      </c>
      <c r="BD18">
        <v>0.127</v>
      </c>
    </row>
    <row r="19" spans="1:56" x14ac:dyDescent="0.2">
      <c r="A19">
        <f t="shared" si="6"/>
        <v>15</v>
      </c>
      <c r="B19">
        <v>2.3763198285888212E-2</v>
      </c>
      <c r="C19">
        <v>4.6179756943251382E-2</v>
      </c>
      <c r="D19">
        <v>3.559939843348537E-2</v>
      </c>
      <c r="E19">
        <v>1.943025047264979E-2</v>
      </c>
      <c r="F19">
        <v>3.3483068449358111E-3</v>
      </c>
      <c r="G19">
        <v>5.4577763864198823E-3</v>
      </c>
      <c r="H19">
        <v>1.6561858500587282E-2</v>
      </c>
      <c r="I19">
        <v>0.13987615826608157</v>
      </c>
      <c r="J19">
        <v>0</v>
      </c>
      <c r="K19">
        <v>0.40551774622983355</v>
      </c>
      <c r="L19">
        <v>0.22122215448362581</v>
      </c>
      <c r="M19">
        <v>0.77877784551637419</v>
      </c>
      <c r="N19">
        <v>5.6721251333845646E-2</v>
      </c>
      <c r="O19" s="72">
        <v>0.99313387740299575</v>
      </c>
      <c r="P19">
        <v>0.99994460400603469</v>
      </c>
      <c r="Q19">
        <v>0.93736874715891982</v>
      </c>
      <c r="R19">
        <v>0.495420483505847</v>
      </c>
      <c r="S19">
        <v>0.48658005892779854</v>
      </c>
      <c r="T19">
        <v>0.33849536235197897</v>
      </c>
      <c r="U19">
        <v>0.77228940948096136</v>
      </c>
      <c r="V19">
        <v>0.63356209448186729</v>
      </c>
      <c r="W19">
        <v>0.53453295695459391</v>
      </c>
      <c r="X19">
        <v>0.42264548627376025</v>
      </c>
      <c r="Y19">
        <v>0.46399423114292992</v>
      </c>
      <c r="Z19">
        <v>0.41642535875469072</v>
      </c>
      <c r="AA19">
        <v>0.66594961435329003</v>
      </c>
      <c r="AB19">
        <v>0.81124413209682456</v>
      </c>
      <c r="AC19">
        <v>0.69334981789894368</v>
      </c>
      <c r="AD19">
        <v>0.63661978025689747</v>
      </c>
      <c r="AE19">
        <v>169.26162434511386</v>
      </c>
      <c r="AF19">
        <v>914.36092758651228</v>
      </c>
      <c r="AG19">
        <v>1812.3396788583359</v>
      </c>
      <c r="AH19">
        <v>15600.714243934544</v>
      </c>
      <c r="AI19">
        <v>10262.833659190639</v>
      </c>
      <c r="AJ19">
        <v>39828.886917394586</v>
      </c>
      <c r="AK19">
        <v>14463.381332441426</v>
      </c>
      <c r="AL19">
        <v>1263.961279966233</v>
      </c>
      <c r="AM19">
        <v>404.71524992761147</v>
      </c>
      <c r="AO19">
        <v>40744.134583323357</v>
      </c>
      <c r="AP19">
        <v>13.229777945051152</v>
      </c>
      <c r="AQ19">
        <v>46970.359425350449</v>
      </c>
      <c r="AR19">
        <v>13.383020397930409</v>
      </c>
      <c r="AS19" s="2">
        <f t="shared" si="0"/>
        <v>6226.2248420270917</v>
      </c>
      <c r="AT19" s="2">
        <f t="shared" si="1"/>
        <v>0.15324245287925642</v>
      </c>
      <c r="AV19">
        <f t="shared" si="2"/>
        <v>1282233.6599217919</v>
      </c>
      <c r="AW19">
        <f t="shared" si="3"/>
        <v>1291331.6803676903</v>
      </c>
      <c r="AY19">
        <f t="shared" si="4"/>
        <v>0</v>
      </c>
      <c r="AZ19">
        <f t="shared" si="5"/>
        <v>1</v>
      </c>
      <c r="BB19">
        <v>3000</v>
      </c>
      <c r="BC19">
        <v>0.86</v>
      </c>
      <c r="BD19">
        <v>0.14000000000000001</v>
      </c>
    </row>
    <row r="20" spans="1:56" x14ac:dyDescent="0.2">
      <c r="A20">
        <f t="shared" si="6"/>
        <v>16</v>
      </c>
      <c r="B20">
        <v>2.4345073518891477E-2</v>
      </c>
      <c r="C20">
        <v>4.0249033597752337E-2</v>
      </c>
      <c r="D20">
        <v>5.0214543397522959E-2</v>
      </c>
      <c r="E20">
        <v>3.1241831840556622E-2</v>
      </c>
      <c r="F20">
        <v>3.348814472167394E-3</v>
      </c>
      <c r="G20">
        <v>1.8718909111607895E-2</v>
      </c>
      <c r="H20">
        <v>3.2101576938926346E-2</v>
      </c>
      <c r="I20">
        <v>0.13675418843903475</v>
      </c>
      <c r="J20">
        <v>0</v>
      </c>
      <c r="K20">
        <v>0.38802848491937647</v>
      </c>
      <c r="L20">
        <v>0.17880472735393879</v>
      </c>
      <c r="M20">
        <v>0.82119527264606118</v>
      </c>
      <c r="N20">
        <v>8.8873476990243061E-2</v>
      </c>
      <c r="O20" s="72">
        <v>0.99950740903305291</v>
      </c>
      <c r="P20">
        <v>0.9958752756002297</v>
      </c>
      <c r="Q20">
        <v>0.97372830805082433</v>
      </c>
      <c r="R20">
        <v>0.45290821262211467</v>
      </c>
      <c r="S20">
        <v>0.38289684259356926</v>
      </c>
      <c r="T20">
        <v>0.19241411540977893</v>
      </c>
      <c r="U20">
        <v>0.77825610668920497</v>
      </c>
      <c r="V20">
        <v>0.68176931342818248</v>
      </c>
      <c r="W20">
        <v>0.55561818359366133</v>
      </c>
      <c r="X20">
        <v>0.45725911252056028</v>
      </c>
      <c r="Y20">
        <v>0.4007846214778783</v>
      </c>
      <c r="Z20">
        <v>0.47737724696417771</v>
      </c>
      <c r="AA20">
        <v>0.6184598856093837</v>
      </c>
      <c r="AB20">
        <v>0.836213929921789</v>
      </c>
      <c r="AC20">
        <v>0.74205303753192342</v>
      </c>
      <c r="AD20">
        <v>0.62999550608038724</v>
      </c>
      <c r="AE20">
        <v>250.36025255703152</v>
      </c>
      <c r="AF20">
        <v>1067.7140637944908</v>
      </c>
      <c r="AG20">
        <v>2010.1300294951691</v>
      </c>
      <c r="AH20">
        <v>11813.09560299133</v>
      </c>
      <c r="AI20">
        <v>13581.318737720867</v>
      </c>
      <c r="AJ20">
        <v>39671.282178971567</v>
      </c>
      <c r="AK20">
        <v>9228.8801517720494</v>
      </c>
      <c r="AL20">
        <v>1498.3801425878755</v>
      </c>
      <c r="AM20">
        <v>259.40744699579011</v>
      </c>
      <c r="AO20">
        <v>44138.200713245176</v>
      </c>
      <c r="AP20">
        <v>13.52547253593646</v>
      </c>
      <c r="AQ20">
        <v>44672.991326293035</v>
      </c>
      <c r="AR20">
        <v>13.810077750530887</v>
      </c>
      <c r="AS20" s="2">
        <f t="shared" si="0"/>
        <v>534.79061304785864</v>
      </c>
      <c r="AT20" s="2">
        <f t="shared" si="1"/>
        <v>0.28460521459442667</v>
      </c>
      <c r="AV20">
        <f t="shared" si="2"/>
        <v>1308409.0528804008</v>
      </c>
      <c r="AW20">
        <f t="shared" si="3"/>
        <v>1336334.7837267958</v>
      </c>
      <c r="AY20">
        <f t="shared" si="4"/>
        <v>0</v>
      </c>
      <c r="AZ20">
        <f t="shared" si="5"/>
        <v>1</v>
      </c>
      <c r="BB20">
        <v>3500</v>
      </c>
      <c r="BC20">
        <v>0.84799999999999998</v>
      </c>
      <c r="BD20">
        <v>0.152</v>
      </c>
    </row>
    <row r="21" spans="1:56" x14ac:dyDescent="0.2">
      <c r="A21">
        <f t="shared" si="6"/>
        <v>17</v>
      </c>
      <c r="B21">
        <v>2.1596718520712817E-2</v>
      </c>
      <c r="C21">
        <v>3.4271670531709972E-2</v>
      </c>
      <c r="D21">
        <v>4.7340602823283673E-2</v>
      </c>
      <c r="E21">
        <v>1.0090811938244309E-2</v>
      </c>
      <c r="F21">
        <v>3.4411459095783359E-3</v>
      </c>
      <c r="G21">
        <v>1.3248262594370175E-2</v>
      </c>
      <c r="H21">
        <v>3.0272391679644683E-2</v>
      </c>
      <c r="I21">
        <v>0.15163347159808716</v>
      </c>
      <c r="J21">
        <v>0</v>
      </c>
      <c r="K21">
        <v>0.49657049215199189</v>
      </c>
      <c r="L21">
        <v>0.14030836281660902</v>
      </c>
      <c r="M21">
        <v>0.85969163718339092</v>
      </c>
      <c r="N21">
        <v>5.2265488105370697E-2</v>
      </c>
      <c r="O21" s="72">
        <v>0.99973430695990018</v>
      </c>
      <c r="P21">
        <v>0.99775072836902623</v>
      </c>
      <c r="Q21">
        <v>0.95299032077065482</v>
      </c>
      <c r="R21">
        <v>0.43124860006451105</v>
      </c>
      <c r="S21">
        <v>0.28080152394220481</v>
      </c>
      <c r="T21">
        <v>0.26950927560401472</v>
      </c>
      <c r="U21">
        <v>0.80392535548463195</v>
      </c>
      <c r="V21">
        <v>0.71574386789609434</v>
      </c>
      <c r="W21">
        <v>0.60150721553797259</v>
      </c>
      <c r="X21">
        <v>0.45275165994911593</v>
      </c>
      <c r="Y21">
        <v>0.40670306493451108</v>
      </c>
      <c r="Z21">
        <v>0.45295597910827934</v>
      </c>
      <c r="AA21">
        <v>0.63672771738706868</v>
      </c>
      <c r="AB21">
        <v>0.83604201254849109</v>
      </c>
      <c r="AC21">
        <v>0.5889179618502608</v>
      </c>
      <c r="AD21">
        <v>0.59887791993746786</v>
      </c>
      <c r="AE21">
        <v>178.5321602074815</v>
      </c>
      <c r="AF21">
        <v>1056.8745364808124</v>
      </c>
      <c r="AG21">
        <v>1511.7848769048437</v>
      </c>
      <c r="AH21">
        <v>12018.94284544973</v>
      </c>
      <c r="AI21">
        <v>10206.127908054426</v>
      </c>
      <c r="AJ21">
        <v>50134.664143811948</v>
      </c>
      <c r="AK21">
        <v>14500.535290598531</v>
      </c>
      <c r="AL21">
        <v>1650.38889863957</v>
      </c>
      <c r="AM21">
        <v>309.27089318956467</v>
      </c>
      <c r="AO21">
        <v>46200.653915389812</v>
      </c>
      <c r="AP21">
        <v>13.328738670734442</v>
      </c>
      <c r="AQ21">
        <v>45373.047165218522</v>
      </c>
      <c r="AR21">
        <v>13.487493255037451</v>
      </c>
      <c r="AS21" s="2">
        <f t="shared" si="0"/>
        <v>-827.6067501712896</v>
      </c>
      <c r="AT21" s="2">
        <f t="shared" si="1"/>
        <v>0.15875458430300959</v>
      </c>
      <c r="AV21">
        <f t="shared" si="2"/>
        <v>1286673.2131580543</v>
      </c>
      <c r="AW21">
        <f t="shared" si="3"/>
        <v>1303376.2783385266</v>
      </c>
      <c r="AY21">
        <f t="shared" si="4"/>
        <v>0</v>
      </c>
      <c r="AZ21">
        <f t="shared" si="5"/>
        <v>1</v>
      </c>
      <c r="BB21">
        <v>4000</v>
      </c>
      <c r="BC21">
        <v>0.83599999999999997</v>
      </c>
      <c r="BD21">
        <v>0.16400000000000001</v>
      </c>
    </row>
    <row r="22" spans="1:56" x14ac:dyDescent="0.2">
      <c r="A22">
        <f t="shared" si="6"/>
        <v>18</v>
      </c>
      <c r="B22">
        <v>2.3057895699110167E-2</v>
      </c>
      <c r="C22">
        <v>4.6361777078299027E-2</v>
      </c>
      <c r="D22">
        <v>3.4892774818119601E-2</v>
      </c>
      <c r="E22">
        <v>9.884881766513233E-3</v>
      </c>
      <c r="F22">
        <v>3.3719497253420494E-3</v>
      </c>
      <c r="G22">
        <v>1.4426424036833363E-2</v>
      </c>
      <c r="H22">
        <v>2.6114842917405089E-2</v>
      </c>
      <c r="I22">
        <v>0.13004924592733702</v>
      </c>
      <c r="J22">
        <v>0</v>
      </c>
      <c r="K22">
        <v>0.37432998654934779</v>
      </c>
      <c r="L22">
        <v>0.15927000872751945</v>
      </c>
      <c r="M22">
        <v>0.8407299912724806</v>
      </c>
      <c r="N22">
        <v>5.8101459623148055E-2</v>
      </c>
      <c r="O22" s="72">
        <v>0.99963495983676254</v>
      </c>
      <c r="P22">
        <v>0.99842350066347241</v>
      </c>
      <c r="Q22">
        <v>0.99268978268944685</v>
      </c>
      <c r="R22">
        <v>0.50584759694916204</v>
      </c>
      <c r="S22">
        <v>0.32457488480095897</v>
      </c>
      <c r="T22">
        <v>0.2763173880346409</v>
      </c>
      <c r="U22">
        <v>0.7815947295871486</v>
      </c>
      <c r="V22">
        <v>0.74691655232974496</v>
      </c>
      <c r="W22">
        <v>0.641770242144865</v>
      </c>
      <c r="X22">
        <v>0.48827147502662316</v>
      </c>
      <c r="Y22">
        <v>0.48717659978218442</v>
      </c>
      <c r="Z22">
        <v>0.45397877454120239</v>
      </c>
      <c r="AA22">
        <v>0.72726985989854542</v>
      </c>
      <c r="AB22">
        <v>0.8083804685161845</v>
      </c>
      <c r="AC22">
        <v>0.79022409915194747</v>
      </c>
      <c r="AD22">
        <v>0.59875327883525686</v>
      </c>
      <c r="AE22">
        <v>253.89017483575688</v>
      </c>
      <c r="AF22">
        <v>1299.8793230901035</v>
      </c>
      <c r="AG22">
        <v>2657.0460558360105</v>
      </c>
      <c r="AH22">
        <v>12207.864354757425</v>
      </c>
      <c r="AI22">
        <v>8870.9858485225086</v>
      </c>
      <c r="AJ22">
        <v>42352.259226979855</v>
      </c>
      <c r="AK22">
        <v>17551.162565031329</v>
      </c>
      <c r="AL22">
        <v>2118.2557745483814</v>
      </c>
      <c r="AM22">
        <v>446.00715846580721</v>
      </c>
      <c r="AO22">
        <v>43862.637522486897</v>
      </c>
      <c r="AP22">
        <v>13.35634150035045</v>
      </c>
      <c r="AQ22">
        <v>47559.392761862902</v>
      </c>
      <c r="AR22">
        <v>13.471707610144763</v>
      </c>
      <c r="AS22" s="2">
        <f t="shared" si="0"/>
        <v>3696.7552393760052</v>
      </c>
      <c r="AT22" s="2">
        <f t="shared" si="1"/>
        <v>0.11536610979431394</v>
      </c>
      <c r="AV22">
        <f t="shared" si="2"/>
        <v>1291771.5125125579</v>
      </c>
      <c r="AW22">
        <f t="shared" si="3"/>
        <v>1299611.3682526136</v>
      </c>
      <c r="AY22">
        <f t="shared" si="4"/>
        <v>0</v>
      </c>
      <c r="AZ22">
        <f t="shared" si="5"/>
        <v>1</v>
      </c>
      <c r="BB22">
        <v>4500</v>
      </c>
      <c r="BC22">
        <v>0.82399999999999995</v>
      </c>
      <c r="BD22">
        <v>0.17599999999999999</v>
      </c>
    </row>
    <row r="23" spans="1:56" x14ac:dyDescent="0.2">
      <c r="A23">
        <f t="shared" si="6"/>
        <v>19</v>
      </c>
      <c r="B23">
        <v>2.8967419726063315E-2</v>
      </c>
      <c r="C23">
        <v>3.2463295944445886E-2</v>
      </c>
      <c r="D23">
        <v>6.0572143019472335E-2</v>
      </c>
      <c r="E23">
        <v>7.5830208353836999E-3</v>
      </c>
      <c r="F23">
        <v>3.3752387189478483E-3</v>
      </c>
      <c r="G23">
        <v>7.3253472105945221E-3</v>
      </c>
      <c r="H23">
        <v>2.5816882411433074E-2</v>
      </c>
      <c r="I23">
        <v>0.14273343441986674</v>
      </c>
      <c r="J23">
        <v>0</v>
      </c>
      <c r="K23">
        <v>0.45386760440530372</v>
      </c>
      <c r="L23">
        <v>0.22730252479231372</v>
      </c>
      <c r="M23">
        <v>0.77269747520768628</v>
      </c>
      <c r="N23">
        <v>4.5639659713959162E-2</v>
      </c>
      <c r="O23" s="72">
        <v>0.92003091495712674</v>
      </c>
      <c r="P23">
        <v>0.99963033217968278</v>
      </c>
      <c r="Q23">
        <v>0.95969554747388619</v>
      </c>
      <c r="R23">
        <v>0.46942651571511851</v>
      </c>
      <c r="S23">
        <v>0.38160271460462292</v>
      </c>
      <c r="T23">
        <v>8.7825405015430791E-2</v>
      </c>
      <c r="U23">
        <v>0.76557109597296202</v>
      </c>
      <c r="V23">
        <v>0.59789984917134131</v>
      </c>
      <c r="W23">
        <v>0.53957626553324145</v>
      </c>
      <c r="X23">
        <v>0.48809454094183247</v>
      </c>
      <c r="Y23">
        <v>0.46337494734122242</v>
      </c>
      <c r="Z23">
        <v>0.45849631110965949</v>
      </c>
      <c r="AA23">
        <v>0.66205660630633711</v>
      </c>
      <c r="AB23">
        <v>0.67890636131606796</v>
      </c>
      <c r="AC23">
        <v>0.72301660195497164</v>
      </c>
      <c r="AD23">
        <v>0.65291841620356283</v>
      </c>
      <c r="AE23">
        <v>283.30628235704006</v>
      </c>
      <c r="AF23">
        <v>1262.4780679577907</v>
      </c>
      <c r="AG23">
        <v>2591.2589302896808</v>
      </c>
      <c r="AH23">
        <v>11568.158649927418</v>
      </c>
      <c r="AI23">
        <v>10696.865423806492</v>
      </c>
      <c r="AJ23">
        <v>45178.472349927964</v>
      </c>
      <c r="AK23">
        <v>14551.795422060675</v>
      </c>
      <c r="AL23">
        <v>2035.3777656282241</v>
      </c>
      <c r="AM23">
        <v>516.54151202115588</v>
      </c>
      <c r="AO23">
        <v>51347.42866250201</v>
      </c>
      <c r="AP23">
        <v>11.431793061186898</v>
      </c>
      <c r="AQ23">
        <v>49093.090100006433</v>
      </c>
      <c r="AR23">
        <v>11.624481443723086</v>
      </c>
      <c r="AS23" s="2">
        <f t="shared" si="0"/>
        <v>-2254.3385624955772</v>
      </c>
      <c r="AT23" s="2">
        <f t="shared" si="1"/>
        <v>0.19268838253618803</v>
      </c>
      <c r="AV23">
        <f t="shared" si="2"/>
        <v>1091831.8774561877</v>
      </c>
      <c r="AW23">
        <f t="shared" si="3"/>
        <v>1113355.0542723022</v>
      </c>
      <c r="AY23">
        <f t="shared" si="4"/>
        <v>0</v>
      </c>
      <c r="AZ23">
        <f t="shared" si="5"/>
        <v>1</v>
      </c>
      <c r="BB23">
        <v>5000</v>
      </c>
      <c r="BC23">
        <v>0.81499999999999995</v>
      </c>
      <c r="BD23">
        <v>0.185</v>
      </c>
    </row>
    <row r="24" spans="1:56" x14ac:dyDescent="0.2">
      <c r="A24">
        <f t="shared" si="6"/>
        <v>20</v>
      </c>
      <c r="B24">
        <v>2.3821664699735127E-2</v>
      </c>
      <c r="C24">
        <v>3.6938494396156263E-2</v>
      </c>
      <c r="D24">
        <v>5.5817248602727743E-2</v>
      </c>
      <c r="E24">
        <v>1.4012129948047347E-2</v>
      </c>
      <c r="F24">
        <v>3.4313901328190122E-3</v>
      </c>
      <c r="G24">
        <v>1.5502173305441236E-2</v>
      </c>
      <c r="H24">
        <v>3.6205264617922395E-2</v>
      </c>
      <c r="I24">
        <v>0.12561224367449725</v>
      </c>
      <c r="J24">
        <v>0</v>
      </c>
      <c r="K24">
        <v>0.41518312333797536</v>
      </c>
      <c r="L24">
        <v>0.16019659075064802</v>
      </c>
      <c r="M24">
        <v>0.83980340924935204</v>
      </c>
      <c r="N24">
        <v>7.917159160519649E-2</v>
      </c>
      <c r="O24" s="72">
        <v>0.91330635335439947</v>
      </c>
      <c r="P24">
        <v>0.99999874785371556</v>
      </c>
      <c r="Q24">
        <v>0.99495233449886999</v>
      </c>
      <c r="R24">
        <v>0.46101880486600655</v>
      </c>
      <c r="S24">
        <v>0.4336669828901526</v>
      </c>
      <c r="T24">
        <v>0.18023972999459936</v>
      </c>
      <c r="U24">
        <v>0.78637480633152856</v>
      </c>
      <c r="V24">
        <v>0.5908522607084411</v>
      </c>
      <c r="W24">
        <v>0.54850236528232599</v>
      </c>
      <c r="X24">
        <v>0.41433672676184036</v>
      </c>
      <c r="Y24">
        <v>0.4882137953123793</v>
      </c>
      <c r="Z24">
        <v>0.47677781139862108</v>
      </c>
      <c r="AA24">
        <v>0.66456239685289842</v>
      </c>
      <c r="AB24">
        <v>0.89888573967462304</v>
      </c>
      <c r="AC24">
        <v>0.73974912823273931</v>
      </c>
      <c r="AD24">
        <v>0.68065001596095431</v>
      </c>
      <c r="AE24">
        <v>194.61646639052762</v>
      </c>
      <c r="AF24">
        <v>770.05023629271739</v>
      </c>
      <c r="AG24">
        <v>2193.7140978241232</v>
      </c>
      <c r="AH24">
        <v>9214.4388464159783</v>
      </c>
      <c r="AI24">
        <v>12005.050146073145</v>
      </c>
      <c r="AJ24">
        <v>41293.455945327289</v>
      </c>
      <c r="AK24">
        <v>12731.374997804705</v>
      </c>
      <c r="AL24">
        <v>1902.2394537759144</v>
      </c>
      <c r="AM24">
        <v>339.07611028202791</v>
      </c>
      <c r="AO24">
        <v>44442.177116949089</v>
      </c>
      <c r="AP24">
        <v>14.383309044504969</v>
      </c>
      <c r="AQ24">
        <v>46013.439920496799</v>
      </c>
      <c r="AR24">
        <v>14.743725612306783</v>
      </c>
      <c r="AS24" s="2">
        <f t="shared" si="0"/>
        <v>1571.2628035477101</v>
      </c>
      <c r="AT24" s="2">
        <f t="shared" si="1"/>
        <v>0.36041656780181341</v>
      </c>
      <c r="AV24">
        <f t="shared" si="2"/>
        <v>1393888.7273335478</v>
      </c>
      <c r="AW24">
        <f t="shared" si="3"/>
        <v>1428359.1213101815</v>
      </c>
      <c r="AY24">
        <f t="shared" si="4"/>
        <v>0</v>
      </c>
      <c r="AZ24">
        <f t="shared" si="5"/>
        <v>1</v>
      </c>
      <c r="BB24">
        <v>6000</v>
      </c>
      <c r="BC24">
        <v>0.78800000000000003</v>
      </c>
      <c r="BD24">
        <v>0.21199999999999999</v>
      </c>
    </row>
    <row r="25" spans="1:56" x14ac:dyDescent="0.2">
      <c r="A25">
        <f t="shared" si="6"/>
        <v>21</v>
      </c>
      <c r="B25">
        <v>1.7462884809995926E-2</v>
      </c>
      <c r="C25">
        <v>5.2380299172993472E-2</v>
      </c>
      <c r="D25">
        <v>6.3744214455790038E-2</v>
      </c>
      <c r="E25">
        <v>1.0472191092135902E-2</v>
      </c>
      <c r="F25">
        <v>3.3026852237149564E-3</v>
      </c>
      <c r="G25">
        <v>4.2204262225394975E-3</v>
      </c>
      <c r="H25">
        <v>3.3341923601457824E-2</v>
      </c>
      <c r="I25">
        <v>0.12448381371330633</v>
      </c>
      <c r="J25">
        <v>0</v>
      </c>
      <c r="K25">
        <v>0.42764643573167066</v>
      </c>
      <c r="L25">
        <v>0.20822708155351188</v>
      </c>
      <c r="M25">
        <v>0.79177291844648812</v>
      </c>
      <c r="N25">
        <v>4.768693053493743E-2</v>
      </c>
      <c r="O25" s="72">
        <v>0.99943292703395092</v>
      </c>
      <c r="P25">
        <v>0.99999641285117036</v>
      </c>
      <c r="Q25">
        <v>0.94902267218805814</v>
      </c>
      <c r="R25">
        <v>0.49565114021275281</v>
      </c>
      <c r="S25">
        <v>0.3983064894594095</v>
      </c>
      <c r="T25">
        <v>0.25840932622094159</v>
      </c>
      <c r="U25">
        <v>0.76619740930362512</v>
      </c>
      <c r="V25">
        <v>0.66785530187075848</v>
      </c>
      <c r="W25">
        <v>0.53756270312817622</v>
      </c>
      <c r="X25">
        <v>0.47369292012542752</v>
      </c>
      <c r="Y25">
        <v>0.44144535923324679</v>
      </c>
      <c r="Z25">
        <v>0.47244651065689569</v>
      </c>
      <c r="AA25">
        <v>0.66943187783830393</v>
      </c>
      <c r="AB25">
        <v>0.86511772931309738</v>
      </c>
      <c r="AC25">
        <v>0.75001918027106962</v>
      </c>
      <c r="AD25">
        <v>0.63297306057698566</v>
      </c>
      <c r="AE25">
        <v>202.38424925995756</v>
      </c>
      <c r="AF25">
        <v>1145.6506309929277</v>
      </c>
      <c r="AG25">
        <v>1470.1825632062903</v>
      </c>
      <c r="AH25">
        <v>12917.045624356664</v>
      </c>
      <c r="AI25">
        <v>13964.164710926882</v>
      </c>
      <c r="AJ25">
        <v>39950.231736756083</v>
      </c>
      <c r="AK25">
        <v>10096.355617125782</v>
      </c>
      <c r="AL25">
        <v>3001.0529215059432</v>
      </c>
      <c r="AM25">
        <v>520.0358009944523</v>
      </c>
      <c r="AO25">
        <v>44433.255420613852</v>
      </c>
      <c r="AP25">
        <v>13.984451653461326</v>
      </c>
      <c r="AQ25">
        <v>48698.251048991144</v>
      </c>
      <c r="AR25">
        <v>14.230843572450455</v>
      </c>
      <c r="AS25" s="2">
        <f t="shared" si="0"/>
        <v>4264.9956283772917</v>
      </c>
      <c r="AT25" s="2">
        <f t="shared" si="1"/>
        <v>0.24639191898912927</v>
      </c>
      <c r="AV25">
        <f t="shared" si="2"/>
        <v>1354011.9099255188</v>
      </c>
      <c r="AW25">
        <f t="shared" si="3"/>
        <v>1374386.1061960543</v>
      </c>
      <c r="AY25">
        <f t="shared" si="4"/>
        <v>0</v>
      </c>
      <c r="AZ25">
        <f t="shared" si="5"/>
        <v>1</v>
      </c>
      <c r="BB25">
        <v>7000</v>
      </c>
      <c r="BC25">
        <v>0.76800000000000002</v>
      </c>
      <c r="BD25">
        <v>0.23200000000000001</v>
      </c>
    </row>
    <row r="26" spans="1:56" x14ac:dyDescent="0.2">
      <c r="A26">
        <f t="shared" si="6"/>
        <v>22</v>
      </c>
      <c r="B26">
        <v>2.9073441690144919E-2</v>
      </c>
      <c r="C26">
        <v>3.1181613113090353E-2</v>
      </c>
      <c r="D26">
        <v>3.475244802930013E-2</v>
      </c>
      <c r="E26">
        <v>6.4366636955317533E-3</v>
      </c>
      <c r="F26">
        <v>3.3041880782262584E-3</v>
      </c>
      <c r="G26">
        <v>6.7235569241805623E-3</v>
      </c>
      <c r="H26">
        <v>3.5361705086144224E-2</v>
      </c>
      <c r="I26">
        <v>0.13868010403587105</v>
      </c>
      <c r="J26">
        <v>0</v>
      </c>
      <c r="K26">
        <v>0.45087978109990856</v>
      </c>
      <c r="L26">
        <v>0.33556516359317301</v>
      </c>
      <c r="M26">
        <v>0.66443483640682699</v>
      </c>
      <c r="N26">
        <v>7.2962044449090935E-2</v>
      </c>
      <c r="O26" s="72">
        <v>0.99460488886909615</v>
      </c>
      <c r="P26">
        <v>0.99995983337842365</v>
      </c>
      <c r="Q26">
        <v>0.99058713009326538</v>
      </c>
      <c r="R26">
        <v>0.48715223852675482</v>
      </c>
      <c r="S26">
        <v>0.36915002352544612</v>
      </c>
      <c r="T26">
        <v>0.1973543687263053</v>
      </c>
      <c r="U26">
        <v>0.79282459778224956</v>
      </c>
      <c r="V26">
        <v>0.58040172314407601</v>
      </c>
      <c r="W26">
        <v>0.52161934380121167</v>
      </c>
      <c r="X26">
        <v>0.4501821778002949</v>
      </c>
      <c r="Y26">
        <v>0.45629766350889056</v>
      </c>
      <c r="Z26">
        <v>0.41388272560647332</v>
      </c>
      <c r="AA26">
        <v>0.69635317551981202</v>
      </c>
      <c r="AB26">
        <v>0.80856315416805724</v>
      </c>
      <c r="AC26">
        <v>0.64073761968112941</v>
      </c>
      <c r="AD26">
        <v>0.60202428220410409</v>
      </c>
      <c r="AE26">
        <v>196.65898522779068</v>
      </c>
      <c r="AF26">
        <v>1077.6470505239199</v>
      </c>
      <c r="AG26">
        <v>1729.9971201268852</v>
      </c>
      <c r="AH26">
        <v>14284.074546022535</v>
      </c>
      <c r="AI26">
        <v>9957.7185715121232</v>
      </c>
      <c r="AJ26">
        <v>41623.727985430007</v>
      </c>
      <c r="AK26">
        <v>19305.729323483298</v>
      </c>
      <c r="AL26">
        <v>2305.980248816632</v>
      </c>
      <c r="AM26">
        <v>360.8540956857662</v>
      </c>
      <c r="AO26">
        <v>44182.238116441171</v>
      </c>
      <c r="AP26">
        <v>13.018881792231022</v>
      </c>
      <c r="AQ26">
        <v>46087.680109521163</v>
      </c>
      <c r="AR26">
        <v>13.207071813533785</v>
      </c>
      <c r="AS26" s="2">
        <f t="shared" si="0"/>
        <v>1905.4419930799922</v>
      </c>
      <c r="AT26" s="2">
        <f t="shared" si="1"/>
        <v>0.18819002130276274</v>
      </c>
      <c r="AV26">
        <f t="shared" si="2"/>
        <v>1257705.9411066612</v>
      </c>
      <c r="AW26">
        <f t="shared" si="3"/>
        <v>1274619.5012438574</v>
      </c>
      <c r="AY26">
        <f t="shared" si="4"/>
        <v>0</v>
      </c>
      <c r="AZ26">
        <f t="shared" si="5"/>
        <v>1</v>
      </c>
      <c r="BB26">
        <v>8000</v>
      </c>
      <c r="BC26">
        <v>0.74199999999999999</v>
      </c>
      <c r="BD26">
        <v>0.25800000000000001</v>
      </c>
    </row>
    <row r="27" spans="1:56" x14ac:dyDescent="0.2">
      <c r="A27">
        <f t="shared" si="6"/>
        <v>23</v>
      </c>
      <c r="B27">
        <v>2.6917224215257551E-2</v>
      </c>
      <c r="C27">
        <v>2.9770943342021305E-2</v>
      </c>
      <c r="D27">
        <v>4.3417236727787634E-2</v>
      </c>
      <c r="E27">
        <v>2.2404568605217433E-3</v>
      </c>
      <c r="F27">
        <v>3.3819909705883333E-3</v>
      </c>
      <c r="G27">
        <v>2.5017186980094031E-2</v>
      </c>
      <c r="H27">
        <v>3.0157828520575469E-2</v>
      </c>
      <c r="I27">
        <v>0.13481169429850226</v>
      </c>
      <c r="J27">
        <v>0</v>
      </c>
      <c r="K27">
        <v>0.37946356692538846</v>
      </c>
      <c r="L27">
        <v>0.25874316795029817</v>
      </c>
      <c r="M27">
        <v>0.74125683204970183</v>
      </c>
      <c r="N27">
        <v>5.6923968028465E-2</v>
      </c>
      <c r="O27" s="72">
        <v>0.99968403110360526</v>
      </c>
      <c r="P27">
        <v>0.99897076226612802</v>
      </c>
      <c r="Q27">
        <v>0.97925498091393437</v>
      </c>
      <c r="R27">
        <v>0.48141654057382688</v>
      </c>
      <c r="S27">
        <v>0.48592916228786531</v>
      </c>
      <c r="T27">
        <v>0.1858178140301614</v>
      </c>
      <c r="U27">
        <v>0.76501284138637526</v>
      </c>
      <c r="V27">
        <v>0.61402071467421937</v>
      </c>
      <c r="W27">
        <v>0.5974479039913958</v>
      </c>
      <c r="X27">
        <v>0.45508789135456218</v>
      </c>
      <c r="Y27">
        <v>0.46061141364051972</v>
      </c>
      <c r="Z27">
        <v>0.47290645673220177</v>
      </c>
      <c r="AA27">
        <v>0.70715867141091715</v>
      </c>
      <c r="AB27">
        <v>0.84006661621073719</v>
      </c>
      <c r="AC27">
        <v>0.73636363621713508</v>
      </c>
      <c r="AD27">
        <v>0.63780315892532191</v>
      </c>
      <c r="AE27">
        <v>226.00230900302685</v>
      </c>
      <c r="AF27">
        <v>1190.5841826755602</v>
      </c>
      <c r="AG27">
        <v>2273.6263755059972</v>
      </c>
      <c r="AH27">
        <v>11664.028861358116</v>
      </c>
      <c r="AI27">
        <v>16243.502816259475</v>
      </c>
      <c r="AJ27">
        <v>42022.643779746795</v>
      </c>
      <c r="AK27">
        <v>15466.256044167339</v>
      </c>
      <c r="AL27">
        <v>2072.9173647499952</v>
      </c>
      <c r="AM27">
        <v>560.34465831033629</v>
      </c>
      <c r="AO27">
        <v>46551.357697993451</v>
      </c>
      <c r="AP27">
        <v>13.649729480858872</v>
      </c>
      <c r="AQ27">
        <v>49299.443346079104</v>
      </c>
      <c r="AR27">
        <v>13.865174910527818</v>
      </c>
      <c r="AS27" s="2">
        <f t="shared" si="0"/>
        <v>2748.0856480856528</v>
      </c>
      <c r="AT27" s="2">
        <f t="shared" si="1"/>
        <v>0.21544542966894653</v>
      </c>
      <c r="AV27">
        <f t="shared" si="2"/>
        <v>1318421.5903878936</v>
      </c>
      <c r="AW27">
        <f t="shared" si="3"/>
        <v>1337218.0477067027</v>
      </c>
      <c r="AY27">
        <f t="shared" si="4"/>
        <v>0</v>
      </c>
      <c r="AZ27">
        <f t="shared" si="5"/>
        <v>1</v>
      </c>
      <c r="BB27">
        <v>9000</v>
      </c>
      <c r="BC27">
        <v>0.72199999999999998</v>
      </c>
      <c r="BD27">
        <v>0.27800000000000002</v>
      </c>
    </row>
    <row r="28" spans="1:56" x14ac:dyDescent="0.2">
      <c r="A28">
        <f t="shared" si="6"/>
        <v>24</v>
      </c>
      <c r="B28">
        <v>2.7302054820144583E-2</v>
      </c>
      <c r="C28">
        <v>3.3654169882511985E-2</v>
      </c>
      <c r="D28">
        <v>5.1507572197925233E-2</v>
      </c>
      <c r="E28">
        <v>1.922156795570007E-2</v>
      </c>
      <c r="F28">
        <v>3.2734675366774013E-3</v>
      </c>
      <c r="G28">
        <v>6.6141554511303458E-3</v>
      </c>
      <c r="H28">
        <v>1.917232411009806E-2</v>
      </c>
      <c r="I28">
        <v>0.12707701766654572</v>
      </c>
      <c r="J28">
        <v>0</v>
      </c>
      <c r="K28">
        <v>0.42965476452620843</v>
      </c>
      <c r="L28">
        <v>0.18857983249684449</v>
      </c>
      <c r="M28">
        <v>0.81142016750315549</v>
      </c>
      <c r="N28">
        <v>6.4062416516154741E-2</v>
      </c>
      <c r="O28" s="72">
        <v>0.99144632705047597</v>
      </c>
      <c r="P28">
        <v>0.98238422387934066</v>
      </c>
      <c r="Q28">
        <v>0.95762574414080681</v>
      </c>
      <c r="R28">
        <v>0.44501978527993535</v>
      </c>
      <c r="S28">
        <v>0.43385841334909503</v>
      </c>
      <c r="T28">
        <v>0.29201696305972502</v>
      </c>
      <c r="U28">
        <v>0.78711004058573097</v>
      </c>
      <c r="V28">
        <v>0.70776206442186518</v>
      </c>
      <c r="W28">
        <v>0.52717157492274469</v>
      </c>
      <c r="X28">
        <v>0.46854683333965796</v>
      </c>
      <c r="Y28">
        <v>0.47554709867689482</v>
      </c>
      <c r="Z28">
        <v>0.42560258827658265</v>
      </c>
      <c r="AA28">
        <v>0.6804265726937524</v>
      </c>
      <c r="AB28">
        <v>0.82080084066092074</v>
      </c>
      <c r="AC28">
        <v>0.77622155827080108</v>
      </c>
      <c r="AD28">
        <v>0.62720358560605194</v>
      </c>
      <c r="AE28">
        <v>196.96481195410584</v>
      </c>
      <c r="AF28">
        <v>1023.0563564993503</v>
      </c>
      <c r="AG28">
        <v>1993.2954823414307</v>
      </c>
      <c r="AH28">
        <v>15122.900997180906</v>
      </c>
      <c r="AI28">
        <v>11926.817454465407</v>
      </c>
      <c r="AJ28">
        <v>38771.619910754896</v>
      </c>
      <c r="AK28">
        <v>9369.4869463808827</v>
      </c>
      <c r="AL28">
        <v>1367.3935752706059</v>
      </c>
      <c r="AM28">
        <v>417.99204803685194</v>
      </c>
      <c r="AO28">
        <v>44809.858588190567</v>
      </c>
      <c r="AP28">
        <v>13.480055672267493</v>
      </c>
      <c r="AQ28">
        <v>47711.203625071837</v>
      </c>
      <c r="AR28">
        <v>13.654552680978931</v>
      </c>
      <c r="AS28" s="2">
        <f t="shared" si="0"/>
        <v>2901.3450368812701</v>
      </c>
      <c r="AT28" s="2">
        <f t="shared" si="1"/>
        <v>0.17449700871143747</v>
      </c>
      <c r="AV28">
        <f t="shared" si="2"/>
        <v>1303195.7086385589</v>
      </c>
      <c r="AW28">
        <f t="shared" si="3"/>
        <v>1317744.0644728213</v>
      </c>
      <c r="AY28">
        <f t="shared" si="4"/>
        <v>0</v>
      </c>
      <c r="AZ28">
        <f t="shared" si="5"/>
        <v>1</v>
      </c>
      <c r="BB28">
        <v>10000</v>
      </c>
      <c r="BC28">
        <v>0.68799999999999994</v>
      </c>
      <c r="BD28">
        <v>0.312</v>
      </c>
    </row>
    <row r="29" spans="1:56" x14ac:dyDescent="0.2">
      <c r="A29">
        <f t="shared" si="6"/>
        <v>25</v>
      </c>
      <c r="B29">
        <v>2.1331304162364874E-2</v>
      </c>
      <c r="C29">
        <v>3.4638463891931856E-2</v>
      </c>
      <c r="D29">
        <v>4.9957160861605399E-2</v>
      </c>
      <c r="E29">
        <v>2.2642761936482958E-2</v>
      </c>
      <c r="F29">
        <v>3.273209482333961E-3</v>
      </c>
      <c r="G29">
        <v>3.6230335000573377E-2</v>
      </c>
      <c r="H29">
        <v>8.4374536297259998E-3</v>
      </c>
      <c r="I29">
        <v>0.14492892461432372</v>
      </c>
      <c r="J29">
        <v>0</v>
      </c>
      <c r="K29">
        <v>0.40049667554192536</v>
      </c>
      <c r="L29">
        <v>0.16074915089099648</v>
      </c>
      <c r="M29">
        <v>0.83925084910900349</v>
      </c>
      <c r="N29">
        <v>4.5972022087037413E-2</v>
      </c>
      <c r="O29" s="72">
        <v>0.99946730807929585</v>
      </c>
      <c r="P29">
        <v>0.99965242224154705</v>
      </c>
      <c r="Q29">
        <v>0.98116033826529681</v>
      </c>
      <c r="R29">
        <v>0.49820771515226647</v>
      </c>
      <c r="S29">
        <v>0.32863220246437463</v>
      </c>
      <c r="T29">
        <v>0.18366813777233426</v>
      </c>
      <c r="U29">
        <v>0.76200874578378319</v>
      </c>
      <c r="V29">
        <v>0.63125973027040649</v>
      </c>
      <c r="W29">
        <v>0.61749353950127939</v>
      </c>
      <c r="X29">
        <v>0.48590765350059473</v>
      </c>
      <c r="Y29">
        <v>0.45770550868795568</v>
      </c>
      <c r="Z29">
        <v>0.4804231102321167</v>
      </c>
      <c r="AA29">
        <v>0.74789556254262657</v>
      </c>
      <c r="AB29">
        <v>0.758501255573652</v>
      </c>
      <c r="AC29">
        <v>0.76716088034347552</v>
      </c>
      <c r="AD29">
        <v>0.5631176737991096</v>
      </c>
      <c r="AE29">
        <v>218.70712872980849</v>
      </c>
      <c r="AF29">
        <v>1091.5113826203035</v>
      </c>
      <c r="AG29">
        <v>1047.6493983939497</v>
      </c>
      <c r="AH29">
        <v>12159.100717027284</v>
      </c>
      <c r="AI29">
        <v>11888.813875857437</v>
      </c>
      <c r="AJ29">
        <v>45292.14109167501</v>
      </c>
      <c r="AK29">
        <v>13866.614063480369</v>
      </c>
      <c r="AL29">
        <v>2760.3974682015855</v>
      </c>
      <c r="AM29">
        <v>381.46974328698531</v>
      </c>
      <c r="AO29">
        <v>44131.426729670158</v>
      </c>
      <c r="AP29">
        <v>12.522859070997921</v>
      </c>
      <c r="AQ29">
        <v>46323.052014466644</v>
      </c>
      <c r="AR29">
        <v>12.687477166916006</v>
      </c>
      <c r="AS29" s="2">
        <f t="shared" si="0"/>
        <v>2191.6252847964861</v>
      </c>
      <c r="AT29" s="2">
        <f t="shared" si="1"/>
        <v>0.16461809591808496</v>
      </c>
      <c r="AV29">
        <f t="shared" si="2"/>
        <v>1208154.4803701218</v>
      </c>
      <c r="AW29">
        <f t="shared" si="3"/>
        <v>1222424.664677134</v>
      </c>
      <c r="AY29">
        <f t="shared" si="4"/>
        <v>0</v>
      </c>
      <c r="AZ29">
        <f t="shared" si="5"/>
        <v>1</v>
      </c>
      <c r="BB29">
        <v>11000</v>
      </c>
      <c r="BC29">
        <v>0.66500000000000004</v>
      </c>
      <c r="BD29">
        <v>0.33500000000000002</v>
      </c>
    </row>
    <row r="30" spans="1:56" x14ac:dyDescent="0.2">
      <c r="A30">
        <f t="shared" si="6"/>
        <v>26</v>
      </c>
      <c r="B30">
        <v>2.3975302331317554E-2</v>
      </c>
      <c r="C30">
        <v>5.0323336151076981E-2</v>
      </c>
      <c r="D30">
        <v>3.2972701733668681E-2</v>
      </c>
      <c r="E30">
        <v>1.2509248745008805E-2</v>
      </c>
      <c r="F30">
        <v>3.3408460533389528E-3</v>
      </c>
      <c r="G30">
        <v>1.6491034719788966E-2</v>
      </c>
      <c r="H30">
        <v>1.3596105396379227E-2</v>
      </c>
      <c r="I30">
        <v>0.13201090204547372</v>
      </c>
      <c r="J30">
        <v>0</v>
      </c>
      <c r="K30">
        <v>0.46492716433817372</v>
      </c>
      <c r="L30">
        <v>0.2179845524375571</v>
      </c>
      <c r="M30">
        <v>0.7820154475624429</v>
      </c>
      <c r="N30">
        <v>4.2617655559842718E-2</v>
      </c>
      <c r="O30" s="72">
        <v>0.99665721287866127</v>
      </c>
      <c r="P30">
        <v>0.97606174091445641</v>
      </c>
      <c r="Q30">
        <v>0.95012567059498365</v>
      </c>
      <c r="R30">
        <v>0.53111707903531657</v>
      </c>
      <c r="S30">
        <v>0.34191745334929524</v>
      </c>
      <c r="T30">
        <v>0.25242739358275845</v>
      </c>
      <c r="U30">
        <v>0.77708321628090848</v>
      </c>
      <c r="V30">
        <v>0.5939399491866092</v>
      </c>
      <c r="W30">
        <v>0.62453880815739893</v>
      </c>
      <c r="X30">
        <v>0.4520629472764166</v>
      </c>
      <c r="Y30">
        <v>0.44467859340766946</v>
      </c>
      <c r="Z30">
        <v>0.44675403399802011</v>
      </c>
      <c r="AA30">
        <v>0.78321492057910225</v>
      </c>
      <c r="AB30">
        <v>0.81959008648948839</v>
      </c>
      <c r="AC30">
        <v>0.70860566473779674</v>
      </c>
      <c r="AD30">
        <v>0.58000445897952058</v>
      </c>
      <c r="AE30">
        <v>264.57596319572428</v>
      </c>
      <c r="AF30">
        <v>1003.4732536661245</v>
      </c>
      <c r="AG30">
        <v>1610.5064588771672</v>
      </c>
      <c r="AH30">
        <v>11666.22850240486</v>
      </c>
      <c r="AI30">
        <v>12436.578719067946</v>
      </c>
      <c r="AJ30">
        <v>39242.462912424417</v>
      </c>
      <c r="AK30">
        <v>15813.807221734998</v>
      </c>
      <c r="AL30">
        <v>1505.8428141075367</v>
      </c>
      <c r="AM30">
        <v>367.60111198915394</v>
      </c>
      <c r="AO30">
        <v>41304.409153096291</v>
      </c>
      <c r="AP30">
        <v>13.293340006763012</v>
      </c>
      <c r="AQ30">
        <v>47068.030931467845</v>
      </c>
      <c r="AR30">
        <v>13.449820731283911</v>
      </c>
      <c r="AS30" s="2">
        <f t="shared" si="0"/>
        <v>5763.6217783715547</v>
      </c>
      <c r="AT30" s="2">
        <f t="shared" si="1"/>
        <v>0.15648072452089856</v>
      </c>
      <c r="AV30">
        <f t="shared" si="2"/>
        <v>1288029.5915232049</v>
      </c>
      <c r="AW30">
        <f t="shared" si="3"/>
        <v>1297914.0421969232</v>
      </c>
      <c r="AY30">
        <f t="shared" si="4"/>
        <v>0</v>
      </c>
      <c r="AZ30">
        <f t="shared" si="5"/>
        <v>1</v>
      </c>
      <c r="BB30">
        <v>12000</v>
      </c>
      <c r="BC30">
        <v>0.64500000000000002</v>
      </c>
      <c r="BD30">
        <v>0.35499999999999998</v>
      </c>
    </row>
    <row r="31" spans="1:56" x14ac:dyDescent="0.2">
      <c r="A31">
        <f t="shared" si="6"/>
        <v>27</v>
      </c>
      <c r="B31">
        <v>2.4183974434751791E-2</v>
      </c>
      <c r="C31">
        <v>3.5668063989344773E-2</v>
      </c>
      <c r="D31">
        <v>3.0316849569987522E-2</v>
      </c>
      <c r="E31">
        <v>4.0119454693208989E-2</v>
      </c>
      <c r="F31">
        <v>3.4433256801963408E-3</v>
      </c>
      <c r="G31">
        <v>2.741000001335292E-2</v>
      </c>
      <c r="H31">
        <v>3.6111068881425235E-2</v>
      </c>
      <c r="I31">
        <v>0.13205109814553129</v>
      </c>
      <c r="J31">
        <v>0</v>
      </c>
      <c r="K31">
        <v>0.46077732346802858</v>
      </c>
      <c r="L31">
        <v>0.16267395323300426</v>
      </c>
      <c r="M31">
        <v>0.83732604676699574</v>
      </c>
      <c r="N31">
        <v>4.7248117286338528E-2</v>
      </c>
      <c r="O31" s="72">
        <v>0.99921384064888596</v>
      </c>
      <c r="P31">
        <v>0.99855801751933659</v>
      </c>
      <c r="Q31">
        <v>0.95291335040215208</v>
      </c>
      <c r="R31">
        <v>0.49170800538864012</v>
      </c>
      <c r="S31">
        <v>0.44781722172761185</v>
      </c>
      <c r="T31">
        <v>0.20420033895972689</v>
      </c>
      <c r="U31">
        <v>0.75830492086974555</v>
      </c>
      <c r="V31">
        <v>0.70253094383335446</v>
      </c>
      <c r="W31">
        <v>0.45712223831232185</v>
      </c>
      <c r="X31">
        <v>0.46299443833145504</v>
      </c>
      <c r="Y31">
        <v>0.47138863817235255</v>
      </c>
      <c r="Z31">
        <v>0.39807122712081394</v>
      </c>
      <c r="AA31">
        <v>0.53333966231313534</v>
      </c>
      <c r="AB31">
        <v>0.7922119692105366</v>
      </c>
      <c r="AC31">
        <v>0.74099116728772718</v>
      </c>
      <c r="AD31">
        <v>0.58793597779744899</v>
      </c>
      <c r="AE31">
        <v>276.63183179847499</v>
      </c>
      <c r="AF31">
        <v>878.66526636747494</v>
      </c>
      <c r="AG31">
        <v>1636.4170368489229</v>
      </c>
      <c r="AH31">
        <v>15272.232120817318</v>
      </c>
      <c r="AI31">
        <v>10509.07718999913</v>
      </c>
      <c r="AJ31">
        <v>32108.080540774685</v>
      </c>
      <c r="AK31">
        <v>9587.000543099155</v>
      </c>
      <c r="AL31">
        <v>1886.1916368017107</v>
      </c>
      <c r="AM31">
        <v>450.24740216590749</v>
      </c>
      <c r="AO31">
        <v>43767.297052703711</v>
      </c>
      <c r="AP31">
        <v>12.92824858019368</v>
      </c>
      <c r="AQ31">
        <v>47690.748997448783</v>
      </c>
      <c r="AR31">
        <v>13.139353454171809</v>
      </c>
      <c r="AS31" s="2">
        <f t="shared" si="0"/>
        <v>3923.451944745073</v>
      </c>
      <c r="AT31" s="2">
        <f t="shared" si="1"/>
        <v>0.2111048739781296</v>
      </c>
      <c r="AV31">
        <f t="shared" si="2"/>
        <v>1249057.5609666642</v>
      </c>
      <c r="AW31">
        <f t="shared" si="3"/>
        <v>1266244.5964197323</v>
      </c>
      <c r="AY31">
        <f t="shared" si="4"/>
        <v>0</v>
      </c>
      <c r="AZ31">
        <f t="shared" si="5"/>
        <v>1</v>
      </c>
      <c r="BB31">
        <v>13000</v>
      </c>
      <c r="BC31">
        <v>0.61699999999999999</v>
      </c>
      <c r="BD31">
        <v>0.38300000000000001</v>
      </c>
    </row>
    <row r="32" spans="1:56" x14ac:dyDescent="0.2">
      <c r="A32">
        <f t="shared" si="6"/>
        <v>28</v>
      </c>
      <c r="B32">
        <v>2.4250130809089238E-2</v>
      </c>
      <c r="C32">
        <v>2.1393532628216319E-2</v>
      </c>
      <c r="D32">
        <v>3.9455696654737138E-2</v>
      </c>
      <c r="E32">
        <v>1.1331882245962956E-2</v>
      </c>
      <c r="F32">
        <v>3.4167112125972343E-3</v>
      </c>
      <c r="G32">
        <v>1.45498958047664E-2</v>
      </c>
      <c r="H32">
        <v>4.0799997818419698E-2</v>
      </c>
      <c r="I32">
        <v>0.13448814466761216</v>
      </c>
      <c r="J32">
        <v>0</v>
      </c>
      <c r="K32">
        <v>0.38444351151524858</v>
      </c>
      <c r="L32">
        <v>0.25857082098327799</v>
      </c>
      <c r="M32">
        <v>0.74142917901672201</v>
      </c>
      <c r="N32">
        <v>5.7592143673344753E-2</v>
      </c>
      <c r="O32" s="72">
        <v>0.97764368008577229</v>
      </c>
      <c r="P32">
        <v>0.99897912467343142</v>
      </c>
      <c r="Q32">
        <v>0.99036385643759028</v>
      </c>
      <c r="R32">
        <v>0.52550159355965664</v>
      </c>
      <c r="S32">
        <v>0.30831388516589142</v>
      </c>
      <c r="T32">
        <v>0.19585679257276079</v>
      </c>
      <c r="U32">
        <v>0.76854041590670996</v>
      </c>
      <c r="V32">
        <v>0.6855192759885993</v>
      </c>
      <c r="W32">
        <v>0.5825881651042909</v>
      </c>
      <c r="X32">
        <v>0.48136090583694469</v>
      </c>
      <c r="Y32">
        <v>0.46291532899631349</v>
      </c>
      <c r="Z32">
        <v>0.49825291085240209</v>
      </c>
      <c r="AA32">
        <v>0.69849063759560837</v>
      </c>
      <c r="AB32">
        <v>0.84394833581306994</v>
      </c>
      <c r="AC32">
        <v>0.70516186250144675</v>
      </c>
      <c r="AD32">
        <v>0.64463603296460659</v>
      </c>
      <c r="AE32">
        <v>195.53083243159591</v>
      </c>
      <c r="AF32">
        <v>826.33101026680799</v>
      </c>
      <c r="AG32">
        <v>1748.8664290002966</v>
      </c>
      <c r="AH32">
        <v>13701.941748464234</v>
      </c>
      <c r="AI32">
        <v>11760.236839611391</v>
      </c>
      <c r="AJ32">
        <v>43198.345441325713</v>
      </c>
      <c r="AK32">
        <v>13274.912902470238</v>
      </c>
      <c r="AL32">
        <v>1695.5646184036323</v>
      </c>
      <c r="AM32">
        <v>431.01812874512024</v>
      </c>
      <c r="AO32">
        <v>44124.966649067508</v>
      </c>
      <c r="AP32">
        <v>13.663798984811628</v>
      </c>
      <c r="AQ32">
        <v>47259.727619713114</v>
      </c>
      <c r="AR32">
        <v>13.872955546136724</v>
      </c>
      <c r="AS32" s="2">
        <f t="shared" si="0"/>
        <v>3134.760970645606</v>
      </c>
      <c r="AT32" s="2">
        <f t="shared" si="1"/>
        <v>0.20915656132509675</v>
      </c>
      <c r="AV32">
        <f t="shared" si="2"/>
        <v>1322254.9318320951</v>
      </c>
      <c r="AW32">
        <f t="shared" si="3"/>
        <v>1340035.8269939593</v>
      </c>
      <c r="AY32">
        <f t="shared" si="4"/>
        <v>0</v>
      </c>
      <c r="AZ32">
        <f t="shared" si="5"/>
        <v>1</v>
      </c>
      <c r="BB32">
        <v>14000</v>
      </c>
      <c r="BC32">
        <v>0.58899999999999997</v>
      </c>
      <c r="BD32">
        <v>0.41099999999999998</v>
      </c>
    </row>
    <row r="33" spans="1:56" x14ac:dyDescent="0.2">
      <c r="A33">
        <f t="shared" si="6"/>
        <v>29</v>
      </c>
      <c r="B33">
        <v>3.3343725579629946E-2</v>
      </c>
      <c r="C33">
        <v>3.674303141795987E-2</v>
      </c>
      <c r="D33">
        <v>2.68628198305867E-2</v>
      </c>
      <c r="E33">
        <v>1.4542017685848951E-2</v>
      </c>
      <c r="F33">
        <v>3.3331031390423232E-3</v>
      </c>
      <c r="G33">
        <v>5.6845198057685203E-3</v>
      </c>
      <c r="H33">
        <v>3.0408649744299243E-2</v>
      </c>
      <c r="I33">
        <v>0.12504799050596838</v>
      </c>
      <c r="J33">
        <v>0</v>
      </c>
      <c r="K33">
        <v>0.51232969842008269</v>
      </c>
      <c r="L33">
        <v>0.20224608487063905</v>
      </c>
      <c r="M33">
        <v>0.79775391512936089</v>
      </c>
      <c r="N33">
        <v>3.3068476729179466E-2</v>
      </c>
      <c r="O33" s="72">
        <v>0.98618891118343588</v>
      </c>
      <c r="P33">
        <v>0.94061503156199</v>
      </c>
      <c r="Q33">
        <v>0.85143118911307525</v>
      </c>
      <c r="R33">
        <v>0.50138784768921929</v>
      </c>
      <c r="S33">
        <v>0.44580749260004726</v>
      </c>
      <c r="T33">
        <v>0.14662270720348614</v>
      </c>
      <c r="U33">
        <v>0.75777989198425921</v>
      </c>
      <c r="V33">
        <v>0.65030994611127169</v>
      </c>
      <c r="W33">
        <v>0.5024927261577371</v>
      </c>
      <c r="X33">
        <v>0.49197042567139604</v>
      </c>
      <c r="Y33">
        <v>0.47642310813059285</v>
      </c>
      <c r="Z33">
        <v>0.44296478711320736</v>
      </c>
      <c r="AA33">
        <v>0.74777844622990908</v>
      </c>
      <c r="AB33">
        <v>0.83039146944232289</v>
      </c>
      <c r="AC33">
        <v>0.62956704314663858</v>
      </c>
      <c r="AD33">
        <v>0.59796009436201258</v>
      </c>
      <c r="AE33">
        <v>272.15767632782138</v>
      </c>
      <c r="AF33">
        <v>1108.9113765038937</v>
      </c>
      <c r="AG33">
        <v>1779.7152767959376</v>
      </c>
      <c r="AH33">
        <v>11633.177398798385</v>
      </c>
      <c r="AI33">
        <v>12591.315446626391</v>
      </c>
      <c r="AJ33">
        <v>39523.952765101523</v>
      </c>
      <c r="AK33">
        <v>15813.29832561558</v>
      </c>
      <c r="AL33">
        <v>2130.9730325045102</v>
      </c>
      <c r="AM33">
        <v>295.20635524071349</v>
      </c>
      <c r="AO33">
        <v>43134.193009446637</v>
      </c>
      <c r="AP33">
        <v>13.228181643507774</v>
      </c>
      <c r="AQ33">
        <v>47620.305218158304</v>
      </c>
      <c r="AR33">
        <v>13.472209721028115</v>
      </c>
      <c r="AS33" s="2">
        <f t="shared" si="0"/>
        <v>4486.1122087116673</v>
      </c>
      <c r="AT33" s="2">
        <f t="shared" si="1"/>
        <v>0.2440280775203405</v>
      </c>
      <c r="AV33">
        <f t="shared" si="2"/>
        <v>1279683.9713413308</v>
      </c>
      <c r="AW33">
        <f t="shared" si="3"/>
        <v>1299600.6668846533</v>
      </c>
      <c r="AY33">
        <f t="shared" si="4"/>
        <v>0</v>
      </c>
      <c r="AZ33">
        <f t="shared" si="5"/>
        <v>1</v>
      </c>
      <c r="BB33">
        <v>15000</v>
      </c>
      <c r="BC33">
        <v>0.57099999999999995</v>
      </c>
      <c r="BD33">
        <v>0.42899999999999999</v>
      </c>
    </row>
    <row r="34" spans="1:56" x14ac:dyDescent="0.2">
      <c r="A34">
        <f t="shared" si="6"/>
        <v>30</v>
      </c>
      <c r="B34">
        <v>2.8238700178068954E-2</v>
      </c>
      <c r="C34">
        <v>3.7281459763437885E-2</v>
      </c>
      <c r="D34">
        <v>6.7043988673294752E-2</v>
      </c>
      <c r="E34">
        <v>1.736720606164599E-2</v>
      </c>
      <c r="F34">
        <v>3.2129153147673257E-3</v>
      </c>
      <c r="G34">
        <v>3.3528163968714164E-2</v>
      </c>
      <c r="H34">
        <v>1.7677559328320033E-2</v>
      </c>
      <c r="I34">
        <v>0.13373718824209713</v>
      </c>
      <c r="J34">
        <v>0</v>
      </c>
      <c r="K34">
        <v>0.42949626704363708</v>
      </c>
      <c r="L34">
        <v>0.17675880382639692</v>
      </c>
      <c r="M34">
        <v>0.82324119617360303</v>
      </c>
      <c r="N34">
        <v>6.278801593873784E-2</v>
      </c>
      <c r="O34" s="72">
        <v>0.99404683837085717</v>
      </c>
      <c r="P34">
        <v>0.99978002652278086</v>
      </c>
      <c r="Q34">
        <v>0.99265527358080763</v>
      </c>
      <c r="R34">
        <v>0.52699335837830907</v>
      </c>
      <c r="S34">
        <v>0.37650944912988726</v>
      </c>
      <c r="T34">
        <v>0.2767607215649398</v>
      </c>
      <c r="U34">
        <v>0.73862874512196541</v>
      </c>
      <c r="V34">
        <v>0.69188577972959986</v>
      </c>
      <c r="W34">
        <v>0.55875877130529839</v>
      </c>
      <c r="X34">
        <v>0.41943794142898411</v>
      </c>
      <c r="Y34">
        <v>0.47364706199507123</v>
      </c>
      <c r="Z34">
        <v>0.41139816505533233</v>
      </c>
      <c r="AA34">
        <v>0.64549850687312094</v>
      </c>
      <c r="AB34">
        <v>0.80303681249734171</v>
      </c>
      <c r="AC34">
        <v>0.7154222921702138</v>
      </c>
      <c r="AD34">
        <v>0.62034741988208264</v>
      </c>
      <c r="AE34">
        <v>217.94073402390012</v>
      </c>
      <c r="AF34">
        <v>975.81554182787579</v>
      </c>
      <c r="AG34">
        <v>1155.1889635563996</v>
      </c>
      <c r="AH34">
        <v>15129.760323614852</v>
      </c>
      <c r="AI34">
        <v>18413.692154209319</v>
      </c>
      <c r="AJ34">
        <v>35945.487547105251</v>
      </c>
      <c r="AK34">
        <v>12801.095644383138</v>
      </c>
      <c r="AL34">
        <v>2553.830100343675</v>
      </c>
      <c r="AM34">
        <v>621.58835778993875</v>
      </c>
      <c r="AO34">
        <v>44455.564955152528</v>
      </c>
      <c r="AP34">
        <v>13.079871598017471</v>
      </c>
      <c r="AQ34">
        <v>50133.203881262314</v>
      </c>
      <c r="AR34">
        <v>13.289899414191972</v>
      </c>
      <c r="AS34" s="2">
        <f t="shared" si="0"/>
        <v>5677.6389261097866</v>
      </c>
      <c r="AT34" s="2">
        <f t="shared" si="1"/>
        <v>0.21002781617450061</v>
      </c>
      <c r="AV34">
        <f t="shared" si="2"/>
        <v>1263531.5948465946</v>
      </c>
      <c r="AW34">
        <f t="shared" si="3"/>
        <v>1278856.7375379349</v>
      </c>
      <c r="AY34">
        <f t="shared" si="4"/>
        <v>0</v>
      </c>
      <c r="AZ34">
        <f t="shared" si="5"/>
        <v>1</v>
      </c>
      <c r="BB34">
        <v>16000</v>
      </c>
      <c r="BC34">
        <v>0.53500000000000003</v>
      </c>
      <c r="BD34">
        <v>0.46500000000000002</v>
      </c>
    </row>
    <row r="35" spans="1:56" x14ac:dyDescent="0.2">
      <c r="A35">
        <f t="shared" si="6"/>
        <v>31</v>
      </c>
      <c r="B35">
        <v>2.6045240389617086E-2</v>
      </c>
      <c r="C35">
        <v>4.2626756965847501E-2</v>
      </c>
      <c r="D35">
        <v>4.5880211142494187E-2</v>
      </c>
      <c r="E35">
        <v>7.7030139908565312E-3</v>
      </c>
      <c r="F35">
        <v>3.3265191133432202E-3</v>
      </c>
      <c r="G35">
        <v>4.7692719576154074E-3</v>
      </c>
      <c r="H35">
        <v>1.6456996902753318E-2</v>
      </c>
      <c r="I35">
        <v>0.11512696561968676</v>
      </c>
      <c r="J35">
        <v>0</v>
      </c>
      <c r="K35">
        <v>0.44813152779445942</v>
      </c>
      <c r="L35">
        <v>0.2689290852730819</v>
      </c>
      <c r="M35">
        <v>0.7310709147269181</v>
      </c>
      <c r="N35">
        <v>4.4536618783794606E-2</v>
      </c>
      <c r="O35" s="72">
        <v>0.97949529095716104</v>
      </c>
      <c r="P35">
        <v>0.99982278080648646</v>
      </c>
      <c r="Q35">
        <v>0.98807710556978479</v>
      </c>
      <c r="R35">
        <v>0.5032797392453825</v>
      </c>
      <c r="S35">
        <v>0.4895434701542688</v>
      </c>
      <c r="T35">
        <v>0.26432434643346792</v>
      </c>
      <c r="U35">
        <v>0.75377914053075423</v>
      </c>
      <c r="V35">
        <v>0.64963689061807828</v>
      </c>
      <c r="W35">
        <v>0.59122829672639665</v>
      </c>
      <c r="X35">
        <v>0.46850779061364778</v>
      </c>
      <c r="Y35">
        <v>0.44646763162451197</v>
      </c>
      <c r="Z35">
        <v>0.44622072480287928</v>
      </c>
      <c r="AA35">
        <v>0.76858690234145899</v>
      </c>
      <c r="AB35">
        <v>0.85228521579595784</v>
      </c>
      <c r="AC35">
        <v>0.68040262782213046</v>
      </c>
      <c r="AD35">
        <v>0.53509950709372567</v>
      </c>
      <c r="AE35">
        <v>181.43047264454924</v>
      </c>
      <c r="AF35">
        <v>838.55076672792995</v>
      </c>
      <c r="AG35">
        <v>2083.9618248544853</v>
      </c>
      <c r="AH35">
        <v>16165.666068382621</v>
      </c>
      <c r="AI35">
        <v>8499.2907648793316</v>
      </c>
      <c r="AJ35">
        <v>40803.967092331717</v>
      </c>
      <c r="AK35">
        <v>13662.274322180205</v>
      </c>
      <c r="AL35">
        <v>2057.0149135810666</v>
      </c>
      <c r="AM35">
        <v>311.3847508816944</v>
      </c>
      <c r="AO35">
        <v>40339.843377022167</v>
      </c>
      <c r="AP35">
        <v>13.606396199513002</v>
      </c>
      <c r="AQ35">
        <v>45464.610408793807</v>
      </c>
      <c r="AR35">
        <v>13.794946045547928</v>
      </c>
      <c r="AS35" s="2">
        <f t="shared" si="0"/>
        <v>5124.7670317716402</v>
      </c>
      <c r="AT35" s="2">
        <f t="shared" si="1"/>
        <v>0.18854984603492575</v>
      </c>
      <c r="AV35">
        <f t="shared" si="2"/>
        <v>1320299.776574278</v>
      </c>
      <c r="AW35">
        <f t="shared" si="3"/>
        <v>1334029.994145999</v>
      </c>
      <c r="AY35">
        <f t="shared" si="4"/>
        <v>0</v>
      </c>
      <c r="AZ35">
        <f t="shared" si="5"/>
        <v>1</v>
      </c>
      <c r="BB35">
        <v>17000</v>
      </c>
      <c r="BC35">
        <v>0.51300000000000001</v>
      </c>
      <c r="BD35">
        <v>0.48699999999999999</v>
      </c>
    </row>
    <row r="36" spans="1:56" x14ac:dyDescent="0.2">
      <c r="A36">
        <f t="shared" si="6"/>
        <v>32</v>
      </c>
      <c r="B36">
        <v>2.8322500906836634E-2</v>
      </c>
      <c r="C36">
        <v>3.1485460137674996E-2</v>
      </c>
      <c r="D36">
        <v>3.6065403506449357E-2</v>
      </c>
      <c r="E36">
        <v>3.8732460870567365E-2</v>
      </c>
      <c r="F36">
        <v>3.4064622665725963E-3</v>
      </c>
      <c r="G36">
        <v>1.4088984254164272E-2</v>
      </c>
      <c r="H36">
        <v>3.0470330593424744E-2</v>
      </c>
      <c r="I36">
        <v>0.14234405220861124</v>
      </c>
      <c r="J36">
        <v>0</v>
      </c>
      <c r="K36">
        <v>0.41907621204592788</v>
      </c>
      <c r="L36">
        <v>0.23528072837938474</v>
      </c>
      <c r="M36">
        <v>0.76471927162061526</v>
      </c>
      <c r="N36">
        <v>4.0790269798961505E-2</v>
      </c>
      <c r="O36" s="72">
        <v>0.99800238006128072</v>
      </c>
      <c r="P36">
        <v>0.99982609465961902</v>
      </c>
      <c r="Q36">
        <v>0.97185287343771753</v>
      </c>
      <c r="R36">
        <v>0.50021138595632564</v>
      </c>
      <c r="S36">
        <v>0.34913684675918488</v>
      </c>
      <c r="T36">
        <v>0.10142567835762095</v>
      </c>
      <c r="U36">
        <v>0.796303361580047</v>
      </c>
      <c r="V36">
        <v>0.72118139085596322</v>
      </c>
      <c r="W36">
        <v>0.68238864818374767</v>
      </c>
      <c r="X36">
        <v>0.46321813650605659</v>
      </c>
      <c r="Y36">
        <v>0.41935071624964226</v>
      </c>
      <c r="Z36">
        <v>0.47371155785178065</v>
      </c>
      <c r="AA36">
        <v>0.64941031510397407</v>
      </c>
      <c r="AB36">
        <v>0.7919754654904998</v>
      </c>
      <c r="AC36">
        <v>0.75974612319490376</v>
      </c>
      <c r="AD36">
        <v>0.51708706941925442</v>
      </c>
      <c r="AE36">
        <v>165.67358426955613</v>
      </c>
      <c r="AF36">
        <v>1149.1149173236038</v>
      </c>
      <c r="AG36">
        <v>2052.4695615955361</v>
      </c>
      <c r="AH36">
        <v>13251.133404421122</v>
      </c>
      <c r="AI36">
        <v>12385.17965492889</v>
      </c>
      <c r="AJ36">
        <v>36273.037903539145</v>
      </c>
      <c r="AK36">
        <v>17435.243606691995</v>
      </c>
      <c r="AL36">
        <v>2699.5417049004104</v>
      </c>
      <c r="AM36">
        <v>398.49391545287938</v>
      </c>
      <c r="AO36">
        <v>46926.299902556813</v>
      </c>
      <c r="AP36">
        <v>12.917995438779572</v>
      </c>
      <c r="AQ36">
        <v>46721.504099638856</v>
      </c>
      <c r="AR36">
        <v>13.075343302783008</v>
      </c>
      <c r="AS36" s="2">
        <f t="shared" si="0"/>
        <v>-204.79580291795719</v>
      </c>
      <c r="AT36" s="2">
        <f t="shared" si="1"/>
        <v>0.15734786400343559</v>
      </c>
      <c r="AV36">
        <f t="shared" si="2"/>
        <v>1244873.2439754005</v>
      </c>
      <c r="AW36">
        <f t="shared" si="3"/>
        <v>1260812.8261786618</v>
      </c>
      <c r="AY36">
        <f t="shared" si="4"/>
        <v>0</v>
      </c>
      <c r="AZ36">
        <f t="shared" si="5"/>
        <v>1</v>
      </c>
      <c r="BB36">
        <v>18000</v>
      </c>
      <c r="BC36">
        <v>0.48099999999999998</v>
      </c>
      <c r="BD36">
        <v>0.51900000000000002</v>
      </c>
    </row>
    <row r="37" spans="1:56" x14ac:dyDescent="0.2">
      <c r="A37">
        <f t="shared" si="6"/>
        <v>33</v>
      </c>
      <c r="B37">
        <v>2.5553173091680814E-2</v>
      </c>
      <c r="C37">
        <v>3.6706613115441988E-2</v>
      </c>
      <c r="D37">
        <v>2.1952076646719002E-2</v>
      </c>
      <c r="E37">
        <v>1.3330845911322498E-2</v>
      </c>
      <c r="F37">
        <v>3.513853942386902E-3</v>
      </c>
      <c r="G37">
        <v>7.9417412060596784E-3</v>
      </c>
      <c r="H37">
        <v>2.592249073597367E-2</v>
      </c>
      <c r="I37">
        <v>0.12323095215464022</v>
      </c>
      <c r="J37">
        <v>0</v>
      </c>
      <c r="K37">
        <v>0.45245005044135722</v>
      </c>
      <c r="L37">
        <v>0.1919085866145914</v>
      </c>
      <c r="M37">
        <v>0.80809141338540857</v>
      </c>
      <c r="N37">
        <v>5.6237774697724424E-2</v>
      </c>
      <c r="O37" s="72">
        <v>0.99880577659073611</v>
      </c>
      <c r="P37">
        <v>0.99997990237885903</v>
      </c>
      <c r="Q37">
        <v>0.99420650607511252</v>
      </c>
      <c r="R37">
        <v>0.50973069375966373</v>
      </c>
      <c r="S37">
        <v>0.50256897220358376</v>
      </c>
      <c r="T37">
        <v>0.24821149345863858</v>
      </c>
      <c r="U37">
        <v>0.80169167567834188</v>
      </c>
      <c r="V37">
        <v>0.61640936021080028</v>
      </c>
      <c r="W37">
        <v>0.61133314884218337</v>
      </c>
      <c r="X37">
        <v>0.49619992655490164</v>
      </c>
      <c r="Y37">
        <v>0.46175280760332627</v>
      </c>
      <c r="Z37">
        <v>0.42379901705683432</v>
      </c>
      <c r="AA37">
        <v>0.6284761615172193</v>
      </c>
      <c r="AB37">
        <v>0.80176642446935853</v>
      </c>
      <c r="AC37">
        <v>0.76991095779005148</v>
      </c>
      <c r="AD37">
        <v>0.59501838807217944</v>
      </c>
      <c r="AE37">
        <v>190.8536720514391</v>
      </c>
      <c r="AF37">
        <v>1168.83151724758</v>
      </c>
      <c r="AG37">
        <v>2496.7103305672881</v>
      </c>
      <c r="AH37">
        <v>13506.467401087473</v>
      </c>
      <c r="AI37">
        <v>11314.222001788527</v>
      </c>
      <c r="AJ37">
        <v>37960.863034900322</v>
      </c>
      <c r="AK37">
        <v>13224.161954513283</v>
      </c>
      <c r="AL37">
        <v>1627.1036394952896</v>
      </c>
      <c r="AM37">
        <v>347.32641275521161</v>
      </c>
      <c r="AO37">
        <v>40592.123224064482</v>
      </c>
      <c r="AP37">
        <v>13.249534020113098</v>
      </c>
      <c r="AQ37">
        <v>45933.197337438854</v>
      </c>
      <c r="AR37">
        <v>13.337750267270531</v>
      </c>
      <c r="AS37" s="2">
        <f t="shared" si="0"/>
        <v>5341.0741133743722</v>
      </c>
      <c r="AT37" s="2">
        <f t="shared" si="1"/>
        <v>8.8216247157433259E-2</v>
      </c>
      <c r="AV37">
        <f t="shared" si="2"/>
        <v>1284361.2787872453</v>
      </c>
      <c r="AW37">
        <f t="shared" si="3"/>
        <v>1287841.8293896143</v>
      </c>
      <c r="AY37">
        <f t="shared" si="4"/>
        <v>0</v>
      </c>
      <c r="AZ37">
        <f t="shared" si="5"/>
        <v>1</v>
      </c>
      <c r="BB37">
        <v>19000</v>
      </c>
      <c r="BC37">
        <v>0.44900000000000001</v>
      </c>
      <c r="BD37">
        <v>0.55100000000000005</v>
      </c>
    </row>
    <row r="38" spans="1:56" x14ac:dyDescent="0.2">
      <c r="A38">
        <f t="shared" si="6"/>
        <v>34</v>
      </c>
      <c r="B38">
        <v>2.3853090428381605E-2</v>
      </c>
      <c r="C38">
        <v>4.5129402657777984E-2</v>
      </c>
      <c r="D38">
        <v>3.4944600176781603E-2</v>
      </c>
      <c r="E38">
        <v>1.3714924868738154E-2</v>
      </c>
      <c r="F38">
        <v>3.3457838998791622E-3</v>
      </c>
      <c r="G38">
        <v>6.8676942206163452E-3</v>
      </c>
      <c r="H38">
        <v>1.6655250784420109E-2</v>
      </c>
      <c r="I38">
        <v>0.14320266265888149</v>
      </c>
      <c r="J38">
        <v>0</v>
      </c>
      <c r="K38">
        <v>0.43749428047792882</v>
      </c>
      <c r="L38">
        <v>0.19583909715072895</v>
      </c>
      <c r="M38">
        <v>0.80416090284927111</v>
      </c>
      <c r="N38">
        <v>3.4840946187993937E-2</v>
      </c>
      <c r="O38" s="72">
        <v>0.99466728157835738</v>
      </c>
      <c r="P38">
        <v>0.99213363441696334</v>
      </c>
      <c r="Q38">
        <v>0.97170966278394721</v>
      </c>
      <c r="R38">
        <v>0.47762350044629021</v>
      </c>
      <c r="S38">
        <v>0.29850280273882046</v>
      </c>
      <c r="T38">
        <v>0.28672201058799363</v>
      </c>
      <c r="U38">
        <v>0.78071341379644843</v>
      </c>
      <c r="V38">
        <v>0.6092243165216582</v>
      </c>
      <c r="W38">
        <v>0.51132186263833312</v>
      </c>
      <c r="X38">
        <v>0.40699227218482154</v>
      </c>
      <c r="Y38">
        <v>0.42414769510708156</v>
      </c>
      <c r="Z38">
        <v>0.46814031279438773</v>
      </c>
      <c r="AA38">
        <v>0.75822536663585693</v>
      </c>
      <c r="AB38">
        <v>0.80380429526781061</v>
      </c>
      <c r="AC38">
        <v>0.67181940191536227</v>
      </c>
      <c r="AD38">
        <v>0.58467793904052734</v>
      </c>
      <c r="AE38">
        <v>152.6217533471154</v>
      </c>
      <c r="AF38">
        <v>997.94802996573844</v>
      </c>
      <c r="AG38">
        <v>1372.1914544821946</v>
      </c>
      <c r="AH38">
        <v>12661.801833365213</v>
      </c>
      <c r="AI38">
        <v>15411.676649746165</v>
      </c>
      <c r="AJ38">
        <v>38440.513761466937</v>
      </c>
      <c r="AK38">
        <v>17095.433878223419</v>
      </c>
      <c r="AL38">
        <v>2360.8691043119902</v>
      </c>
      <c r="AM38">
        <v>351.61263812874506</v>
      </c>
      <c r="AO38">
        <v>43551.934343371802</v>
      </c>
      <c r="AP38">
        <v>13.000356120421786</v>
      </c>
      <c r="AQ38">
        <v>46142.387776729753</v>
      </c>
      <c r="AR38">
        <v>13.171242382665991</v>
      </c>
      <c r="AS38" s="2">
        <f t="shared" si="0"/>
        <v>2590.4534333579504</v>
      </c>
      <c r="AT38" s="2">
        <f t="shared" si="1"/>
        <v>0.17088626224420445</v>
      </c>
      <c r="AV38">
        <f t="shared" si="2"/>
        <v>1256483.6776988069</v>
      </c>
      <c r="AW38">
        <f t="shared" si="3"/>
        <v>1270981.8504898695</v>
      </c>
      <c r="AY38">
        <f t="shared" si="4"/>
        <v>0</v>
      </c>
      <c r="AZ38">
        <f t="shared" si="5"/>
        <v>1</v>
      </c>
      <c r="BB38">
        <v>20000</v>
      </c>
      <c r="BC38">
        <v>0.42599999999999999</v>
      </c>
      <c r="BD38">
        <v>0.57399999999999995</v>
      </c>
    </row>
    <row r="39" spans="1:56" x14ac:dyDescent="0.2">
      <c r="A39">
        <f t="shared" si="6"/>
        <v>35</v>
      </c>
      <c r="B39">
        <v>3.1472868759728545E-2</v>
      </c>
      <c r="C39">
        <v>4.7139570204967951E-2</v>
      </c>
      <c r="D39">
        <v>4.4116046322731473E-2</v>
      </c>
      <c r="E39">
        <v>5.5923086031886116E-2</v>
      </c>
      <c r="F39">
        <v>3.3885446424336552E-3</v>
      </c>
      <c r="G39">
        <v>5.9857831074937888E-3</v>
      </c>
      <c r="H39">
        <v>2.8654702120336384E-2</v>
      </c>
      <c r="I39">
        <v>0.13538348269067269</v>
      </c>
      <c r="J39">
        <v>0</v>
      </c>
      <c r="K39">
        <v>0.4105128585891924</v>
      </c>
      <c r="L39">
        <v>0.28110781253629891</v>
      </c>
      <c r="M39">
        <v>0.71889218746370109</v>
      </c>
      <c r="N39">
        <v>5.4740183940982498E-2</v>
      </c>
      <c r="O39" s="72">
        <v>0.99931128581429429</v>
      </c>
      <c r="P39">
        <v>0.99595231283780783</v>
      </c>
      <c r="Q39">
        <v>0.98664289576888786</v>
      </c>
      <c r="R39">
        <v>0.47007502383951394</v>
      </c>
      <c r="S39">
        <v>0.44856049956405453</v>
      </c>
      <c r="T39">
        <v>0.22729785069413855</v>
      </c>
      <c r="U39">
        <v>0.82074160745540947</v>
      </c>
      <c r="V39">
        <v>0.6389914506962372</v>
      </c>
      <c r="W39">
        <v>0.58448070830853138</v>
      </c>
      <c r="X39">
        <v>0.47579451625252223</v>
      </c>
      <c r="Y39">
        <v>0.4161223258931781</v>
      </c>
      <c r="Z39">
        <v>0.39862767773616825</v>
      </c>
      <c r="AA39">
        <v>0.65292722106707923</v>
      </c>
      <c r="AB39">
        <v>0.77547951752081734</v>
      </c>
      <c r="AC39">
        <v>0.66200253798688269</v>
      </c>
      <c r="AD39">
        <v>0.60904949746611525</v>
      </c>
      <c r="AE39">
        <v>221.31111923420428</v>
      </c>
      <c r="AF39">
        <v>875.72966050049001</v>
      </c>
      <c r="AG39">
        <v>1904.4390467590379</v>
      </c>
      <c r="AH39">
        <v>13973.624929091418</v>
      </c>
      <c r="AI39">
        <v>14990.242657479917</v>
      </c>
      <c r="AJ39">
        <v>37015.404862865864</v>
      </c>
      <c r="AK39">
        <v>12826.952169434886</v>
      </c>
      <c r="AL39">
        <v>1710.5098263068533</v>
      </c>
      <c r="AM39">
        <v>332.44342651850587</v>
      </c>
      <c r="AO39">
        <v>42753.981094061215</v>
      </c>
      <c r="AP39">
        <v>12.605128190349056</v>
      </c>
      <c r="AQ39">
        <v>45775.575761206892</v>
      </c>
      <c r="AR39">
        <v>12.795927891224107</v>
      </c>
      <c r="AS39" s="2">
        <f t="shared" si="0"/>
        <v>3021.5946671456768</v>
      </c>
      <c r="AT39" s="2">
        <f t="shared" si="1"/>
        <v>0.1907997008750506</v>
      </c>
      <c r="AV39">
        <f t="shared" si="2"/>
        <v>1217758.8379408445</v>
      </c>
      <c r="AW39">
        <f t="shared" si="3"/>
        <v>1233817.2133612037</v>
      </c>
      <c r="AY39">
        <f t="shared" si="4"/>
        <v>0</v>
      </c>
      <c r="AZ39">
        <f t="shared" si="5"/>
        <v>1</v>
      </c>
      <c r="BB39">
        <v>21000</v>
      </c>
      <c r="BC39">
        <v>0.40200000000000002</v>
      </c>
      <c r="BD39">
        <v>0.59799999999999998</v>
      </c>
    </row>
    <row r="40" spans="1:56" x14ac:dyDescent="0.2">
      <c r="A40">
        <f t="shared" si="6"/>
        <v>36</v>
      </c>
      <c r="B40">
        <v>2.2590464859105135E-2</v>
      </c>
      <c r="C40">
        <v>2.2994107305993074E-2</v>
      </c>
      <c r="D40">
        <v>3.078721368511499E-2</v>
      </c>
      <c r="E40">
        <v>1.2406833451713117E-2</v>
      </c>
      <c r="F40">
        <v>3.4002762702423084E-3</v>
      </c>
      <c r="G40">
        <v>3.8910825068732675E-3</v>
      </c>
      <c r="H40">
        <v>2.5306429196271761E-2</v>
      </c>
      <c r="I40">
        <v>0.13365288593006774</v>
      </c>
      <c r="J40">
        <v>0</v>
      </c>
      <c r="K40">
        <v>0.42687762118032097</v>
      </c>
      <c r="L40">
        <v>0.18133819182833599</v>
      </c>
      <c r="M40">
        <v>0.81866180817166401</v>
      </c>
      <c r="N40">
        <v>4.6413323521053401E-2</v>
      </c>
      <c r="O40" s="72">
        <v>0.99993283965259816</v>
      </c>
      <c r="P40">
        <v>0.99993564170287252</v>
      </c>
      <c r="Q40">
        <v>0.88699434483903827</v>
      </c>
      <c r="R40">
        <v>0.52354414853250453</v>
      </c>
      <c r="S40">
        <v>0.48339643299798052</v>
      </c>
      <c r="T40">
        <v>0.14075999574749132</v>
      </c>
      <c r="U40">
        <v>0.76396464604644143</v>
      </c>
      <c r="V40">
        <v>0.61388715739353383</v>
      </c>
      <c r="W40">
        <v>0.54929954401500014</v>
      </c>
      <c r="X40">
        <v>0.45277289541760102</v>
      </c>
      <c r="Y40">
        <v>0.44349215471239134</v>
      </c>
      <c r="Z40">
        <v>0.45897352582447903</v>
      </c>
      <c r="AA40">
        <v>0.73140012203691307</v>
      </c>
      <c r="AB40">
        <v>0.73987654605665898</v>
      </c>
      <c r="AC40">
        <v>0.77871797366936124</v>
      </c>
      <c r="AD40">
        <v>0.59876209900343069</v>
      </c>
      <c r="AE40">
        <v>236.55463208534599</v>
      </c>
      <c r="AF40">
        <v>1089.6800472779166</v>
      </c>
      <c r="AG40">
        <v>1700.0437560073153</v>
      </c>
      <c r="AH40">
        <v>17178.086712669821</v>
      </c>
      <c r="AI40">
        <v>21135.488882009802</v>
      </c>
      <c r="AJ40">
        <v>43673.890714904432</v>
      </c>
      <c r="AK40">
        <v>7969.8836249355172</v>
      </c>
      <c r="AL40">
        <v>2520.6724903418854</v>
      </c>
      <c r="AM40">
        <v>513.68154126048751</v>
      </c>
      <c r="AO40">
        <v>45462.944432295983</v>
      </c>
      <c r="AP40">
        <v>12.384554064371663</v>
      </c>
      <c r="AQ40">
        <v>48974.288553433063</v>
      </c>
      <c r="AR40">
        <v>12.496726901462827</v>
      </c>
      <c r="AS40" s="2">
        <f t="shared" si="0"/>
        <v>3511.3441211370809</v>
      </c>
      <c r="AT40" s="2">
        <f t="shared" si="1"/>
        <v>0.11217283709116366</v>
      </c>
      <c r="AV40">
        <f t="shared" si="2"/>
        <v>1192992.4620048702</v>
      </c>
      <c r="AW40">
        <f t="shared" si="3"/>
        <v>1200698.4015928498</v>
      </c>
      <c r="AY40">
        <f t="shared" si="4"/>
        <v>0</v>
      </c>
      <c r="AZ40">
        <f t="shared" si="5"/>
        <v>1</v>
      </c>
      <c r="BB40">
        <v>22000</v>
      </c>
      <c r="BC40">
        <v>0.377</v>
      </c>
      <c r="BD40">
        <v>0.623</v>
      </c>
    </row>
    <row r="41" spans="1:56" x14ac:dyDescent="0.2">
      <c r="A41">
        <f t="shared" si="6"/>
        <v>37</v>
      </c>
      <c r="B41">
        <v>2.2832313691389498E-2</v>
      </c>
      <c r="C41">
        <v>3.2328154769650799E-2</v>
      </c>
      <c r="D41">
        <v>4.8140607961255411E-2</v>
      </c>
      <c r="E41">
        <v>1.9885581045103295E-2</v>
      </c>
      <c r="F41">
        <v>3.3298475436169405E-3</v>
      </c>
      <c r="G41">
        <v>9.7420770611905752E-3</v>
      </c>
      <c r="H41">
        <v>1.8501269816043563E-2</v>
      </c>
      <c r="I41">
        <v>0.14967995479573859</v>
      </c>
      <c r="J41">
        <v>0</v>
      </c>
      <c r="K41">
        <v>0.45892315186764243</v>
      </c>
      <c r="L41">
        <v>0.20255430642968833</v>
      </c>
      <c r="M41">
        <v>0.7974456935703117</v>
      </c>
      <c r="N41">
        <v>6.3518677707860016E-2</v>
      </c>
      <c r="O41" s="72">
        <v>0.99643524730156652</v>
      </c>
      <c r="P41">
        <v>0.9950328635443807</v>
      </c>
      <c r="Q41">
        <v>0.96783719844042726</v>
      </c>
      <c r="R41">
        <v>0.50992699427525712</v>
      </c>
      <c r="S41">
        <v>0.4296080753861381</v>
      </c>
      <c r="T41">
        <v>0.33964063665792421</v>
      </c>
      <c r="U41">
        <v>0.80566867961157418</v>
      </c>
      <c r="V41">
        <v>0.66027502359747359</v>
      </c>
      <c r="W41">
        <v>0.57853512655696182</v>
      </c>
      <c r="X41">
        <v>0.42602780219117664</v>
      </c>
      <c r="Y41">
        <v>0.39694341135462163</v>
      </c>
      <c r="Z41">
        <v>0.48822082049855653</v>
      </c>
      <c r="AA41">
        <v>0.63566438136983239</v>
      </c>
      <c r="AB41">
        <v>0.78786337247159921</v>
      </c>
      <c r="AC41">
        <v>0.64469817926102346</v>
      </c>
      <c r="AD41">
        <v>0.64899604545378375</v>
      </c>
      <c r="AE41">
        <v>198.77096231083164</v>
      </c>
      <c r="AF41">
        <v>1010.214290891591</v>
      </c>
      <c r="AG41">
        <v>2179.244283575194</v>
      </c>
      <c r="AH41">
        <v>17132.461640295736</v>
      </c>
      <c r="AI41">
        <v>10003.126902551337</v>
      </c>
      <c r="AJ41">
        <v>31629.226711311752</v>
      </c>
      <c r="AK41">
        <v>11486.888190225311</v>
      </c>
      <c r="AL41">
        <v>1559.9233003514437</v>
      </c>
      <c r="AM41">
        <v>317.02665935760746</v>
      </c>
      <c r="AO41">
        <v>39446.222723878542</v>
      </c>
      <c r="AP41">
        <v>12.875994761456122</v>
      </c>
      <c r="AQ41">
        <v>45694.004083489519</v>
      </c>
      <c r="AR41">
        <v>12.988528418441611</v>
      </c>
      <c r="AS41" s="2">
        <f t="shared" si="0"/>
        <v>6247.7813596109772</v>
      </c>
      <c r="AT41" s="2">
        <f t="shared" si="1"/>
        <v>0.11253365698548912</v>
      </c>
      <c r="AV41">
        <f t="shared" si="2"/>
        <v>1248153.2534217336</v>
      </c>
      <c r="AW41">
        <f t="shared" si="3"/>
        <v>1253158.8377606715</v>
      </c>
      <c r="AY41">
        <f t="shared" si="4"/>
        <v>0</v>
      </c>
      <c r="AZ41">
        <f t="shared" si="5"/>
        <v>1</v>
      </c>
      <c r="BB41">
        <v>23000</v>
      </c>
      <c r="BC41">
        <v>0.35</v>
      </c>
      <c r="BD41">
        <v>0.65</v>
      </c>
    </row>
    <row r="42" spans="1:56" x14ac:dyDescent="0.2">
      <c r="A42">
        <f t="shared" si="6"/>
        <v>38</v>
      </c>
      <c r="B42">
        <v>3.0364195301280539E-2</v>
      </c>
      <c r="C42">
        <v>4.0094120759134433E-2</v>
      </c>
      <c r="D42">
        <v>4.6712672861706661E-2</v>
      </c>
      <c r="E42">
        <v>3.3536524614264485E-2</v>
      </c>
      <c r="F42">
        <v>3.3058932923089972E-3</v>
      </c>
      <c r="G42">
        <v>1.1026766075299612E-2</v>
      </c>
      <c r="H42">
        <v>2.6462552010730139E-2</v>
      </c>
      <c r="I42">
        <v>0.14357279586352778</v>
      </c>
      <c r="J42">
        <v>0</v>
      </c>
      <c r="K42">
        <v>0.44232995478245363</v>
      </c>
      <c r="L42">
        <v>0.21353667241528651</v>
      </c>
      <c r="M42">
        <v>0.78646332758471349</v>
      </c>
      <c r="N42">
        <v>4.6502486048572378E-2</v>
      </c>
      <c r="O42" s="72">
        <v>0.99947985331589306</v>
      </c>
      <c r="P42">
        <v>0.99999962676581333</v>
      </c>
      <c r="Q42">
        <v>0.94270623635123107</v>
      </c>
      <c r="R42">
        <v>0.50912656212929297</v>
      </c>
      <c r="S42">
        <v>0.35637941274381479</v>
      </c>
      <c r="T42">
        <v>0.17783266806828801</v>
      </c>
      <c r="U42">
        <v>0.7638365946352087</v>
      </c>
      <c r="V42">
        <v>0.57305796210441373</v>
      </c>
      <c r="W42">
        <v>0.59334622981948093</v>
      </c>
      <c r="X42">
        <v>0.45693979798658058</v>
      </c>
      <c r="Y42">
        <v>0.41984973177080037</v>
      </c>
      <c r="Z42">
        <v>0.48878216701355393</v>
      </c>
      <c r="AA42">
        <v>0.66812902301203536</v>
      </c>
      <c r="AB42">
        <v>0.79463838624593819</v>
      </c>
      <c r="AC42">
        <v>0.72786455943020478</v>
      </c>
      <c r="AD42">
        <v>0.6281262971903383</v>
      </c>
      <c r="AE42">
        <v>158.17680362214878</v>
      </c>
      <c r="AF42">
        <v>898.20030662216811</v>
      </c>
      <c r="AG42">
        <v>1532.3483127089278</v>
      </c>
      <c r="AH42">
        <v>17289.621047603152</v>
      </c>
      <c r="AI42">
        <v>11863.355306109821</v>
      </c>
      <c r="AJ42">
        <v>39677.895584934849</v>
      </c>
      <c r="AK42">
        <v>22133.453490341955</v>
      </c>
      <c r="AL42">
        <v>1750.8785977378375</v>
      </c>
      <c r="AM42">
        <v>416.86586549175308</v>
      </c>
      <c r="AO42">
        <v>44292.666274665462</v>
      </c>
      <c r="AP42">
        <v>12.938603183033132</v>
      </c>
      <c r="AQ42">
        <v>47100.140554200414</v>
      </c>
      <c r="AR42">
        <v>13.204297523944257</v>
      </c>
      <c r="AS42" s="2">
        <f t="shared" si="0"/>
        <v>2807.4742795349521</v>
      </c>
      <c r="AT42" s="2">
        <f t="shared" si="1"/>
        <v>0.26569434091112498</v>
      </c>
      <c r="AV42">
        <f t="shared" si="2"/>
        <v>1249567.6520286479</v>
      </c>
      <c r="AW42">
        <f t="shared" si="3"/>
        <v>1273329.6118402253</v>
      </c>
      <c r="AY42">
        <f t="shared" si="4"/>
        <v>0</v>
      </c>
      <c r="AZ42">
        <f t="shared" si="5"/>
        <v>1</v>
      </c>
      <c r="BB42">
        <v>24000</v>
      </c>
      <c r="BC42">
        <v>0.33800000000000002</v>
      </c>
      <c r="BD42">
        <v>0.66200000000000003</v>
      </c>
    </row>
    <row r="43" spans="1:56" x14ac:dyDescent="0.2">
      <c r="A43">
        <f t="shared" si="6"/>
        <v>39</v>
      </c>
      <c r="B43">
        <v>2.5134914797974472E-2</v>
      </c>
      <c r="C43">
        <v>4.3247542760342261E-2</v>
      </c>
      <c r="D43">
        <v>4.3633749570692215E-2</v>
      </c>
      <c r="E43">
        <v>5.4465887165436244E-3</v>
      </c>
      <c r="F43">
        <v>3.3681708183026515E-3</v>
      </c>
      <c r="G43">
        <v>3.3471497283950713E-2</v>
      </c>
      <c r="H43">
        <v>2.438855223096998E-2</v>
      </c>
      <c r="I43">
        <v>0.12888837744194967</v>
      </c>
      <c r="J43">
        <v>0</v>
      </c>
      <c r="K43">
        <v>0.48767820996527422</v>
      </c>
      <c r="L43">
        <v>0.33527107221264696</v>
      </c>
      <c r="M43">
        <v>0.66472892778735304</v>
      </c>
      <c r="N43">
        <v>6.679963608998063E-2</v>
      </c>
      <c r="O43" s="72">
        <v>0.99999291713590299</v>
      </c>
      <c r="P43">
        <v>0.99613726440902473</v>
      </c>
      <c r="Q43">
        <v>0.9520351915191938</v>
      </c>
      <c r="R43">
        <v>0.49263266762101288</v>
      </c>
      <c r="S43">
        <v>0.32205083569362103</v>
      </c>
      <c r="T43">
        <v>0.28498562262385241</v>
      </c>
      <c r="U43">
        <v>0.7560854090279584</v>
      </c>
      <c r="V43">
        <v>0.71841681329531715</v>
      </c>
      <c r="W43">
        <v>0.59524536422252372</v>
      </c>
      <c r="X43">
        <v>0.51579281186057413</v>
      </c>
      <c r="Y43">
        <v>0.46480071281732183</v>
      </c>
      <c r="Z43">
        <v>0.48192229757984895</v>
      </c>
      <c r="AA43">
        <v>0.56007412717976046</v>
      </c>
      <c r="AB43">
        <v>0.82822890566464069</v>
      </c>
      <c r="AC43">
        <v>0.84206973224362724</v>
      </c>
      <c r="AD43">
        <v>0.68913776972632923</v>
      </c>
      <c r="AE43">
        <v>200.79378119436191</v>
      </c>
      <c r="AF43">
        <v>1013.1265072532525</v>
      </c>
      <c r="AG43">
        <v>1663.6122650219593</v>
      </c>
      <c r="AH43">
        <v>19359.854775960979</v>
      </c>
      <c r="AI43">
        <v>8667.0342396374199</v>
      </c>
      <c r="AJ43">
        <v>35046.98094948371</v>
      </c>
      <c r="AK43">
        <v>14544.890626402766</v>
      </c>
      <c r="AL43">
        <v>2147.7353434449874</v>
      </c>
      <c r="AM43">
        <v>397.33389860141108</v>
      </c>
      <c r="AO43">
        <v>43626.936626974719</v>
      </c>
      <c r="AP43">
        <v>13.769498020478091</v>
      </c>
      <c r="AQ43">
        <v>46971.166752325982</v>
      </c>
      <c r="AR43">
        <v>13.961396022570113</v>
      </c>
      <c r="AS43" s="2">
        <f t="shared" si="0"/>
        <v>3344.2301253512633</v>
      </c>
      <c r="AT43" s="2">
        <f t="shared" si="1"/>
        <v>0.19189800209202268</v>
      </c>
      <c r="AV43">
        <f t="shared" si="2"/>
        <v>1333322.8654208344</v>
      </c>
      <c r="AW43">
        <f t="shared" si="3"/>
        <v>1349168.4355046854</v>
      </c>
      <c r="AY43">
        <f t="shared" si="4"/>
        <v>0</v>
      </c>
      <c r="AZ43">
        <f t="shared" si="5"/>
        <v>1</v>
      </c>
      <c r="BB43">
        <v>25000</v>
      </c>
      <c r="BC43">
        <v>0.32700000000000001</v>
      </c>
      <c r="BD43">
        <v>0.67300000000000004</v>
      </c>
    </row>
    <row r="44" spans="1:56" x14ac:dyDescent="0.2">
      <c r="A44">
        <f t="shared" si="6"/>
        <v>40</v>
      </c>
      <c r="B44">
        <v>2.1915144192486868E-2</v>
      </c>
      <c r="C44">
        <v>3.8903986134576907E-2</v>
      </c>
      <c r="D44">
        <v>2.1871478339897426E-2</v>
      </c>
      <c r="E44">
        <v>8.6719454864680866E-3</v>
      </c>
      <c r="F44">
        <v>3.2825940730905642E-3</v>
      </c>
      <c r="G44">
        <v>1.0088415080240257E-2</v>
      </c>
      <c r="H44">
        <v>8.2386005065607313E-3</v>
      </c>
      <c r="I44">
        <v>0.13733032172159221</v>
      </c>
      <c r="J44">
        <v>0</v>
      </c>
      <c r="K44">
        <v>0.47540449025408971</v>
      </c>
      <c r="L44">
        <v>0.30771748020440337</v>
      </c>
      <c r="M44">
        <v>0.69228251979559663</v>
      </c>
      <c r="N44">
        <v>6.4166302064661895E-2</v>
      </c>
      <c r="O44" s="72">
        <v>0.99859199765709195</v>
      </c>
      <c r="P44">
        <v>0.99984337918586597</v>
      </c>
      <c r="Q44">
        <v>0.92695374370984918</v>
      </c>
      <c r="R44">
        <v>0.45914199142898582</v>
      </c>
      <c r="S44">
        <v>0.30403717612818992</v>
      </c>
      <c r="T44">
        <v>0.27354863095384885</v>
      </c>
      <c r="U44">
        <v>0.76981542047753337</v>
      </c>
      <c r="V44">
        <v>0.57833647819834411</v>
      </c>
      <c r="W44">
        <v>0.61970954863678784</v>
      </c>
      <c r="X44">
        <v>0.42072111700261949</v>
      </c>
      <c r="Y44">
        <v>0.47650786740920847</v>
      </c>
      <c r="Z44">
        <v>0.40668230830604707</v>
      </c>
      <c r="AA44">
        <v>0.7104901652072444</v>
      </c>
      <c r="AB44">
        <v>0.82618644426394461</v>
      </c>
      <c r="AC44">
        <v>0.65235798724994876</v>
      </c>
      <c r="AD44">
        <v>0.6507619476375025</v>
      </c>
      <c r="AE44">
        <v>149.69362416466043</v>
      </c>
      <c r="AF44">
        <v>1052.2786514201125</v>
      </c>
      <c r="AG44">
        <v>2185.5259949484266</v>
      </c>
      <c r="AH44">
        <v>15714.005188797939</v>
      </c>
      <c r="AI44">
        <v>14629.608550879739</v>
      </c>
      <c r="AJ44">
        <v>39203.080062504756</v>
      </c>
      <c r="AK44">
        <v>13263.605582952936</v>
      </c>
      <c r="AL44">
        <v>1510.5011314346493</v>
      </c>
      <c r="AM44">
        <v>450.12947446528887</v>
      </c>
      <c r="AO44">
        <v>46404.601456164368</v>
      </c>
      <c r="AP44">
        <v>13.359789568816044</v>
      </c>
      <c r="AQ44">
        <v>47731.460145934616</v>
      </c>
      <c r="AR44">
        <v>13.536740102488407</v>
      </c>
      <c r="AS44" s="2">
        <f t="shared" si="0"/>
        <v>1326.858689770248</v>
      </c>
      <c r="AT44" s="2">
        <f t="shared" si="1"/>
        <v>0.17695053367236291</v>
      </c>
      <c r="AV44">
        <f t="shared" si="2"/>
        <v>1289574.35542544</v>
      </c>
      <c r="AW44">
        <f t="shared" si="3"/>
        <v>1305942.5501029061</v>
      </c>
      <c r="AY44">
        <f t="shared" si="4"/>
        <v>0</v>
      </c>
      <c r="AZ44">
        <f t="shared" si="5"/>
        <v>1</v>
      </c>
      <c r="BB44">
        <v>26000</v>
      </c>
      <c r="BC44">
        <v>0.30499999999999999</v>
      </c>
      <c r="BD44">
        <v>0.69499999999999995</v>
      </c>
    </row>
    <row r="45" spans="1:56" x14ac:dyDescent="0.2">
      <c r="A45">
        <f t="shared" si="6"/>
        <v>41</v>
      </c>
      <c r="B45">
        <v>2.1895567414570827E-2</v>
      </c>
      <c r="C45">
        <v>4.9998379073381116E-2</v>
      </c>
      <c r="D45">
        <v>3.3922045049279377E-2</v>
      </c>
      <c r="E45">
        <v>4.3804297039303176E-3</v>
      </c>
      <c r="F45">
        <v>3.2956064240274906E-3</v>
      </c>
      <c r="G45">
        <v>5.9724422225581834E-3</v>
      </c>
      <c r="H45">
        <v>1.6553963318740164E-2</v>
      </c>
      <c r="I45">
        <v>0.12037460731829351</v>
      </c>
      <c r="J45">
        <v>0</v>
      </c>
      <c r="K45">
        <v>0.42730811161644439</v>
      </c>
      <c r="L45">
        <v>0.2552891443906764</v>
      </c>
      <c r="M45">
        <v>0.7447108556093236</v>
      </c>
      <c r="N45">
        <v>5.3227143400415323E-2</v>
      </c>
      <c r="O45" s="72">
        <v>0.99999844702304097</v>
      </c>
      <c r="P45">
        <v>0.99268744795057817</v>
      </c>
      <c r="Q45">
        <v>0.97058662958982689</v>
      </c>
      <c r="R45">
        <v>0.46581362351693711</v>
      </c>
      <c r="S45">
        <v>0.36789256508621593</v>
      </c>
      <c r="T45">
        <v>0.25430083986233165</v>
      </c>
      <c r="U45">
        <v>0.78562841477534284</v>
      </c>
      <c r="V45">
        <v>0.64455103334493924</v>
      </c>
      <c r="W45">
        <v>0.56963072578641394</v>
      </c>
      <c r="X45">
        <v>0.42484966917040795</v>
      </c>
      <c r="Y45">
        <v>0.46963891835031224</v>
      </c>
      <c r="Z45">
        <v>0.53365423642743259</v>
      </c>
      <c r="AA45">
        <v>0.59864713144693438</v>
      </c>
      <c r="AB45">
        <v>0.75710417340159342</v>
      </c>
      <c r="AC45">
        <v>0.61426763891824765</v>
      </c>
      <c r="AD45">
        <v>0.63836028989474725</v>
      </c>
      <c r="AE45">
        <v>211.14945745338085</v>
      </c>
      <c r="AF45">
        <v>1216.1452304118352</v>
      </c>
      <c r="AG45">
        <v>1632.3631714364274</v>
      </c>
      <c r="AH45">
        <v>10657.115018431952</v>
      </c>
      <c r="AI45">
        <v>12807.945403826621</v>
      </c>
      <c r="AJ45">
        <v>36886.864761621007</v>
      </c>
      <c r="AK45">
        <v>14639.53915256923</v>
      </c>
      <c r="AL45">
        <v>2564.6877776601577</v>
      </c>
      <c r="AM45">
        <v>339.95647685251333</v>
      </c>
      <c r="AO45">
        <v>43701.227426632417</v>
      </c>
      <c r="AP45">
        <v>12.407826426944112</v>
      </c>
      <c r="AQ45">
        <v>45996.355555381313</v>
      </c>
      <c r="AR45">
        <v>12.494770966355331</v>
      </c>
      <c r="AS45" s="2">
        <f t="shared" si="0"/>
        <v>2295.1281287488964</v>
      </c>
      <c r="AT45" s="2">
        <f t="shared" si="1"/>
        <v>8.6944539411218713E-2</v>
      </c>
      <c r="AV45">
        <f t="shared" si="2"/>
        <v>1197081.4152677788</v>
      </c>
      <c r="AW45">
        <f t="shared" si="3"/>
        <v>1203480.7410801516</v>
      </c>
      <c r="AY45">
        <f t="shared" si="4"/>
        <v>0</v>
      </c>
      <c r="AZ45">
        <f t="shared" si="5"/>
        <v>1</v>
      </c>
      <c r="BB45">
        <v>27000</v>
      </c>
      <c r="BC45">
        <v>0.28599999999999998</v>
      </c>
      <c r="BD45">
        <v>0.71399999999999997</v>
      </c>
    </row>
    <row r="46" spans="1:56" x14ac:dyDescent="0.2">
      <c r="A46">
        <f t="shared" si="6"/>
        <v>42</v>
      </c>
      <c r="B46">
        <v>2.2225138687803205E-2</v>
      </c>
      <c r="C46">
        <v>3.3958889207458237E-2</v>
      </c>
      <c r="D46">
        <v>3.6628661897125499E-2</v>
      </c>
      <c r="E46">
        <v>1.1909746307259161E-2</v>
      </c>
      <c r="F46">
        <v>3.1816728282300709E-3</v>
      </c>
      <c r="G46">
        <v>4.408818185467899E-3</v>
      </c>
      <c r="H46">
        <v>4.3134235034780422E-2</v>
      </c>
      <c r="I46">
        <v>0.12317702425327405</v>
      </c>
      <c r="J46">
        <v>0</v>
      </c>
      <c r="K46">
        <v>0.44994428059396196</v>
      </c>
      <c r="L46">
        <v>0.23644861588996635</v>
      </c>
      <c r="M46">
        <v>0.76355138411003365</v>
      </c>
      <c r="N46">
        <v>5.7098432357396756E-2</v>
      </c>
      <c r="O46" s="72">
        <v>0.99357491363129746</v>
      </c>
      <c r="P46">
        <v>0.99722826343113757</v>
      </c>
      <c r="Q46">
        <v>0.9165926706287536</v>
      </c>
      <c r="R46">
        <v>0.51276009336826767</v>
      </c>
      <c r="S46">
        <v>0.41354753600163863</v>
      </c>
      <c r="T46">
        <v>0.27672819194513987</v>
      </c>
      <c r="U46">
        <v>0.76961259573151042</v>
      </c>
      <c r="V46">
        <v>0.67572375847279809</v>
      </c>
      <c r="W46">
        <v>0.50894341410556854</v>
      </c>
      <c r="X46">
        <v>0.45866952302114683</v>
      </c>
      <c r="Y46">
        <v>0.41268338843915597</v>
      </c>
      <c r="Z46">
        <v>0.42080396175070245</v>
      </c>
      <c r="AA46">
        <v>0.57730827551831054</v>
      </c>
      <c r="AB46">
        <v>0.78519043632149588</v>
      </c>
      <c r="AC46">
        <v>0.66375713439016981</v>
      </c>
      <c r="AD46">
        <v>0.52687178980425498</v>
      </c>
      <c r="AE46">
        <v>211.03401551752867</v>
      </c>
      <c r="AF46">
        <v>1175.3211073521572</v>
      </c>
      <c r="AG46">
        <v>1174.2689230201345</v>
      </c>
      <c r="AH46">
        <v>10544.595331415292</v>
      </c>
      <c r="AI46">
        <v>7861.557842386469</v>
      </c>
      <c r="AJ46">
        <v>42027.000950810725</v>
      </c>
      <c r="AK46">
        <v>14876.913345280675</v>
      </c>
      <c r="AL46">
        <v>1159.9420633229395</v>
      </c>
      <c r="AM46">
        <v>374.6569023698882</v>
      </c>
      <c r="AO46">
        <v>40716.430488218903</v>
      </c>
      <c r="AP46">
        <v>12.715136179939186</v>
      </c>
      <c r="AQ46">
        <v>46567.537646368888</v>
      </c>
      <c r="AR46">
        <v>12.821311183695039</v>
      </c>
      <c r="AS46" s="2">
        <f t="shared" si="0"/>
        <v>5851.1071581499855</v>
      </c>
      <c r="AT46" s="2">
        <f t="shared" si="1"/>
        <v>0.10617500375585287</v>
      </c>
      <c r="AV46">
        <f t="shared" si="2"/>
        <v>1230797.1875056997</v>
      </c>
      <c r="AW46">
        <f t="shared" si="3"/>
        <v>1235563.580723135</v>
      </c>
      <c r="AY46">
        <f t="shared" si="4"/>
        <v>0</v>
      </c>
      <c r="AZ46">
        <f t="shared" si="5"/>
        <v>1</v>
      </c>
      <c r="BB46">
        <v>28000</v>
      </c>
      <c r="BC46">
        <v>0.26300000000000001</v>
      </c>
      <c r="BD46">
        <v>0.73699999999999999</v>
      </c>
    </row>
    <row r="47" spans="1:56" x14ac:dyDescent="0.2">
      <c r="A47">
        <f t="shared" si="6"/>
        <v>43</v>
      </c>
      <c r="B47">
        <v>1.8729829330279002E-2</v>
      </c>
      <c r="C47">
        <v>3.0231731414190281E-2</v>
      </c>
      <c r="D47">
        <v>2.6106444244948124E-2</v>
      </c>
      <c r="E47">
        <v>4.6567959105121348E-2</v>
      </c>
      <c r="F47">
        <v>3.3228050870542053E-3</v>
      </c>
      <c r="G47">
        <v>1.2098258839817633E-2</v>
      </c>
      <c r="H47">
        <v>4.8757636035491103E-2</v>
      </c>
      <c r="I47">
        <v>0.14072908465418832</v>
      </c>
      <c r="J47">
        <v>0</v>
      </c>
      <c r="K47">
        <v>0.44247470814845469</v>
      </c>
      <c r="L47">
        <v>0.16758610175998234</v>
      </c>
      <c r="M47">
        <v>0.83241389824001766</v>
      </c>
      <c r="N47">
        <v>4.220549397789846E-2</v>
      </c>
      <c r="O47" s="72">
        <v>0.9991351514660739</v>
      </c>
      <c r="P47">
        <v>0.9857776205797627</v>
      </c>
      <c r="Q47">
        <v>0.99433134490384112</v>
      </c>
      <c r="R47">
        <v>0.55049969609783944</v>
      </c>
      <c r="S47">
        <v>0.45412067957558888</v>
      </c>
      <c r="T47">
        <v>0.18410290589433687</v>
      </c>
      <c r="U47">
        <v>0.75069973925159028</v>
      </c>
      <c r="V47">
        <v>0.6956318915066303</v>
      </c>
      <c r="W47">
        <v>0.58988449406830801</v>
      </c>
      <c r="X47">
        <v>0.47945860030362253</v>
      </c>
      <c r="Y47">
        <v>0.51722164518998004</v>
      </c>
      <c r="Z47">
        <v>0.44129575565751461</v>
      </c>
      <c r="AA47">
        <v>0.7203382168192074</v>
      </c>
      <c r="AB47">
        <v>0.80339342889716991</v>
      </c>
      <c r="AC47">
        <v>0.7853876197541233</v>
      </c>
      <c r="AD47">
        <v>0.55883569296962743</v>
      </c>
      <c r="AE47">
        <v>202.5265569165955</v>
      </c>
      <c r="AF47">
        <v>1192.2158456910995</v>
      </c>
      <c r="AG47">
        <v>1006.4050168802675</v>
      </c>
      <c r="AH47">
        <v>12358.729581290369</v>
      </c>
      <c r="AI47">
        <v>14561.802009370873</v>
      </c>
      <c r="AJ47">
        <v>45804.265305074456</v>
      </c>
      <c r="AK47">
        <v>11622.609158606145</v>
      </c>
      <c r="AL47">
        <v>2724.0053293765814</v>
      </c>
      <c r="AM47">
        <v>421.53475764670657</v>
      </c>
      <c r="AO47">
        <v>40798.13044362238</v>
      </c>
      <c r="AP47">
        <v>13.158232447287061</v>
      </c>
      <c r="AQ47">
        <v>47373.745914980776</v>
      </c>
      <c r="AR47">
        <v>13.339208306888283</v>
      </c>
      <c r="AS47" s="2">
        <f t="shared" si="0"/>
        <v>6575.6154713583965</v>
      </c>
      <c r="AT47" s="2">
        <f t="shared" si="1"/>
        <v>0.18097585960122231</v>
      </c>
      <c r="AV47">
        <f t="shared" si="2"/>
        <v>1275025.1142850837</v>
      </c>
      <c r="AW47">
        <f t="shared" si="3"/>
        <v>1286547.0847738476</v>
      </c>
      <c r="AY47">
        <f t="shared" si="4"/>
        <v>0</v>
      </c>
      <c r="AZ47">
        <f t="shared" si="5"/>
        <v>1</v>
      </c>
      <c r="BB47">
        <v>29000</v>
      </c>
      <c r="BC47">
        <v>0.24399999999999999</v>
      </c>
      <c r="BD47">
        <v>0.75600000000000001</v>
      </c>
    </row>
    <row r="48" spans="1:56" x14ac:dyDescent="0.2">
      <c r="A48">
        <f t="shared" si="6"/>
        <v>44</v>
      </c>
      <c r="B48">
        <v>2.0820409597443613E-2</v>
      </c>
      <c r="C48">
        <v>4.5859788835254545E-2</v>
      </c>
      <c r="D48">
        <v>2.5862186599982594E-2</v>
      </c>
      <c r="E48">
        <v>6.5250593364402565E-3</v>
      </c>
      <c r="F48">
        <v>3.2920681100017495E-3</v>
      </c>
      <c r="G48">
        <v>2.7843683811657916E-2</v>
      </c>
      <c r="H48">
        <v>2.2978255737060103E-2</v>
      </c>
      <c r="I48">
        <v>0.12072846660103767</v>
      </c>
      <c r="J48">
        <v>0</v>
      </c>
      <c r="K48">
        <v>0.48499882310891085</v>
      </c>
      <c r="L48">
        <v>0.17217379029389068</v>
      </c>
      <c r="M48">
        <v>0.82782620970610932</v>
      </c>
      <c r="N48">
        <v>6.3879915916195906E-2</v>
      </c>
      <c r="O48" s="72">
        <v>0.9998619889453253</v>
      </c>
      <c r="P48">
        <v>0.99888364182647338</v>
      </c>
      <c r="Q48">
        <v>0.94274190093799437</v>
      </c>
      <c r="R48">
        <v>0.46148287472280658</v>
      </c>
      <c r="S48">
        <v>0.40598037212082161</v>
      </c>
      <c r="T48">
        <v>0.21122623152874753</v>
      </c>
      <c r="U48">
        <v>0.7566161639070621</v>
      </c>
      <c r="V48">
        <v>0.64200755544735655</v>
      </c>
      <c r="W48">
        <v>0.49590006588554053</v>
      </c>
      <c r="X48">
        <v>0.44855567252901962</v>
      </c>
      <c r="Y48">
        <v>0.44553921617887943</v>
      </c>
      <c r="Z48">
        <v>0.46946444440619284</v>
      </c>
      <c r="AA48">
        <v>0.69497150412637043</v>
      </c>
      <c r="AB48">
        <v>0.90275382584018793</v>
      </c>
      <c r="AC48">
        <v>0.67621336767431184</v>
      </c>
      <c r="AD48">
        <v>0.63241077567901527</v>
      </c>
      <c r="AE48">
        <v>236.75467334359848</v>
      </c>
      <c r="AF48">
        <v>1239.6129461368378</v>
      </c>
      <c r="AG48">
        <v>1761.9758868262745</v>
      </c>
      <c r="AH48">
        <v>12215.590659494652</v>
      </c>
      <c r="AI48">
        <v>13452.83200068451</v>
      </c>
      <c r="AJ48">
        <v>37743.699764518155</v>
      </c>
      <c r="AK48">
        <v>11771.653796969542</v>
      </c>
      <c r="AL48">
        <v>1509.3799923585455</v>
      </c>
      <c r="AM48">
        <v>343.99486045482627</v>
      </c>
      <c r="AO48">
        <v>44497.369835473037</v>
      </c>
      <c r="AP48">
        <v>14.320991278690606</v>
      </c>
      <c r="AQ48">
        <v>46016.70403257585</v>
      </c>
      <c r="AR48">
        <v>14.617810894597437</v>
      </c>
      <c r="AS48" s="2">
        <f t="shared" si="0"/>
        <v>1519.3341971028131</v>
      </c>
      <c r="AT48" s="2">
        <f t="shared" si="1"/>
        <v>0.29681961590683059</v>
      </c>
      <c r="AV48">
        <f t="shared" si="2"/>
        <v>1387601.7580335874</v>
      </c>
      <c r="AW48">
        <f t="shared" si="3"/>
        <v>1415764.3854271676</v>
      </c>
      <c r="AY48">
        <f t="shared" si="4"/>
        <v>0</v>
      </c>
      <c r="AZ48">
        <f t="shared" si="5"/>
        <v>1</v>
      </c>
      <c r="BB48">
        <v>30000</v>
      </c>
      <c r="BC48">
        <v>0.23100000000000001</v>
      </c>
      <c r="BD48">
        <v>0.76900000000000002</v>
      </c>
    </row>
    <row r="49" spans="1:56" x14ac:dyDescent="0.2">
      <c r="A49">
        <f t="shared" si="6"/>
        <v>45</v>
      </c>
      <c r="B49">
        <v>2.7791725693787517E-2</v>
      </c>
      <c r="C49">
        <v>3.7159122342610984E-2</v>
      </c>
      <c r="D49">
        <v>2.5114209943419463E-2</v>
      </c>
      <c r="E49">
        <v>6.5820415539268951E-3</v>
      </c>
      <c r="F49">
        <v>3.4927224247649491E-3</v>
      </c>
      <c r="G49">
        <v>3.8987971447785839E-3</v>
      </c>
      <c r="H49">
        <v>4.2768297807282418E-2</v>
      </c>
      <c r="I49">
        <v>0.13008357630731016</v>
      </c>
      <c r="J49">
        <v>0</v>
      </c>
      <c r="K49">
        <v>0.36975090722004844</v>
      </c>
      <c r="L49">
        <v>0.32953516743956979</v>
      </c>
      <c r="M49">
        <v>0.67046483256043021</v>
      </c>
      <c r="N49">
        <v>5.8038770938481976E-2</v>
      </c>
      <c r="O49" s="72">
        <v>0.99999847110955109</v>
      </c>
      <c r="P49">
        <v>0.99992171062586632</v>
      </c>
      <c r="Q49">
        <v>0.97009949758410996</v>
      </c>
      <c r="R49">
        <v>0.47361572379769168</v>
      </c>
      <c r="S49">
        <v>0.33804525110610106</v>
      </c>
      <c r="T49">
        <v>0.17820749864227858</v>
      </c>
      <c r="U49">
        <v>0.75105755172414512</v>
      </c>
      <c r="V49">
        <v>0.67402971511140075</v>
      </c>
      <c r="W49">
        <v>0.57311259127334291</v>
      </c>
      <c r="X49">
        <v>0.46177992477597951</v>
      </c>
      <c r="Y49">
        <v>0.49768665112523969</v>
      </c>
      <c r="Z49">
        <v>0.45261534981438412</v>
      </c>
      <c r="AA49">
        <v>0.7098799379067966</v>
      </c>
      <c r="AB49">
        <v>0.8137066234156185</v>
      </c>
      <c r="AC49">
        <v>0.80277391046304869</v>
      </c>
      <c r="AD49">
        <v>0.68200482891832825</v>
      </c>
      <c r="AE49">
        <v>225.09170812515347</v>
      </c>
      <c r="AF49">
        <v>848.74297267591987</v>
      </c>
      <c r="AG49">
        <v>1747.3551738979163</v>
      </c>
      <c r="AH49">
        <v>13734.201934866676</v>
      </c>
      <c r="AI49">
        <v>11214.500161580097</v>
      </c>
      <c r="AJ49">
        <v>38269.498070133028</v>
      </c>
      <c r="AK49">
        <v>8738.5566387501422</v>
      </c>
      <c r="AL49">
        <v>2360.0331313142851</v>
      </c>
      <c r="AM49">
        <v>350.65837145737669</v>
      </c>
      <c r="AO49">
        <v>45753.130936655863</v>
      </c>
      <c r="AP49">
        <v>13.475959272675436</v>
      </c>
      <c r="AQ49">
        <v>45989.605206328706</v>
      </c>
      <c r="AR49">
        <v>13.680307027419955</v>
      </c>
      <c r="AS49" s="2">
        <f t="shared" si="0"/>
        <v>236.47426967284264</v>
      </c>
      <c r="AT49" s="2">
        <f t="shared" si="1"/>
        <v>0.20434775474451961</v>
      </c>
      <c r="AV49">
        <f t="shared" si="2"/>
        <v>1301842.7963308876</v>
      </c>
      <c r="AW49">
        <f t="shared" si="3"/>
        <v>1322041.0975356668</v>
      </c>
      <c r="AY49">
        <f t="shared" si="4"/>
        <v>0</v>
      </c>
      <c r="AZ49">
        <f t="shared" si="5"/>
        <v>1</v>
      </c>
      <c r="BB49">
        <v>35000</v>
      </c>
      <c r="BC49">
        <v>0.16300000000000001</v>
      </c>
      <c r="BD49">
        <v>0.83699999999999997</v>
      </c>
    </row>
    <row r="50" spans="1:56" x14ac:dyDescent="0.2">
      <c r="A50">
        <f t="shared" si="6"/>
        <v>46</v>
      </c>
      <c r="B50">
        <v>2.231788058442943E-2</v>
      </c>
      <c r="C50">
        <v>3.9360620889993592E-2</v>
      </c>
      <c r="D50">
        <v>4.1397290828701805E-2</v>
      </c>
      <c r="E50">
        <v>5.3264595539563404E-3</v>
      </c>
      <c r="F50">
        <v>3.3360601715768596E-3</v>
      </c>
      <c r="G50">
        <v>1.1337738051118894E-2</v>
      </c>
      <c r="H50">
        <v>2.1491084757077634E-2</v>
      </c>
      <c r="I50">
        <v>0.13188740287881162</v>
      </c>
      <c r="J50">
        <v>0</v>
      </c>
      <c r="K50">
        <v>0.43594488776005491</v>
      </c>
      <c r="L50">
        <v>0.22334178709169894</v>
      </c>
      <c r="M50">
        <v>0.77665821290830106</v>
      </c>
      <c r="N50">
        <v>5.2823462185474346E-2</v>
      </c>
      <c r="O50" s="72">
        <v>0.99957704084199095</v>
      </c>
      <c r="P50">
        <v>0.99618590602307333</v>
      </c>
      <c r="Q50">
        <v>0.96265011752234375</v>
      </c>
      <c r="R50">
        <v>0.52387401812955292</v>
      </c>
      <c r="S50">
        <v>0.42614134924454616</v>
      </c>
      <c r="T50">
        <v>0.26897811965393359</v>
      </c>
      <c r="U50">
        <v>0.77845901965337083</v>
      </c>
      <c r="V50">
        <v>0.64704626193410419</v>
      </c>
      <c r="W50">
        <v>0.49103901496337976</v>
      </c>
      <c r="X50">
        <v>0.4657929833879132</v>
      </c>
      <c r="Y50">
        <v>0.49618294941348184</v>
      </c>
      <c r="Z50">
        <v>0.43292793580028494</v>
      </c>
      <c r="AA50">
        <v>0.62672242755675367</v>
      </c>
      <c r="AB50">
        <v>0.82359972250048663</v>
      </c>
      <c r="AC50">
        <v>0.70603481086527087</v>
      </c>
      <c r="AD50">
        <v>0.60892505646418971</v>
      </c>
      <c r="AE50">
        <v>130.83477695990015</v>
      </c>
      <c r="AF50">
        <v>1054.7538142852609</v>
      </c>
      <c r="AG50">
        <v>1979.0892058926188</v>
      </c>
      <c r="AH50">
        <v>15655.267786789975</v>
      </c>
      <c r="AI50">
        <v>11454.495878330179</v>
      </c>
      <c r="AJ50">
        <v>40260.150510516876</v>
      </c>
      <c r="AK50">
        <v>11782.457618398012</v>
      </c>
      <c r="AL50">
        <v>2634.2970166951532</v>
      </c>
      <c r="AM50">
        <v>440.05313801577222</v>
      </c>
      <c r="AO50">
        <v>41589.550432866905</v>
      </c>
      <c r="AP50">
        <v>13.381301943023811</v>
      </c>
      <c r="AQ50">
        <v>47527.054879630065</v>
      </c>
      <c r="AR50">
        <v>13.542116219783392</v>
      </c>
      <c r="AS50" s="2">
        <f t="shared" si="0"/>
        <v>5937.5044467631596</v>
      </c>
      <c r="AT50" s="2">
        <f t="shared" si="1"/>
        <v>0.16081427675958082</v>
      </c>
      <c r="AV50">
        <f t="shared" si="2"/>
        <v>1296540.6438695141</v>
      </c>
      <c r="AW50">
        <f t="shared" si="3"/>
        <v>1306684.5670987091</v>
      </c>
      <c r="AY50">
        <f t="shared" si="4"/>
        <v>0</v>
      </c>
      <c r="AZ50">
        <f t="shared" si="5"/>
        <v>1</v>
      </c>
      <c r="BB50">
        <v>40000</v>
      </c>
      <c r="BC50">
        <v>0.114</v>
      </c>
      <c r="BD50">
        <v>0.88600000000000001</v>
      </c>
    </row>
    <row r="51" spans="1:56" x14ac:dyDescent="0.2">
      <c r="A51">
        <f t="shared" si="6"/>
        <v>47</v>
      </c>
      <c r="B51">
        <v>2.0398486563561531E-2</v>
      </c>
      <c r="C51">
        <v>3.6536206305727972E-2</v>
      </c>
      <c r="D51">
        <v>2.8235369893400794E-2</v>
      </c>
      <c r="E51">
        <v>1.8209866350767823E-2</v>
      </c>
      <c r="F51">
        <v>3.2307495485090661E-3</v>
      </c>
      <c r="G51">
        <v>3.7025751380177385E-2</v>
      </c>
      <c r="H51">
        <v>2.1620216248671633E-2</v>
      </c>
      <c r="I51">
        <v>0.13316195461723668</v>
      </c>
      <c r="J51">
        <v>0</v>
      </c>
      <c r="K51">
        <v>0.40654574196893789</v>
      </c>
      <c r="L51">
        <v>0.22201694991384768</v>
      </c>
      <c r="M51">
        <v>0.77798305008615232</v>
      </c>
      <c r="N51">
        <v>5.2310831384933525E-2</v>
      </c>
      <c r="O51" s="72">
        <v>0.99994947361589792</v>
      </c>
      <c r="P51">
        <v>0.99998583357880633</v>
      </c>
      <c r="Q51">
        <v>0.99353361429671538</v>
      </c>
      <c r="R51">
        <v>0.50573100370681168</v>
      </c>
      <c r="S51">
        <v>0.33813087174655787</v>
      </c>
      <c r="T51">
        <v>0.27027848265766696</v>
      </c>
      <c r="U51">
        <v>0.7424267536151602</v>
      </c>
      <c r="V51">
        <v>0.66882740540449603</v>
      </c>
      <c r="W51">
        <v>0.49260286807798809</v>
      </c>
      <c r="X51">
        <v>0.46909924332038622</v>
      </c>
      <c r="Y51">
        <v>0.44514711972359483</v>
      </c>
      <c r="Z51">
        <v>0.45047895268131222</v>
      </c>
      <c r="AA51">
        <v>0.73540805211171301</v>
      </c>
      <c r="AB51">
        <v>0.84096793407240134</v>
      </c>
      <c r="AC51">
        <v>0.71917397501058211</v>
      </c>
      <c r="AD51">
        <v>0.58394075810510127</v>
      </c>
      <c r="AE51">
        <v>203.4487203642629</v>
      </c>
      <c r="AF51">
        <v>1125.6091462848015</v>
      </c>
      <c r="AG51">
        <v>1466.0984488552945</v>
      </c>
      <c r="AH51">
        <v>14808.053130618</v>
      </c>
      <c r="AI51">
        <v>15805.871891865121</v>
      </c>
      <c r="AJ51">
        <v>33421.907331344075</v>
      </c>
      <c r="AK51">
        <v>10433.894421650119</v>
      </c>
      <c r="AL51">
        <v>2014.0976593692553</v>
      </c>
      <c r="AM51">
        <v>408.0677728267118</v>
      </c>
      <c r="AO51">
        <v>42717.792029213575</v>
      </c>
      <c r="AP51">
        <v>13.564250772942124</v>
      </c>
      <c r="AQ51">
        <v>46770.011521612883</v>
      </c>
      <c r="AR51">
        <v>13.774180619644575</v>
      </c>
      <c r="AS51" s="2">
        <f t="shared" si="0"/>
        <v>4052.2194923993084</v>
      </c>
      <c r="AT51" s="2">
        <f t="shared" si="1"/>
        <v>0.20992984670245107</v>
      </c>
      <c r="AV51">
        <f t="shared" si="2"/>
        <v>1313707.2852649987</v>
      </c>
      <c r="AW51">
        <f t="shared" si="3"/>
        <v>1330648.0504428446</v>
      </c>
      <c r="AY51">
        <f t="shared" si="4"/>
        <v>0</v>
      </c>
      <c r="AZ51">
        <f t="shared" si="5"/>
        <v>1</v>
      </c>
      <c r="BB51">
        <v>45000</v>
      </c>
      <c r="BC51">
        <v>0.09</v>
      </c>
      <c r="BD51">
        <v>0.91</v>
      </c>
    </row>
    <row r="52" spans="1:56" x14ac:dyDescent="0.2">
      <c r="A52">
        <f t="shared" si="6"/>
        <v>48</v>
      </c>
      <c r="B52">
        <v>3.1067231033953591E-2</v>
      </c>
      <c r="C52">
        <v>2.1800645210073528E-2</v>
      </c>
      <c r="D52">
        <v>5.9525177906895932E-2</v>
      </c>
      <c r="E52">
        <v>5.1517665199140358E-3</v>
      </c>
      <c r="F52">
        <v>3.3251278621537019E-3</v>
      </c>
      <c r="G52">
        <v>2.1106831325812592E-2</v>
      </c>
      <c r="H52">
        <v>2.2574525371511965E-2</v>
      </c>
      <c r="I52">
        <v>0.13680079871181505</v>
      </c>
      <c r="J52">
        <v>0</v>
      </c>
      <c r="K52">
        <v>0.42191793821432189</v>
      </c>
      <c r="L52">
        <v>0.31315956779969978</v>
      </c>
      <c r="M52">
        <v>0.68684043220030022</v>
      </c>
      <c r="N52">
        <v>5.3829197914365537E-2</v>
      </c>
      <c r="O52" s="72">
        <v>0.99962903212566523</v>
      </c>
      <c r="P52">
        <v>0.99976765122979039</v>
      </c>
      <c r="Q52">
        <v>0.9586338259265309</v>
      </c>
      <c r="R52">
        <v>0.49969761059584761</v>
      </c>
      <c r="S52">
        <v>0.3465527710466092</v>
      </c>
      <c r="T52">
        <v>0.27813510705938282</v>
      </c>
      <c r="U52">
        <v>0.76151870570854041</v>
      </c>
      <c r="V52">
        <v>0.68981201481095633</v>
      </c>
      <c r="W52">
        <v>0.52954640609643666</v>
      </c>
      <c r="X52">
        <v>0.45899115963819626</v>
      </c>
      <c r="Y52">
        <v>0.45696839684346513</v>
      </c>
      <c r="Z52">
        <v>0.46542175733181923</v>
      </c>
      <c r="AA52">
        <v>0.70210769515381966</v>
      </c>
      <c r="AB52">
        <v>0.84695124942313271</v>
      </c>
      <c r="AC52">
        <v>0.64539707702718918</v>
      </c>
      <c r="AD52">
        <v>0.4991048120173644</v>
      </c>
      <c r="AE52">
        <v>225.11005616549073</v>
      </c>
      <c r="AF52">
        <v>1096.2336069292703</v>
      </c>
      <c r="AG52">
        <v>1569.633593080843</v>
      </c>
      <c r="AH52">
        <v>13858.692570529611</v>
      </c>
      <c r="AI52">
        <v>12573.51163914843</v>
      </c>
      <c r="AJ52">
        <v>35573.580322782043</v>
      </c>
      <c r="AK52">
        <v>14915.457305568141</v>
      </c>
      <c r="AL52">
        <v>2415.0723946202365</v>
      </c>
      <c r="AM52">
        <v>252.50198098091985</v>
      </c>
      <c r="AO52">
        <v>40732.177684135182</v>
      </c>
      <c r="AP52">
        <v>13.409203591689987</v>
      </c>
      <c r="AQ52">
        <v>44482.873931077629</v>
      </c>
      <c r="AR52">
        <v>13.605872971978968</v>
      </c>
      <c r="AS52" s="2">
        <f t="shared" si="0"/>
        <v>3750.696246942447</v>
      </c>
      <c r="AT52" s="2">
        <f t="shared" si="1"/>
        <v>0.19666938028898073</v>
      </c>
      <c r="AV52">
        <f t="shared" si="2"/>
        <v>1300188.1814848634</v>
      </c>
      <c r="AW52">
        <f t="shared" si="3"/>
        <v>1316104.4232668192</v>
      </c>
      <c r="AY52">
        <f t="shared" si="4"/>
        <v>0</v>
      </c>
      <c r="AZ52">
        <f t="shared" si="5"/>
        <v>1</v>
      </c>
      <c r="BB52">
        <v>50000</v>
      </c>
      <c r="BC52">
        <v>6.3E-2</v>
      </c>
      <c r="BD52">
        <v>0.93700000000000006</v>
      </c>
    </row>
    <row r="53" spans="1:56" x14ac:dyDescent="0.2">
      <c r="A53">
        <f t="shared" si="6"/>
        <v>49</v>
      </c>
      <c r="B53">
        <v>2.1836632267208236E-2</v>
      </c>
      <c r="C53">
        <v>3.5610219290281034E-2</v>
      </c>
      <c r="D53">
        <v>3.1804196274391176E-2</v>
      </c>
      <c r="E53">
        <v>1.9177990842123571E-2</v>
      </c>
      <c r="F53">
        <v>3.3196816560477262E-3</v>
      </c>
      <c r="G53">
        <v>7.3365757302868611E-3</v>
      </c>
      <c r="H53">
        <v>1.7057601067618451E-2</v>
      </c>
      <c r="I53">
        <v>0.12521161797594271</v>
      </c>
      <c r="J53">
        <v>0</v>
      </c>
      <c r="K53">
        <v>0.38744187680049436</v>
      </c>
      <c r="L53">
        <v>0.20602313279783094</v>
      </c>
      <c r="M53">
        <v>0.79397686720216909</v>
      </c>
      <c r="N53">
        <v>5.6566126557311081E-2</v>
      </c>
      <c r="O53" s="72">
        <v>0.96613907721110304</v>
      </c>
      <c r="P53">
        <v>0.99997096969861654</v>
      </c>
      <c r="Q53">
        <v>0.98896266239548791</v>
      </c>
      <c r="R53">
        <v>0.47669121446255835</v>
      </c>
      <c r="S53">
        <v>0.38022628111244994</v>
      </c>
      <c r="T53">
        <v>0.21399858526757798</v>
      </c>
      <c r="U53">
        <v>0.76362147489975385</v>
      </c>
      <c r="V53">
        <v>0.63638244686479339</v>
      </c>
      <c r="W53">
        <v>0.51359805655884927</v>
      </c>
      <c r="X53">
        <v>0.38640554977202068</v>
      </c>
      <c r="Y53">
        <v>0.47644899757567882</v>
      </c>
      <c r="Z53">
        <v>0.39965704983683142</v>
      </c>
      <c r="AA53">
        <v>0.62504329263108238</v>
      </c>
      <c r="AB53">
        <v>0.80522146801602101</v>
      </c>
      <c r="AC53">
        <v>0.69422773971994456</v>
      </c>
      <c r="AD53">
        <v>0.57058448012439433</v>
      </c>
      <c r="AE53">
        <v>145.55091648764815</v>
      </c>
      <c r="AF53">
        <v>1006.3581404459546</v>
      </c>
      <c r="AG53">
        <v>1731.3745321709685</v>
      </c>
      <c r="AH53">
        <v>14107.807319219693</v>
      </c>
      <c r="AI53">
        <v>10738.483363814777</v>
      </c>
      <c r="AJ53">
        <v>35748.144586437913</v>
      </c>
      <c r="AK53">
        <v>17364.058907531817</v>
      </c>
      <c r="AL53">
        <v>2849.3338089774807</v>
      </c>
      <c r="AM53">
        <v>397.41407934697128</v>
      </c>
      <c r="AO53">
        <v>44451.254532570332</v>
      </c>
      <c r="AP53">
        <v>13.025318106581338</v>
      </c>
      <c r="AQ53">
        <v>46754.901150917089</v>
      </c>
      <c r="AR53">
        <v>13.21286119800927</v>
      </c>
      <c r="AS53" s="2">
        <f t="shared" si="0"/>
        <v>2303.6466183467564</v>
      </c>
      <c r="AT53" s="2">
        <f t="shared" si="1"/>
        <v>0.18754309142793169</v>
      </c>
      <c r="AV53">
        <f t="shared" si="2"/>
        <v>1258080.5561255636</v>
      </c>
      <c r="AW53">
        <f t="shared" si="3"/>
        <v>1274531.2186500097</v>
      </c>
      <c r="AY53">
        <f t="shared" si="4"/>
        <v>0</v>
      </c>
      <c r="AZ53">
        <f t="shared" si="5"/>
        <v>1</v>
      </c>
      <c r="BB53">
        <v>55000</v>
      </c>
      <c r="BC53">
        <v>5.0999999999999997E-2</v>
      </c>
      <c r="BD53">
        <v>0.94899999999999995</v>
      </c>
    </row>
    <row r="54" spans="1:56" x14ac:dyDescent="0.2">
      <c r="A54">
        <f t="shared" si="6"/>
        <v>50</v>
      </c>
      <c r="B54">
        <v>2.7190648588002797E-2</v>
      </c>
      <c r="C54">
        <v>4.2710777709889625E-2</v>
      </c>
      <c r="D54">
        <v>3.8560427471014402E-2</v>
      </c>
      <c r="E54">
        <v>1.3139763300477725E-2</v>
      </c>
      <c r="F54">
        <v>3.3781528503793457E-3</v>
      </c>
      <c r="G54">
        <v>2.8978952855733065E-3</v>
      </c>
      <c r="H54">
        <v>2.1970797019702681E-2</v>
      </c>
      <c r="I54">
        <v>0.13089754396729902</v>
      </c>
      <c r="J54">
        <v>0</v>
      </c>
      <c r="K54">
        <v>0.41767782350539168</v>
      </c>
      <c r="L54">
        <v>0.23864824649355587</v>
      </c>
      <c r="M54">
        <v>0.76135175350644413</v>
      </c>
      <c r="N54">
        <v>6.15270190792222E-2</v>
      </c>
      <c r="O54" s="72">
        <v>0.9971888326952929</v>
      </c>
      <c r="P54">
        <v>0.99640363563675227</v>
      </c>
      <c r="Q54">
        <v>0.98390770518434867</v>
      </c>
      <c r="R54">
        <v>0.48504206726528876</v>
      </c>
      <c r="S54">
        <v>0.4107495939587702</v>
      </c>
      <c r="T54">
        <v>0.18454370555227517</v>
      </c>
      <c r="U54">
        <v>0.78108901163637556</v>
      </c>
      <c r="V54">
        <v>0.67268425975253088</v>
      </c>
      <c r="W54">
        <v>0.51696899199317048</v>
      </c>
      <c r="X54">
        <v>0.47180288046766861</v>
      </c>
      <c r="Y54">
        <v>0.50303683293277512</v>
      </c>
      <c r="Z54">
        <v>0.40863195275994246</v>
      </c>
      <c r="AA54">
        <v>0.7219810826313251</v>
      </c>
      <c r="AB54">
        <v>0.89349033012176848</v>
      </c>
      <c r="AC54">
        <v>0.62791838097806629</v>
      </c>
      <c r="AD54">
        <v>0.61066100931116674</v>
      </c>
      <c r="AE54">
        <v>187.83118937415477</v>
      </c>
      <c r="AF54">
        <v>1020.9788232619483</v>
      </c>
      <c r="AG54">
        <v>1450.0246436014161</v>
      </c>
      <c r="AH54">
        <v>12697.338268517569</v>
      </c>
      <c r="AI54">
        <v>15395.682449924834</v>
      </c>
      <c r="AJ54">
        <v>40377.701718176773</v>
      </c>
      <c r="AK54">
        <v>19312.923822555003</v>
      </c>
      <c r="AL54">
        <v>3994.5903513415974</v>
      </c>
      <c r="AM54">
        <v>389.54890007655501</v>
      </c>
      <c r="AO54">
        <v>44345.111602666169</v>
      </c>
      <c r="AP54">
        <v>14.073245943545979</v>
      </c>
      <c r="AQ54">
        <v>46616.474155294214</v>
      </c>
      <c r="AR54">
        <v>14.373133319517102</v>
      </c>
      <c r="AS54" s="2">
        <f t="shared" si="0"/>
        <v>2271.3625526280448</v>
      </c>
      <c r="AT54" s="2">
        <f t="shared" si="1"/>
        <v>0.29988737597112269</v>
      </c>
      <c r="AV54">
        <f t="shared" si="2"/>
        <v>1362979.4827519318</v>
      </c>
      <c r="AW54">
        <f t="shared" si="3"/>
        <v>1390696.8577964159</v>
      </c>
      <c r="AY54">
        <f t="shared" si="4"/>
        <v>0</v>
      </c>
      <c r="AZ54">
        <f t="shared" si="5"/>
        <v>1</v>
      </c>
      <c r="BB54">
        <v>60000</v>
      </c>
      <c r="BC54">
        <v>0.04</v>
      </c>
      <c r="BD54">
        <v>0.96</v>
      </c>
    </row>
    <row r="55" spans="1:56" x14ac:dyDescent="0.2">
      <c r="A55">
        <f t="shared" si="6"/>
        <v>51</v>
      </c>
      <c r="B55">
        <v>2.7946668937180785E-2</v>
      </c>
      <c r="C55">
        <v>3.8364047085146735E-2</v>
      </c>
      <c r="D55">
        <v>2.8060936244142173E-2</v>
      </c>
      <c r="E55">
        <v>1.80610921172627E-2</v>
      </c>
      <c r="F55">
        <v>3.4455025477072576E-3</v>
      </c>
      <c r="G55">
        <v>1.2617678323329717E-2</v>
      </c>
      <c r="H55">
        <v>3.4901063440031077E-2</v>
      </c>
      <c r="I55">
        <v>0.12367597357124661</v>
      </c>
      <c r="J55">
        <v>0</v>
      </c>
      <c r="K55">
        <v>0.40483050382405883</v>
      </c>
      <c r="L55">
        <v>0.16587696677344299</v>
      </c>
      <c r="M55">
        <v>0.83412303322655701</v>
      </c>
      <c r="N55">
        <v>5.4108764460275655E-2</v>
      </c>
      <c r="O55" s="72">
        <v>0.99970790496208151</v>
      </c>
      <c r="P55">
        <v>0.99999130046872053</v>
      </c>
      <c r="Q55">
        <v>0.99228457051101993</v>
      </c>
      <c r="R55">
        <v>0.4725385394342374</v>
      </c>
      <c r="S55">
        <v>0.45213773488108855</v>
      </c>
      <c r="T55">
        <v>0.25999247961138272</v>
      </c>
      <c r="U55">
        <v>0.74046507526866989</v>
      </c>
      <c r="V55">
        <v>0.7439435193462629</v>
      </c>
      <c r="W55">
        <v>0.59697290442828643</v>
      </c>
      <c r="X55">
        <v>0.4242185565847395</v>
      </c>
      <c r="Y55">
        <v>0.4681484083277877</v>
      </c>
      <c r="Z55">
        <v>0.51298085826105588</v>
      </c>
      <c r="AA55">
        <v>0.78899153145178069</v>
      </c>
      <c r="AB55">
        <v>0.75267858118964692</v>
      </c>
      <c r="AC55">
        <v>0.82489899933709532</v>
      </c>
      <c r="AD55">
        <v>0.56313119759936148</v>
      </c>
      <c r="AE55">
        <v>170.19636735392672</v>
      </c>
      <c r="AF55">
        <v>1099.3590080537494</v>
      </c>
      <c r="AG55">
        <v>1943.897411568578</v>
      </c>
      <c r="AH55">
        <v>11469.359472793711</v>
      </c>
      <c r="AI55">
        <v>9650.8613312686284</v>
      </c>
      <c r="AJ55">
        <v>30958.468009861564</v>
      </c>
      <c r="AK55">
        <v>13061.815748819135</v>
      </c>
      <c r="AL55">
        <v>2382.4892077122709</v>
      </c>
      <c r="AM55">
        <v>421.17110689423862</v>
      </c>
      <c r="AO55">
        <v>43368.499364483163</v>
      </c>
      <c r="AP55">
        <v>12.642751590376442</v>
      </c>
      <c r="AQ55">
        <v>46966.307108309156</v>
      </c>
      <c r="AR55">
        <v>12.712616399036524</v>
      </c>
      <c r="AS55" s="2">
        <f t="shared" si="0"/>
        <v>3597.8077438259934</v>
      </c>
      <c r="AT55" s="2">
        <f t="shared" si="1"/>
        <v>6.9864808660081934E-2</v>
      </c>
      <c r="AV55">
        <f t="shared" si="2"/>
        <v>1220906.6596731609</v>
      </c>
      <c r="AW55">
        <f t="shared" si="3"/>
        <v>1224295.3327953431</v>
      </c>
      <c r="AY55">
        <f t="shared" si="4"/>
        <v>0</v>
      </c>
      <c r="AZ55">
        <f t="shared" si="5"/>
        <v>1</v>
      </c>
      <c r="BB55">
        <v>65000</v>
      </c>
      <c r="BC55">
        <v>3.2000000000000001E-2</v>
      </c>
      <c r="BD55">
        <v>0.96799999999999997</v>
      </c>
    </row>
    <row r="56" spans="1:56" x14ac:dyDescent="0.2">
      <c r="A56">
        <f t="shared" si="6"/>
        <v>52</v>
      </c>
      <c r="B56">
        <v>2.5480838532850325E-2</v>
      </c>
      <c r="C56">
        <v>5.4650057942075114E-2</v>
      </c>
      <c r="D56">
        <v>3.6868744939237218E-2</v>
      </c>
      <c r="E56">
        <v>1.7367699065820807E-2</v>
      </c>
      <c r="F56">
        <v>3.4531359456069222E-3</v>
      </c>
      <c r="G56">
        <v>2.6035049697195776E-3</v>
      </c>
      <c r="H56">
        <v>4.0421690368804941E-2</v>
      </c>
      <c r="I56">
        <v>0.12489893871082394</v>
      </c>
      <c r="J56">
        <v>0</v>
      </c>
      <c r="K56">
        <v>0.4705809523868808</v>
      </c>
      <c r="L56">
        <v>0.11807159737232852</v>
      </c>
      <c r="M56">
        <v>0.88192840262767147</v>
      </c>
      <c r="N56">
        <v>5.0501226309138079E-2</v>
      </c>
      <c r="O56" s="72">
        <v>0.99845760581905618</v>
      </c>
      <c r="P56">
        <v>0.99858922920004289</v>
      </c>
      <c r="Q56">
        <v>0.94792697799143322</v>
      </c>
      <c r="R56">
        <v>0.46848075280615575</v>
      </c>
      <c r="S56">
        <v>0.30637881489320573</v>
      </c>
      <c r="T56">
        <v>0.19024209213330834</v>
      </c>
      <c r="U56">
        <v>0.76050872088872912</v>
      </c>
      <c r="V56">
        <v>0.61271992547027943</v>
      </c>
      <c r="W56">
        <v>0.64081085656772729</v>
      </c>
      <c r="X56">
        <v>0.38382432875793976</v>
      </c>
      <c r="Y56">
        <v>0.44882657581443514</v>
      </c>
      <c r="Z56">
        <v>0.37590145941918413</v>
      </c>
      <c r="AA56">
        <v>0.70085233524154877</v>
      </c>
      <c r="AB56">
        <v>0.81862865556871012</v>
      </c>
      <c r="AC56">
        <v>0.69680225688275921</v>
      </c>
      <c r="AD56">
        <v>0.57433385950222382</v>
      </c>
      <c r="AE56">
        <v>208.19114173225228</v>
      </c>
      <c r="AF56">
        <v>1197.1794538735085</v>
      </c>
      <c r="AG56">
        <v>1829.8512733038415</v>
      </c>
      <c r="AH56">
        <v>13037.873197633409</v>
      </c>
      <c r="AI56">
        <v>17154.183112116934</v>
      </c>
      <c r="AJ56">
        <v>46394.940250320971</v>
      </c>
      <c r="AK56">
        <v>18515.277801963759</v>
      </c>
      <c r="AL56">
        <v>1469.9567007532203</v>
      </c>
      <c r="AM56">
        <v>405.38636987295354</v>
      </c>
      <c r="AO56">
        <v>47075.731571635828</v>
      </c>
      <c r="AP56">
        <v>13.189556056951938</v>
      </c>
      <c r="AQ56">
        <v>47012.356681996156</v>
      </c>
      <c r="AR56">
        <v>13.408823039011189</v>
      </c>
      <c r="AS56" s="2">
        <f t="shared" si="0"/>
        <v>-63.374889639671892</v>
      </c>
      <c r="AT56" s="2">
        <f t="shared" si="1"/>
        <v>0.21926698205925099</v>
      </c>
      <c r="AV56">
        <f t="shared" si="2"/>
        <v>1271879.8741235579</v>
      </c>
      <c r="AW56">
        <f t="shared" si="3"/>
        <v>1293869.9472191227</v>
      </c>
      <c r="AY56">
        <f t="shared" si="4"/>
        <v>0</v>
      </c>
      <c r="AZ56">
        <f t="shared" si="5"/>
        <v>1</v>
      </c>
      <c r="BB56">
        <v>70000</v>
      </c>
      <c r="BC56">
        <v>2.7E-2</v>
      </c>
      <c r="BD56">
        <v>0.97299999999999998</v>
      </c>
    </row>
    <row r="57" spans="1:56" x14ac:dyDescent="0.2">
      <c r="A57">
        <f t="shared" si="6"/>
        <v>53</v>
      </c>
      <c r="B57">
        <v>2.093659263943512E-2</v>
      </c>
      <c r="C57">
        <v>4.383919761026156E-2</v>
      </c>
      <c r="D57">
        <v>4.8352425461919424E-2</v>
      </c>
      <c r="E57">
        <v>2.225712173435479E-2</v>
      </c>
      <c r="F57">
        <v>3.3247300269880447E-3</v>
      </c>
      <c r="G57">
        <v>2.2220931410160571E-2</v>
      </c>
      <c r="H57">
        <v>4.702671354073118E-2</v>
      </c>
      <c r="I57">
        <v>0.12690915654560359</v>
      </c>
      <c r="J57">
        <v>0</v>
      </c>
      <c r="K57">
        <v>0.4369057262518854</v>
      </c>
      <c r="L57">
        <v>0.15683355328187085</v>
      </c>
      <c r="M57">
        <v>0.84316644671812913</v>
      </c>
      <c r="N57">
        <v>5.3588233925127751E-2</v>
      </c>
      <c r="O57" s="72">
        <v>0.99683840136529112</v>
      </c>
      <c r="P57">
        <v>0.99910074017624129</v>
      </c>
      <c r="Q57">
        <v>0.86094187678711864</v>
      </c>
      <c r="R57">
        <v>0.48486272729045388</v>
      </c>
      <c r="S57">
        <v>0.38381482298311842</v>
      </c>
      <c r="T57">
        <v>0.23039071645072962</v>
      </c>
      <c r="U57">
        <v>0.74406230126718254</v>
      </c>
      <c r="V57">
        <v>0.6759350181672048</v>
      </c>
      <c r="W57">
        <v>0.58981850678540071</v>
      </c>
      <c r="X57">
        <v>0.45676961020960793</v>
      </c>
      <c r="Y57">
        <v>0.42399407195732386</v>
      </c>
      <c r="Z57">
        <v>0.47942584333085181</v>
      </c>
      <c r="AA57">
        <v>0.65675489862585257</v>
      </c>
      <c r="AB57">
        <v>0.82086828676239143</v>
      </c>
      <c r="AC57">
        <v>0.72894867772390692</v>
      </c>
      <c r="AD57">
        <v>0.65584516821899475</v>
      </c>
      <c r="AE57">
        <v>150.80563857884749</v>
      </c>
      <c r="AF57">
        <v>870.36312873167412</v>
      </c>
      <c r="AG57">
        <v>1260.5780883367672</v>
      </c>
      <c r="AH57">
        <v>14488.265947818154</v>
      </c>
      <c r="AI57">
        <v>11207.233356531018</v>
      </c>
      <c r="AJ57">
        <v>38663.421351172023</v>
      </c>
      <c r="AK57">
        <v>9958.4970776659902</v>
      </c>
      <c r="AL57">
        <v>2700.3195565389169</v>
      </c>
      <c r="AM57">
        <v>396.57066759163968</v>
      </c>
      <c r="AO57">
        <v>43453.931311986831</v>
      </c>
      <c r="AP57">
        <v>13.373132958163394</v>
      </c>
      <c r="AQ57">
        <v>47073.296933115897</v>
      </c>
      <c r="AR57">
        <v>13.603994898667596</v>
      </c>
      <c r="AS57" s="2">
        <f t="shared" si="0"/>
        <v>3619.3656211290654</v>
      </c>
      <c r="AT57" s="2">
        <f t="shared" si="1"/>
        <v>0.23086194050420161</v>
      </c>
      <c r="AV57">
        <f t="shared" si="2"/>
        <v>1293859.3645043524</v>
      </c>
      <c r="AW57">
        <f t="shared" si="3"/>
        <v>1313326.1929336437</v>
      </c>
      <c r="AY57">
        <f t="shared" si="4"/>
        <v>0</v>
      </c>
      <c r="AZ57">
        <f t="shared" si="5"/>
        <v>1</v>
      </c>
      <c r="BB57">
        <v>75000</v>
      </c>
      <c r="BC57">
        <v>2.1000000000000001E-2</v>
      </c>
      <c r="BD57">
        <v>0.97899999999999998</v>
      </c>
    </row>
    <row r="58" spans="1:56" x14ac:dyDescent="0.2">
      <c r="A58">
        <f t="shared" si="6"/>
        <v>54</v>
      </c>
      <c r="B58">
        <v>2.4298396491394737E-2</v>
      </c>
      <c r="C58">
        <v>4.2918710001840332E-2</v>
      </c>
      <c r="D58">
        <v>3.3885279579051089E-2</v>
      </c>
      <c r="E58">
        <v>6.5881877214412068E-3</v>
      </c>
      <c r="F58">
        <v>3.3134502771601875E-3</v>
      </c>
      <c r="G58">
        <v>7.9395075548403509E-3</v>
      </c>
      <c r="H58">
        <v>2.2997010879253318E-2</v>
      </c>
      <c r="I58">
        <v>0.13164034812849967</v>
      </c>
      <c r="J58">
        <v>0</v>
      </c>
      <c r="K58">
        <v>0.46322811015607346</v>
      </c>
      <c r="L58">
        <v>0.24970173874196411</v>
      </c>
      <c r="M58">
        <v>0.75029826125803589</v>
      </c>
      <c r="N58">
        <v>5.630220979826428E-2</v>
      </c>
      <c r="O58" s="72">
        <v>0.99946346559260535</v>
      </c>
      <c r="P58">
        <v>0.99940286772775278</v>
      </c>
      <c r="Q58">
        <v>0.93935352841739994</v>
      </c>
      <c r="R58">
        <v>0.50841084049910812</v>
      </c>
      <c r="S58">
        <v>0.34993475606524482</v>
      </c>
      <c r="T58">
        <v>0.29825846950640988</v>
      </c>
      <c r="U58">
        <v>0.78711235768061116</v>
      </c>
      <c r="V58">
        <v>0.64147233267281256</v>
      </c>
      <c r="W58">
        <v>0.58175534857138733</v>
      </c>
      <c r="X58">
        <v>0.45622853518362638</v>
      </c>
      <c r="Y58">
        <v>0.40178878869817275</v>
      </c>
      <c r="Z58">
        <v>0.42912094686693425</v>
      </c>
      <c r="AA58">
        <v>0.74113766049945207</v>
      </c>
      <c r="AB58">
        <v>0.86207928100345843</v>
      </c>
      <c r="AC58">
        <v>0.74248918699834832</v>
      </c>
      <c r="AD58">
        <v>0.64860835344555645</v>
      </c>
      <c r="AE58">
        <v>314.73280621543483</v>
      </c>
      <c r="AF58">
        <v>1041.4800072401736</v>
      </c>
      <c r="AG58">
        <v>1316.2175510414806</v>
      </c>
      <c r="AH58">
        <v>9146.5701176864695</v>
      </c>
      <c r="AI58">
        <v>12884.332773665399</v>
      </c>
      <c r="AJ58">
        <v>40895.092622808224</v>
      </c>
      <c r="AK58">
        <v>11520.253493262846</v>
      </c>
      <c r="AL58">
        <v>2850.9447301868877</v>
      </c>
      <c r="AM58">
        <v>406.62248035711991</v>
      </c>
      <c r="AO58">
        <v>41997.466211412902</v>
      </c>
      <c r="AP58">
        <v>14.009411362852262</v>
      </c>
      <c r="AQ58">
        <v>46942.254760660886</v>
      </c>
      <c r="AR58">
        <v>14.195894154498999</v>
      </c>
      <c r="AS58" s="2">
        <f t="shared" si="0"/>
        <v>4944.7885492479836</v>
      </c>
      <c r="AT58" s="2">
        <f t="shared" si="1"/>
        <v>0.18648279164673731</v>
      </c>
      <c r="AV58">
        <f t="shared" si="2"/>
        <v>1358943.6700738133</v>
      </c>
      <c r="AW58">
        <f t="shared" si="3"/>
        <v>1372647.1606892389</v>
      </c>
      <c r="AY58">
        <f t="shared" si="4"/>
        <v>0</v>
      </c>
      <c r="AZ58">
        <f t="shared" si="5"/>
        <v>1</v>
      </c>
      <c r="BB58">
        <v>80000</v>
      </c>
      <c r="BC58">
        <v>1.9E-2</v>
      </c>
      <c r="BD58">
        <v>0.98099999999999998</v>
      </c>
    </row>
    <row r="59" spans="1:56" x14ac:dyDescent="0.2">
      <c r="A59">
        <f t="shared" si="6"/>
        <v>55</v>
      </c>
      <c r="B59">
        <v>2.4188439618499331E-2</v>
      </c>
      <c r="C59">
        <v>2.9756520943840379E-2</v>
      </c>
      <c r="D59">
        <v>2.7554000663027985E-2</v>
      </c>
      <c r="E59">
        <v>8.0386925397785275E-3</v>
      </c>
      <c r="F59">
        <v>3.389683470116589E-3</v>
      </c>
      <c r="G59">
        <v>4.8362693419045956E-3</v>
      </c>
      <c r="H59">
        <v>4.3125799126875197E-2</v>
      </c>
      <c r="I59">
        <v>0.14395799619449168</v>
      </c>
      <c r="J59">
        <v>0</v>
      </c>
      <c r="K59">
        <v>0.43716983296509038</v>
      </c>
      <c r="L59">
        <v>0.24412555836399619</v>
      </c>
      <c r="M59">
        <v>0.75587444163600381</v>
      </c>
      <c r="N59">
        <v>8.5323592323658715E-2</v>
      </c>
      <c r="O59" s="72">
        <v>0.99278659798823488</v>
      </c>
      <c r="P59">
        <v>0.99542901985499166</v>
      </c>
      <c r="Q59">
        <v>0.98590955749149234</v>
      </c>
      <c r="R59">
        <v>0.5174778608051338</v>
      </c>
      <c r="S59">
        <v>0.52825596447958389</v>
      </c>
      <c r="T59">
        <v>0.21565896666712847</v>
      </c>
      <c r="U59">
        <v>0.79390876747311434</v>
      </c>
      <c r="V59">
        <v>0.64412042038562767</v>
      </c>
      <c r="W59">
        <v>0.60110076630667475</v>
      </c>
      <c r="X59">
        <v>0.48417259039925398</v>
      </c>
      <c r="Y59">
        <v>0.43202107723725641</v>
      </c>
      <c r="Z59">
        <v>0.46612014921662881</v>
      </c>
      <c r="AA59">
        <v>0.58024249535336447</v>
      </c>
      <c r="AB59">
        <v>0.82801000486306375</v>
      </c>
      <c r="AC59">
        <v>0.73439548913544983</v>
      </c>
      <c r="AD59">
        <v>0.63072386989439555</v>
      </c>
      <c r="AE59">
        <v>154.71024228909039</v>
      </c>
      <c r="AF59">
        <v>1002.5851168977479</v>
      </c>
      <c r="AG59">
        <v>1368.0338048467236</v>
      </c>
      <c r="AH59">
        <v>10995.398184479702</v>
      </c>
      <c r="AI59">
        <v>17062.847469102453</v>
      </c>
      <c r="AJ59">
        <v>40827.667238055474</v>
      </c>
      <c r="AK59">
        <v>16554.91971462416</v>
      </c>
      <c r="AL59">
        <v>1794.6804478855258</v>
      </c>
      <c r="AM59">
        <v>320.0815820972465</v>
      </c>
      <c r="AO59">
        <v>39757.851649589604</v>
      </c>
      <c r="AP59">
        <v>13.551594066870042</v>
      </c>
      <c r="AQ59">
        <v>45478.284537057145</v>
      </c>
      <c r="AR59">
        <v>13.684908959375226</v>
      </c>
      <c r="AS59" s="2">
        <f t="shared" si="0"/>
        <v>5720.4328874675411</v>
      </c>
      <c r="AT59" s="2">
        <f t="shared" si="1"/>
        <v>0.1333148925051848</v>
      </c>
      <c r="AV59">
        <f t="shared" si="2"/>
        <v>1315401.5550374147</v>
      </c>
      <c r="AW59">
        <f t="shared" si="3"/>
        <v>1323012.6114004655</v>
      </c>
      <c r="AY59">
        <f t="shared" si="4"/>
        <v>0</v>
      </c>
      <c r="AZ59">
        <f t="shared" si="5"/>
        <v>1</v>
      </c>
      <c r="BB59">
        <v>85000</v>
      </c>
      <c r="BC59">
        <v>1.7000000000000001E-2</v>
      </c>
      <c r="BD59">
        <v>0.98299999999999998</v>
      </c>
    </row>
    <row r="60" spans="1:56" x14ac:dyDescent="0.2">
      <c r="A60">
        <f t="shared" si="6"/>
        <v>56</v>
      </c>
      <c r="B60">
        <v>2.537538921048621E-2</v>
      </c>
      <c r="C60">
        <v>3.7150302283387782E-2</v>
      </c>
      <c r="D60">
        <v>4.2637211079865289E-2</v>
      </c>
      <c r="E60">
        <v>1.9626806436233379E-2</v>
      </c>
      <c r="F60">
        <v>3.2466810099798468E-3</v>
      </c>
      <c r="G60">
        <v>8.8359319865461972E-3</v>
      </c>
      <c r="H60">
        <v>1.7740858193671428E-2</v>
      </c>
      <c r="I60">
        <v>0.12951509961998767</v>
      </c>
      <c r="J60">
        <v>0</v>
      </c>
      <c r="K60">
        <v>0.39688716185232104</v>
      </c>
      <c r="L60">
        <v>0.30675323099849405</v>
      </c>
      <c r="M60">
        <v>0.69324676900150595</v>
      </c>
      <c r="N60">
        <v>5.9192371811378597E-2</v>
      </c>
      <c r="O60" s="72">
        <v>0.99909395263939604</v>
      </c>
      <c r="P60">
        <v>0.98775508730536421</v>
      </c>
      <c r="Q60">
        <v>0.99446854377759752</v>
      </c>
      <c r="R60">
        <v>0.53975937709481614</v>
      </c>
      <c r="S60">
        <v>0.34209795010909838</v>
      </c>
      <c r="T60">
        <v>0.26215136121697524</v>
      </c>
      <c r="U60">
        <v>0.74843152237089383</v>
      </c>
      <c r="V60">
        <v>0.68319025904854813</v>
      </c>
      <c r="W60">
        <v>0.55358335616278564</v>
      </c>
      <c r="X60">
        <v>0.41204340351084395</v>
      </c>
      <c r="Y60">
        <v>0.44319289166979536</v>
      </c>
      <c r="Z60">
        <v>0.41293297073136281</v>
      </c>
      <c r="AA60">
        <v>0.64697691606238805</v>
      </c>
      <c r="AB60">
        <v>0.81948497058129033</v>
      </c>
      <c r="AC60">
        <v>0.75780494342039828</v>
      </c>
      <c r="AD60">
        <v>0.64725061562475616</v>
      </c>
      <c r="AE60">
        <v>208.34817759336426</v>
      </c>
      <c r="AF60">
        <v>941.19244479685244</v>
      </c>
      <c r="AG60">
        <v>1291.6833648681959</v>
      </c>
      <c r="AH60">
        <v>12977.68035332105</v>
      </c>
      <c r="AI60">
        <v>14575.661810404064</v>
      </c>
      <c r="AJ60">
        <v>33490.815927241441</v>
      </c>
      <c r="AK60">
        <v>16108.070237784861</v>
      </c>
      <c r="AL60">
        <v>1615.7615160553466</v>
      </c>
      <c r="AM60">
        <v>427.71962293664922</v>
      </c>
      <c r="AO60">
        <v>41543.500767298247</v>
      </c>
      <c r="AP60">
        <v>13.424960444581325</v>
      </c>
      <c r="AQ60">
        <v>47418.681063963668</v>
      </c>
      <c r="AR60">
        <v>13.630979237118867</v>
      </c>
      <c r="AS60" s="2">
        <f t="shared" si="0"/>
        <v>5875.1802966654213</v>
      </c>
      <c r="AT60" s="2">
        <f t="shared" si="1"/>
        <v>0.20601879253754163</v>
      </c>
      <c r="AV60">
        <f t="shared" si="2"/>
        <v>1300952.5436908342</v>
      </c>
      <c r="AW60">
        <f t="shared" si="3"/>
        <v>1315679.2426479231</v>
      </c>
      <c r="AY60">
        <f t="shared" si="4"/>
        <v>0</v>
      </c>
      <c r="AZ60">
        <f t="shared" si="5"/>
        <v>1</v>
      </c>
      <c r="BB60">
        <v>90000</v>
      </c>
      <c r="BC60">
        <v>1.4999999999999999E-2</v>
      </c>
      <c r="BD60">
        <v>0.98499999999999999</v>
      </c>
    </row>
    <row r="61" spans="1:56" x14ac:dyDescent="0.2">
      <c r="A61">
        <f t="shared" si="6"/>
        <v>57</v>
      </c>
      <c r="B61">
        <v>2.4617801091301152E-2</v>
      </c>
      <c r="C61">
        <v>3.943789963772748E-2</v>
      </c>
      <c r="D61">
        <v>3.7280030979632499E-2</v>
      </c>
      <c r="E61">
        <v>1.5729541552777171E-2</v>
      </c>
      <c r="F61">
        <v>3.3019230741451835E-3</v>
      </c>
      <c r="G61">
        <v>2.9726698776080681E-3</v>
      </c>
      <c r="H61">
        <v>1.8445280493617527E-2</v>
      </c>
      <c r="I61">
        <v>0.115649427104605</v>
      </c>
      <c r="J61">
        <v>0</v>
      </c>
      <c r="K61">
        <v>0.50907325277169835</v>
      </c>
      <c r="L61">
        <v>0.21197677772166224</v>
      </c>
      <c r="M61">
        <v>0.78802322227833776</v>
      </c>
      <c r="N61">
        <v>6.9402231291556316E-2</v>
      </c>
      <c r="O61" s="72">
        <v>0.99684800030316056</v>
      </c>
      <c r="P61">
        <v>0.9861016440999536</v>
      </c>
      <c r="Q61">
        <v>0.97228376996124077</v>
      </c>
      <c r="R61">
        <v>0.52698329580659253</v>
      </c>
      <c r="S61">
        <v>0.41839094500418195</v>
      </c>
      <c r="T61">
        <v>0.16155616739745704</v>
      </c>
      <c r="U61">
        <v>0.75753189011056909</v>
      </c>
      <c r="V61">
        <v>0.6773245244577798</v>
      </c>
      <c r="W61">
        <v>0.53993965344899086</v>
      </c>
      <c r="X61">
        <v>0.40231254468227823</v>
      </c>
      <c r="Y61">
        <v>0.47813377810798863</v>
      </c>
      <c r="Z61">
        <v>0.45688990477601754</v>
      </c>
      <c r="AA61">
        <v>0.74457189148905512</v>
      </c>
      <c r="AB61">
        <v>0.85634535345061125</v>
      </c>
      <c r="AC61">
        <v>0.74824282369690676</v>
      </c>
      <c r="AD61">
        <v>0.61525899224043212</v>
      </c>
      <c r="AE61">
        <v>226.86372794556971</v>
      </c>
      <c r="AF61">
        <v>1094.4744023095029</v>
      </c>
      <c r="AG61">
        <v>2003.1518811755834</v>
      </c>
      <c r="AH61">
        <v>14002.239107358357</v>
      </c>
      <c r="AI61">
        <v>9216.4793364926973</v>
      </c>
      <c r="AJ61">
        <v>37326.504784588673</v>
      </c>
      <c r="AK61">
        <v>17531.243775078565</v>
      </c>
      <c r="AL61">
        <v>3073.5039066140448</v>
      </c>
      <c r="AM61">
        <v>463.14766429734271</v>
      </c>
      <c r="AO61">
        <v>44363.481668797562</v>
      </c>
      <c r="AP61">
        <v>13.824548704541229</v>
      </c>
      <c r="AQ61">
        <v>48261.679201450621</v>
      </c>
      <c r="AR61">
        <v>14.080087093945714</v>
      </c>
      <c r="AS61" s="2">
        <f t="shared" si="0"/>
        <v>3898.1975326530592</v>
      </c>
      <c r="AT61" s="2">
        <f t="shared" si="1"/>
        <v>0.25553838940448514</v>
      </c>
      <c r="AV61">
        <f t="shared" si="2"/>
        <v>1338091.3887853255</v>
      </c>
      <c r="AW61">
        <f t="shared" si="3"/>
        <v>1359747.0301931207</v>
      </c>
      <c r="AY61">
        <f t="shared" si="4"/>
        <v>0</v>
      </c>
      <c r="AZ61">
        <f t="shared" si="5"/>
        <v>1</v>
      </c>
      <c r="BB61">
        <v>95000</v>
      </c>
      <c r="BC61">
        <v>1.2999999999999999E-2</v>
      </c>
      <c r="BD61">
        <v>0.98699999999999999</v>
      </c>
    </row>
    <row r="62" spans="1:56" x14ac:dyDescent="0.2">
      <c r="A62">
        <f t="shared" si="6"/>
        <v>58</v>
      </c>
      <c r="B62">
        <v>2.5412372082590395E-2</v>
      </c>
      <c r="C62">
        <v>2.9337611237256925E-2</v>
      </c>
      <c r="D62">
        <v>3.4160008463274959E-2</v>
      </c>
      <c r="E62">
        <v>3.2713244429336652E-2</v>
      </c>
      <c r="F62">
        <v>3.4870888479655582E-3</v>
      </c>
      <c r="G62">
        <v>1.0101778198252679E-2</v>
      </c>
      <c r="H62">
        <v>1.3402773500424438E-2</v>
      </c>
      <c r="I62">
        <v>0.13627409624355047</v>
      </c>
      <c r="J62">
        <v>0</v>
      </c>
      <c r="K62">
        <v>0.42032999019480732</v>
      </c>
      <c r="L62">
        <v>0.22391054818102096</v>
      </c>
      <c r="M62">
        <v>0.77608945181897904</v>
      </c>
      <c r="N62">
        <v>6.5856087783157102E-2</v>
      </c>
      <c r="O62" s="72">
        <v>0.99746008760191041</v>
      </c>
      <c r="P62">
        <v>0.99914230259022951</v>
      </c>
      <c r="Q62">
        <v>0.99715909080791998</v>
      </c>
      <c r="R62">
        <v>0.5125002297343707</v>
      </c>
      <c r="S62">
        <v>0.32071752985082547</v>
      </c>
      <c r="T62">
        <v>0.20451797226945667</v>
      </c>
      <c r="U62">
        <v>0.76232779031690012</v>
      </c>
      <c r="V62">
        <v>0.64490329419979431</v>
      </c>
      <c r="W62">
        <v>0.57491541039865945</v>
      </c>
      <c r="X62">
        <v>0.44238090121247148</v>
      </c>
      <c r="Y62">
        <v>0.41441314805446322</v>
      </c>
      <c r="Z62">
        <v>0.47146996854217449</v>
      </c>
      <c r="AA62">
        <v>0.64110454825587049</v>
      </c>
      <c r="AB62">
        <v>0.82037463391220555</v>
      </c>
      <c r="AC62">
        <v>0.65916419231903822</v>
      </c>
      <c r="AD62">
        <v>0.59833554255628707</v>
      </c>
      <c r="AE62">
        <v>293.14565969092865</v>
      </c>
      <c r="AF62">
        <v>966.4852102861131</v>
      </c>
      <c r="AG62">
        <v>1542.8626516708503</v>
      </c>
      <c r="AH62">
        <v>10528.793132354771</v>
      </c>
      <c r="AI62">
        <v>12118.480319301942</v>
      </c>
      <c r="AJ62">
        <v>42440.487931935168</v>
      </c>
      <c r="AK62">
        <v>14228.06704828572</v>
      </c>
      <c r="AL62">
        <v>2114.9697897695528</v>
      </c>
      <c r="AM62">
        <v>416.60302272253381</v>
      </c>
      <c r="AO62">
        <v>43820.552473012365</v>
      </c>
      <c r="AP62">
        <v>13.16921253206746</v>
      </c>
      <c r="AQ62">
        <v>46938.007511938427</v>
      </c>
      <c r="AR62">
        <v>13.397652888966016</v>
      </c>
      <c r="AS62" s="2">
        <f t="shared" si="0"/>
        <v>3117.4550389260621</v>
      </c>
      <c r="AT62" s="2">
        <f t="shared" si="1"/>
        <v>0.22844035689855602</v>
      </c>
      <c r="AV62">
        <f t="shared" si="2"/>
        <v>1273100.7007337336</v>
      </c>
      <c r="AW62">
        <f t="shared" si="3"/>
        <v>1292827.2813846632</v>
      </c>
      <c r="AY62">
        <f t="shared" si="4"/>
        <v>0</v>
      </c>
      <c r="AZ62">
        <f t="shared" si="5"/>
        <v>1</v>
      </c>
      <c r="BB62">
        <v>100000</v>
      </c>
      <c r="BC62">
        <v>0.01</v>
      </c>
      <c r="BD62">
        <v>0.99</v>
      </c>
    </row>
    <row r="63" spans="1:56" x14ac:dyDescent="0.2">
      <c r="A63">
        <f t="shared" si="6"/>
        <v>59</v>
      </c>
      <c r="B63">
        <v>2.9396936920879302E-2</v>
      </c>
      <c r="C63">
        <v>3.6126747757115926E-2</v>
      </c>
      <c r="D63">
        <v>4.802279710954438E-2</v>
      </c>
      <c r="E63">
        <v>6.4110213321768139E-2</v>
      </c>
      <c r="F63">
        <v>3.508562103202828E-3</v>
      </c>
      <c r="G63">
        <v>1.5119698512013668E-2</v>
      </c>
      <c r="H63">
        <v>2.1445450700030729E-2</v>
      </c>
      <c r="I63">
        <v>0.10994452142369783</v>
      </c>
      <c r="J63">
        <v>0</v>
      </c>
      <c r="K63">
        <v>0.46229629887457158</v>
      </c>
      <c r="L63">
        <v>0.19841808786632531</v>
      </c>
      <c r="M63">
        <v>0.80158191213367469</v>
      </c>
      <c r="N63">
        <v>4.2514949155306049E-2</v>
      </c>
      <c r="O63" s="72">
        <v>0.9738259719122403</v>
      </c>
      <c r="P63">
        <v>0.98986698734135048</v>
      </c>
      <c r="Q63">
        <v>0.99310340914010709</v>
      </c>
      <c r="R63">
        <v>0.55284258559925248</v>
      </c>
      <c r="S63">
        <v>0.44384326386570694</v>
      </c>
      <c r="T63">
        <v>8.4089905793663489E-2</v>
      </c>
      <c r="U63">
        <v>0.75822370459895028</v>
      </c>
      <c r="V63">
        <v>0.67533190624901107</v>
      </c>
      <c r="W63">
        <v>0.59089536123435171</v>
      </c>
      <c r="X63">
        <v>0.47894350145988795</v>
      </c>
      <c r="Y63">
        <v>0.41295743431789755</v>
      </c>
      <c r="Z63">
        <v>0.48673423208554845</v>
      </c>
      <c r="AA63">
        <v>0.6282645946152523</v>
      </c>
      <c r="AB63">
        <v>0.82707511624387831</v>
      </c>
      <c r="AC63">
        <v>0.76660050663057677</v>
      </c>
      <c r="AD63">
        <v>0.5510671685971128</v>
      </c>
      <c r="AE63">
        <v>206.25111979544249</v>
      </c>
      <c r="AF63">
        <v>1088.5929347522781</v>
      </c>
      <c r="AG63">
        <v>1724.841646596097</v>
      </c>
      <c r="AH63">
        <v>16951.198922996398</v>
      </c>
      <c r="AI63">
        <v>14398.334935011142</v>
      </c>
      <c r="AJ63">
        <v>36507.865561203849</v>
      </c>
      <c r="AK63">
        <v>14143.416392324036</v>
      </c>
      <c r="AL63">
        <v>1170.9073022026816</v>
      </c>
      <c r="AM63">
        <v>424.31669864835982</v>
      </c>
      <c r="AO63">
        <v>44218.079637354262</v>
      </c>
      <c r="AP63">
        <v>13.275590762395476</v>
      </c>
      <c r="AQ63">
        <v>47599.848237700578</v>
      </c>
      <c r="AR63">
        <v>13.62111515586213</v>
      </c>
      <c r="AS63" s="2">
        <f t="shared" si="0"/>
        <v>3381.7686003463168</v>
      </c>
      <c r="AT63" s="2">
        <f t="shared" si="1"/>
        <v>0.34552439346665409</v>
      </c>
      <c r="AV63">
        <f t="shared" si="2"/>
        <v>1283340.9966021935</v>
      </c>
      <c r="AW63">
        <f t="shared" si="3"/>
        <v>1314511.6673485124</v>
      </c>
      <c r="AY63">
        <f t="shared" si="4"/>
        <v>0</v>
      </c>
      <c r="AZ63">
        <f t="shared" si="5"/>
        <v>1</v>
      </c>
    </row>
    <row r="64" spans="1:56" x14ac:dyDescent="0.2">
      <c r="A64">
        <f t="shared" si="6"/>
        <v>60</v>
      </c>
      <c r="B64">
        <v>2.7222026360356644E-2</v>
      </c>
      <c r="C64">
        <v>3.7188089628164223E-2</v>
      </c>
      <c r="D64">
        <v>3.9570043329762994E-2</v>
      </c>
      <c r="E64">
        <v>2.171536131374785E-2</v>
      </c>
      <c r="F64">
        <v>3.3710609225955368E-3</v>
      </c>
      <c r="G64">
        <v>2.1394915647479406E-3</v>
      </c>
      <c r="H64">
        <v>2.9183147634202267E-2</v>
      </c>
      <c r="I64">
        <v>0.13832939354788187</v>
      </c>
      <c r="J64">
        <v>0</v>
      </c>
      <c r="K64">
        <v>0.44447806224123332</v>
      </c>
      <c r="L64">
        <v>0.2687261734816172</v>
      </c>
      <c r="M64">
        <v>0.7312738265183828</v>
      </c>
      <c r="N64">
        <v>5.4204807533290697E-2</v>
      </c>
      <c r="O64" s="72">
        <v>0.99987485007977783</v>
      </c>
      <c r="P64">
        <v>0.99999559099380153</v>
      </c>
      <c r="Q64">
        <v>0.99346040728608109</v>
      </c>
      <c r="R64">
        <v>0.46195620137351867</v>
      </c>
      <c r="S64">
        <v>0.39684530363098114</v>
      </c>
      <c r="T64">
        <v>0.24164169208939723</v>
      </c>
      <c r="U64">
        <v>0.76715300711079859</v>
      </c>
      <c r="V64">
        <v>0.57213226407421314</v>
      </c>
      <c r="W64">
        <v>0.51360524017247211</v>
      </c>
      <c r="X64">
        <v>0.4714835108303681</v>
      </c>
      <c r="Y64">
        <v>0.47247339771441499</v>
      </c>
      <c r="Z64">
        <v>0.44726344214704977</v>
      </c>
      <c r="AA64">
        <v>0.68078171313344482</v>
      </c>
      <c r="AB64">
        <v>0.85132748093142918</v>
      </c>
      <c r="AC64">
        <v>0.76591565017231911</v>
      </c>
      <c r="AD64">
        <v>0.63107087620951829</v>
      </c>
      <c r="AE64">
        <v>205.09947156565892</v>
      </c>
      <c r="AF64">
        <v>1000.2574172575668</v>
      </c>
      <c r="AG64">
        <v>1775.0111388553628</v>
      </c>
      <c r="AH64">
        <v>11906.712978617516</v>
      </c>
      <c r="AI64">
        <v>14084.636781837822</v>
      </c>
      <c r="AJ64">
        <v>46139.771584257229</v>
      </c>
      <c r="AK64">
        <v>14482.694771927338</v>
      </c>
      <c r="AL64">
        <v>2162.4054229332069</v>
      </c>
      <c r="AM64">
        <v>323.2950414981957</v>
      </c>
      <c r="AO64">
        <v>43403.132227149632</v>
      </c>
      <c r="AP64">
        <v>13.790288924115094</v>
      </c>
      <c r="AQ64">
        <v>45432.180186236095</v>
      </c>
      <c r="AR64">
        <v>14.066722408621647</v>
      </c>
      <c r="AS64" s="2">
        <f t="shared" si="0"/>
        <v>2029.0479590864634</v>
      </c>
      <c r="AT64" s="2">
        <f t="shared" si="1"/>
        <v>0.27643348450655303</v>
      </c>
      <c r="AV64">
        <f t="shared" si="2"/>
        <v>1335625.7601843597</v>
      </c>
      <c r="AW64">
        <f t="shared" si="3"/>
        <v>1361240.0606759286</v>
      </c>
      <c r="AY64">
        <f t="shared" si="4"/>
        <v>0</v>
      </c>
      <c r="AZ64">
        <f t="shared" si="5"/>
        <v>1</v>
      </c>
    </row>
    <row r="65" spans="1:52" x14ac:dyDescent="0.2">
      <c r="A65">
        <f t="shared" si="6"/>
        <v>61</v>
      </c>
      <c r="B65">
        <v>2.5372432904999465E-2</v>
      </c>
      <c r="C65">
        <v>5.0186669591009814E-2</v>
      </c>
      <c r="D65">
        <v>3.6991312611066078E-2</v>
      </c>
      <c r="E65">
        <v>7.9853928520905223E-3</v>
      </c>
      <c r="F65">
        <v>3.4689929712019563E-3</v>
      </c>
      <c r="G65">
        <v>1.2873463956892262E-2</v>
      </c>
      <c r="H65">
        <v>2.4565806970596928E-2</v>
      </c>
      <c r="I65">
        <v>0.11690752324776291</v>
      </c>
      <c r="J65">
        <v>0</v>
      </c>
      <c r="K65">
        <v>0.48992134352332073</v>
      </c>
      <c r="L65">
        <v>0.26526373910920709</v>
      </c>
      <c r="M65">
        <v>0.73473626089079291</v>
      </c>
      <c r="N65">
        <v>5.5437592912700645E-2</v>
      </c>
      <c r="O65" s="72">
        <v>0.99951020132550128</v>
      </c>
      <c r="P65">
        <v>0.99853547131882725</v>
      </c>
      <c r="Q65">
        <v>0.90533988914753738</v>
      </c>
      <c r="R65">
        <v>0.53780773677023519</v>
      </c>
      <c r="S65">
        <v>0.36774593778988773</v>
      </c>
      <c r="T65">
        <v>0.17984417194354596</v>
      </c>
      <c r="U65">
        <v>0.77639814582500155</v>
      </c>
      <c r="V65">
        <v>0.69322799808696733</v>
      </c>
      <c r="W65">
        <v>0.53513204192028319</v>
      </c>
      <c r="X65">
        <v>0.488229049237065</v>
      </c>
      <c r="Y65">
        <v>0.43317247377150575</v>
      </c>
      <c r="Z65">
        <v>0.46222781174573857</v>
      </c>
      <c r="AA65">
        <v>0.7257565383051543</v>
      </c>
      <c r="AB65">
        <v>0.78710851014806826</v>
      </c>
      <c r="AC65">
        <v>0.66871744298521962</v>
      </c>
      <c r="AD65">
        <v>0.54888630151165352</v>
      </c>
      <c r="AE65">
        <v>181.50661648284728</v>
      </c>
      <c r="AF65">
        <v>986.71368231554561</v>
      </c>
      <c r="AG65">
        <v>1403.9852883674541</v>
      </c>
      <c r="AH65">
        <v>14495.791197247197</v>
      </c>
      <c r="AI65">
        <v>7993.756472701748</v>
      </c>
      <c r="AJ65">
        <v>37453.6506549513</v>
      </c>
      <c r="AK65">
        <v>10196.002968845605</v>
      </c>
      <c r="AL65">
        <v>2009.3050458068997</v>
      </c>
      <c r="AM65">
        <v>342.27089916480492</v>
      </c>
      <c r="AO65">
        <v>42059.154510088752</v>
      </c>
      <c r="AP65">
        <v>12.756216330119528</v>
      </c>
      <c r="AQ65">
        <v>46127.416736023093</v>
      </c>
      <c r="AR65">
        <v>12.886353850224925</v>
      </c>
      <c r="AS65" s="2">
        <f t="shared" si="0"/>
        <v>4068.2622259343407</v>
      </c>
      <c r="AT65" s="2">
        <f t="shared" si="1"/>
        <v>0.13013752010539648</v>
      </c>
      <c r="AV65">
        <f t="shared" si="2"/>
        <v>1233562.478501864</v>
      </c>
      <c r="AW65">
        <f t="shared" si="3"/>
        <v>1242507.9682864693</v>
      </c>
      <c r="AY65">
        <f t="shared" si="4"/>
        <v>0</v>
      </c>
      <c r="AZ65">
        <f t="shared" si="5"/>
        <v>1</v>
      </c>
    </row>
    <row r="66" spans="1:52" x14ac:dyDescent="0.2">
      <c r="A66">
        <f t="shared" si="6"/>
        <v>62</v>
      </c>
      <c r="B66">
        <v>2.4612785710059371E-2</v>
      </c>
      <c r="C66">
        <v>3.300162977648146E-2</v>
      </c>
      <c r="D66">
        <v>4.0327712720897524E-2</v>
      </c>
      <c r="E66">
        <v>3.4258317312939712E-2</v>
      </c>
      <c r="F66">
        <v>3.3821725112673784E-3</v>
      </c>
      <c r="G66">
        <v>8.4364734836114268E-3</v>
      </c>
      <c r="H66">
        <v>3.4964519979642228E-2</v>
      </c>
      <c r="I66">
        <v>0.11766182383900547</v>
      </c>
      <c r="J66">
        <v>0</v>
      </c>
      <c r="K66">
        <v>0.42903350952383501</v>
      </c>
      <c r="L66">
        <v>0.24645523304766748</v>
      </c>
      <c r="M66">
        <v>0.75354476695233252</v>
      </c>
      <c r="N66">
        <v>6.5806415803966734E-2</v>
      </c>
      <c r="O66" s="72">
        <v>0.99793320017779119</v>
      </c>
      <c r="P66">
        <v>0.99999235588447133</v>
      </c>
      <c r="Q66">
        <v>0.91474650333481033</v>
      </c>
      <c r="R66">
        <v>0.45523661416782701</v>
      </c>
      <c r="S66">
        <v>0.41834302962994452</v>
      </c>
      <c r="T66">
        <v>0.34655700006376566</v>
      </c>
      <c r="U66">
        <v>0.78552502475743757</v>
      </c>
      <c r="V66">
        <v>0.67516587401528416</v>
      </c>
      <c r="W66">
        <v>0.59102133109045241</v>
      </c>
      <c r="X66">
        <v>0.43518925439997724</v>
      </c>
      <c r="Y66">
        <v>0.45297972176474721</v>
      </c>
      <c r="Z66">
        <v>0.45290713836316665</v>
      </c>
      <c r="AA66">
        <v>0.61979584664494991</v>
      </c>
      <c r="AB66">
        <v>0.8639787116939418</v>
      </c>
      <c r="AC66">
        <v>0.77031858243212425</v>
      </c>
      <c r="AD66">
        <v>0.64145412823470005</v>
      </c>
      <c r="AE66">
        <v>299.91916239167489</v>
      </c>
      <c r="AF66">
        <v>1083.7042566470825</v>
      </c>
      <c r="AG66">
        <v>1278.0382791433897</v>
      </c>
      <c r="AH66">
        <v>14545.082054110993</v>
      </c>
      <c r="AI66">
        <v>12368.941434073366</v>
      </c>
      <c r="AJ66">
        <v>34987.997856347225</v>
      </c>
      <c r="AK66">
        <v>9516.0712233792528</v>
      </c>
      <c r="AL66">
        <v>1143.3239402417387</v>
      </c>
      <c r="AM66">
        <v>372.40108106691213</v>
      </c>
      <c r="AO66">
        <v>42974.481754337321</v>
      </c>
      <c r="AP66">
        <v>14.045614348105616</v>
      </c>
      <c r="AQ66">
        <v>46605.524310801673</v>
      </c>
      <c r="AR66">
        <v>14.259418554027194</v>
      </c>
      <c r="AS66" s="2">
        <f t="shared" si="0"/>
        <v>3631.0425564643519</v>
      </c>
      <c r="AT66" s="2">
        <f t="shared" si="1"/>
        <v>0.21380420592157812</v>
      </c>
      <c r="AV66">
        <f t="shared" si="2"/>
        <v>1361586.9530562242</v>
      </c>
      <c r="AW66">
        <f t="shared" si="3"/>
        <v>1379336.3310919178</v>
      </c>
      <c r="AY66">
        <f t="shared" si="4"/>
        <v>0</v>
      </c>
      <c r="AZ66">
        <f t="shared" si="5"/>
        <v>1</v>
      </c>
    </row>
    <row r="67" spans="1:52" x14ac:dyDescent="0.2">
      <c r="A67">
        <f t="shared" si="6"/>
        <v>63</v>
      </c>
      <c r="B67">
        <v>2.5040513803659903E-2</v>
      </c>
      <c r="C67">
        <v>3.7682451125828687E-2</v>
      </c>
      <c r="D67">
        <v>3.7182113349091751E-2</v>
      </c>
      <c r="E67">
        <v>2.5936946080570178E-2</v>
      </c>
      <c r="F67">
        <v>3.3367222135117502E-3</v>
      </c>
      <c r="G67">
        <v>1.237959369488173E-2</v>
      </c>
      <c r="H67">
        <v>2.0780392878247511E-2</v>
      </c>
      <c r="I67">
        <v>0.11679027810830002</v>
      </c>
      <c r="J67">
        <v>0</v>
      </c>
      <c r="K67">
        <v>0.42742827757250274</v>
      </c>
      <c r="L67">
        <v>0.16870715416081403</v>
      </c>
      <c r="M67">
        <v>0.83129284583918595</v>
      </c>
      <c r="N67">
        <v>4.5899510143401781E-2</v>
      </c>
      <c r="O67" s="72">
        <v>0.99935819111946023</v>
      </c>
      <c r="P67">
        <v>0.89023590546704456</v>
      </c>
      <c r="Q67">
        <v>0.99800454855543541</v>
      </c>
      <c r="R67">
        <v>0.46099819740750947</v>
      </c>
      <c r="S67">
        <v>0.43911191859029686</v>
      </c>
      <c r="T67">
        <v>0.22957042682174522</v>
      </c>
      <c r="U67">
        <v>0.74955438520877393</v>
      </c>
      <c r="V67">
        <v>0.65945685321365499</v>
      </c>
      <c r="W67">
        <v>0.50467426830652506</v>
      </c>
      <c r="X67">
        <v>0.44588116910056563</v>
      </c>
      <c r="Y67">
        <v>0.41074132833026056</v>
      </c>
      <c r="Z67">
        <v>0.38703157299389584</v>
      </c>
      <c r="AA67">
        <v>0.67623803211599665</v>
      </c>
      <c r="AB67">
        <v>0.90427440268436188</v>
      </c>
      <c r="AC67">
        <v>0.70642289911273526</v>
      </c>
      <c r="AD67">
        <v>0.68039088698349115</v>
      </c>
      <c r="AE67">
        <v>193.2398500035072</v>
      </c>
      <c r="AF67">
        <v>892.45617100040693</v>
      </c>
      <c r="AG67">
        <v>1557.032118927033</v>
      </c>
      <c r="AH67">
        <v>8178.9085856231823</v>
      </c>
      <c r="AI67">
        <v>9522.6519483001466</v>
      </c>
      <c r="AJ67">
        <v>39131.311808901424</v>
      </c>
      <c r="AK67">
        <v>17314.839860507549</v>
      </c>
      <c r="AL67">
        <v>2104.8109400747749</v>
      </c>
      <c r="AM67">
        <v>303.48399786477353</v>
      </c>
      <c r="AO67">
        <v>42528.315410431656</v>
      </c>
      <c r="AP67">
        <v>14.396069946067355</v>
      </c>
      <c r="AQ67">
        <v>48782.580780731259</v>
      </c>
      <c r="AR67">
        <v>14.738643005337776</v>
      </c>
      <c r="AS67" s="2">
        <f t="shared" si="0"/>
        <v>6254.2653702996031</v>
      </c>
      <c r="AT67" s="2">
        <f t="shared" si="1"/>
        <v>0.34257305927042125</v>
      </c>
      <c r="AV67">
        <f t="shared" si="2"/>
        <v>1397078.6791963037</v>
      </c>
      <c r="AW67">
        <f t="shared" si="3"/>
        <v>1425081.7197530463</v>
      </c>
      <c r="AY67">
        <f t="shared" si="4"/>
        <v>0</v>
      </c>
      <c r="AZ67">
        <f t="shared" si="5"/>
        <v>1</v>
      </c>
    </row>
    <row r="68" spans="1:52" x14ac:dyDescent="0.2">
      <c r="A68">
        <f t="shared" si="6"/>
        <v>64</v>
      </c>
      <c r="B68">
        <v>2.3037452171379431E-2</v>
      </c>
      <c r="C68">
        <v>2.3009090327393601E-2</v>
      </c>
      <c r="D68">
        <v>4.5815838479859927E-2</v>
      </c>
      <c r="E68">
        <v>8.3238438224816826E-3</v>
      </c>
      <c r="F68">
        <v>3.1570724851920822E-3</v>
      </c>
      <c r="G68">
        <v>2.8542434971411557E-3</v>
      </c>
      <c r="H68">
        <v>2.3764310546102774E-2</v>
      </c>
      <c r="I68">
        <v>0.12356643235308531</v>
      </c>
      <c r="J68">
        <v>0</v>
      </c>
      <c r="K68">
        <v>0.4657831753407885</v>
      </c>
      <c r="L68">
        <v>0.19470127791430725</v>
      </c>
      <c r="M68">
        <v>0.80529872208569275</v>
      </c>
      <c r="N68">
        <v>5.1374617312625007E-2</v>
      </c>
      <c r="O68" s="72">
        <v>0.93110272325583154</v>
      </c>
      <c r="P68">
        <v>0.99063897948103474</v>
      </c>
      <c r="Q68">
        <v>0.98609174584242454</v>
      </c>
      <c r="R68">
        <v>0.4559556102635004</v>
      </c>
      <c r="S68">
        <v>0.47136339607844968</v>
      </c>
      <c r="T68">
        <v>0.27771782275730716</v>
      </c>
      <c r="U68">
        <v>0.77619316133793903</v>
      </c>
      <c r="V68">
        <v>0.71830103867972039</v>
      </c>
      <c r="W68">
        <v>0.6205557794723785</v>
      </c>
      <c r="X68">
        <v>0.46312900018824998</v>
      </c>
      <c r="Y68">
        <v>0.4169388766388078</v>
      </c>
      <c r="Z68">
        <v>0.43666615031527178</v>
      </c>
      <c r="AA68">
        <v>0.68629285513152227</v>
      </c>
      <c r="AB68">
        <v>0.85904675181749424</v>
      </c>
      <c r="AC68">
        <v>0.76331470283394187</v>
      </c>
      <c r="AD68">
        <v>0.60360541154710601</v>
      </c>
      <c r="AE68">
        <v>317.08950408169693</v>
      </c>
      <c r="AF68">
        <v>988.155801654009</v>
      </c>
      <c r="AG68">
        <v>1116.7838508799096</v>
      </c>
      <c r="AH68">
        <v>12073.589260487761</v>
      </c>
      <c r="AI68">
        <v>12649.892931554741</v>
      </c>
      <c r="AJ68">
        <v>46898.699060258106</v>
      </c>
      <c r="AK68">
        <v>7287.9149218155571</v>
      </c>
      <c r="AL68">
        <v>2348.9716797310648</v>
      </c>
      <c r="AM68">
        <v>357.97272924139611</v>
      </c>
      <c r="AO68">
        <v>42989.999857258932</v>
      </c>
      <c r="AP68">
        <v>13.953894138180653</v>
      </c>
      <c r="AQ68">
        <v>46630.559150361667</v>
      </c>
      <c r="AR68">
        <v>14.131498122881416</v>
      </c>
      <c r="AS68" s="2">
        <f t="shared" si="0"/>
        <v>3640.559293102735</v>
      </c>
      <c r="AT68" s="2">
        <f t="shared" si="1"/>
        <v>0.17760398470076311</v>
      </c>
      <c r="AV68">
        <f t="shared" si="2"/>
        <v>1352399.4139608063</v>
      </c>
      <c r="AW68">
        <f t="shared" si="3"/>
        <v>1366519.2531377799</v>
      </c>
      <c r="AY68">
        <f t="shared" si="4"/>
        <v>0</v>
      </c>
      <c r="AZ68">
        <f t="shared" si="5"/>
        <v>1</v>
      </c>
    </row>
    <row r="69" spans="1:52" x14ac:dyDescent="0.2">
      <c r="A69">
        <f t="shared" si="6"/>
        <v>65</v>
      </c>
      <c r="B69">
        <v>2.3260014256157077E-2</v>
      </c>
      <c r="C69">
        <v>5.9913936354238362E-2</v>
      </c>
      <c r="D69">
        <v>3.6628080866343803E-2</v>
      </c>
      <c r="E69">
        <v>2.0220063384636111E-2</v>
      </c>
      <c r="F69">
        <v>3.1972759856468825E-3</v>
      </c>
      <c r="G69">
        <v>1.1860135623576573E-2</v>
      </c>
      <c r="H69">
        <v>3.0002731091134938E-2</v>
      </c>
      <c r="I69">
        <v>0.11603938895549989</v>
      </c>
      <c r="J69">
        <v>0</v>
      </c>
      <c r="K69">
        <v>0.40877337837129202</v>
      </c>
      <c r="L69">
        <v>0.1842996560130552</v>
      </c>
      <c r="M69">
        <v>0.8157003439869448</v>
      </c>
      <c r="N69">
        <v>5.1468251838921231E-2</v>
      </c>
      <c r="O69" s="72">
        <v>0.99993841552490714</v>
      </c>
      <c r="P69">
        <v>0.99999994804607373</v>
      </c>
      <c r="Q69">
        <v>0.99046919388784604</v>
      </c>
      <c r="R69">
        <v>0.42639154065072915</v>
      </c>
      <c r="S69">
        <v>0.34176737409960101</v>
      </c>
      <c r="T69">
        <v>0.18744148973038799</v>
      </c>
      <c r="U69">
        <v>0.7881007862405035</v>
      </c>
      <c r="V69">
        <v>0.66082362843561793</v>
      </c>
      <c r="W69">
        <v>0.49005961635413375</v>
      </c>
      <c r="X69">
        <v>0.45367654222641496</v>
      </c>
      <c r="Y69">
        <v>0.48799418314632448</v>
      </c>
      <c r="Z69">
        <v>0.4468615655800724</v>
      </c>
      <c r="AA69">
        <v>0.71931696790682054</v>
      </c>
      <c r="AB69">
        <v>0.85404651862449732</v>
      </c>
      <c r="AC69">
        <v>0.75006942578631997</v>
      </c>
      <c r="AD69">
        <v>0.55660784426952503</v>
      </c>
      <c r="AE69">
        <v>215.23226734052639</v>
      </c>
      <c r="AF69">
        <v>1256.8251672294462</v>
      </c>
      <c r="AG69">
        <v>1173.8450237112195</v>
      </c>
      <c r="AH69">
        <v>13470.708486530664</v>
      </c>
      <c r="AI69">
        <v>15546.88814717768</v>
      </c>
      <c r="AJ69">
        <v>43120.565171859431</v>
      </c>
      <c r="AK69">
        <v>14268.231252270365</v>
      </c>
      <c r="AL69">
        <v>1811.7785983252443</v>
      </c>
      <c r="AM69">
        <v>405.27845281049235</v>
      </c>
      <c r="AO69">
        <v>48775.551686407343</v>
      </c>
      <c r="AP69">
        <v>13.694367915678582</v>
      </c>
      <c r="AQ69">
        <v>46750.447163007353</v>
      </c>
      <c r="AR69">
        <v>13.975663008084597</v>
      </c>
      <c r="AS69" s="2">
        <f t="shared" si="0"/>
        <v>-2025.1045233999903</v>
      </c>
      <c r="AT69" s="2">
        <f t="shared" si="1"/>
        <v>0.28129509240601536</v>
      </c>
      <c r="AV69">
        <f t="shared" si="2"/>
        <v>1320661.2398814508</v>
      </c>
      <c r="AW69">
        <f t="shared" si="3"/>
        <v>1350815.8536454523</v>
      </c>
      <c r="AY69">
        <f t="shared" si="4"/>
        <v>0</v>
      </c>
      <c r="AZ69">
        <f t="shared" si="5"/>
        <v>1</v>
      </c>
    </row>
    <row r="70" spans="1:52" x14ac:dyDescent="0.2">
      <c r="A70">
        <f t="shared" si="6"/>
        <v>66</v>
      </c>
      <c r="B70">
        <v>3.3033042808700119E-2</v>
      </c>
      <c r="C70">
        <v>4.336969001337776E-2</v>
      </c>
      <c r="D70">
        <v>3.7611683520823606E-2</v>
      </c>
      <c r="E70">
        <v>1.0059887850241788E-2</v>
      </c>
      <c r="F70">
        <v>3.3145552279840985E-3</v>
      </c>
      <c r="G70">
        <v>1.271315693161057E-2</v>
      </c>
      <c r="H70">
        <v>2.430434002840387E-2</v>
      </c>
      <c r="I70">
        <v>0.15601558888100309</v>
      </c>
      <c r="J70">
        <v>0</v>
      </c>
      <c r="K70">
        <v>0.43442294084928124</v>
      </c>
      <c r="L70">
        <v>0.1565851690459632</v>
      </c>
      <c r="M70">
        <v>0.8434148309540368</v>
      </c>
      <c r="N70">
        <v>5.8491264126976139E-2</v>
      </c>
      <c r="O70" s="72">
        <v>0.97674080141405162</v>
      </c>
      <c r="P70">
        <v>0.99920925189218124</v>
      </c>
      <c r="Q70">
        <v>0.88038528271396643</v>
      </c>
      <c r="R70">
        <v>0.48181134119377655</v>
      </c>
      <c r="S70">
        <v>0.4114828989792495</v>
      </c>
      <c r="T70">
        <v>0.28836747378732297</v>
      </c>
      <c r="U70">
        <v>0.79132562526480033</v>
      </c>
      <c r="V70">
        <v>0.69013562659520167</v>
      </c>
      <c r="W70">
        <v>0.57641319377130618</v>
      </c>
      <c r="X70">
        <v>0.40013330946207643</v>
      </c>
      <c r="Y70">
        <v>0.46492654462238059</v>
      </c>
      <c r="Z70">
        <v>0.47712585501069193</v>
      </c>
      <c r="AA70">
        <v>0.69163278882011192</v>
      </c>
      <c r="AB70">
        <v>0.83808649515797673</v>
      </c>
      <c r="AC70">
        <v>0.69572926741106034</v>
      </c>
      <c r="AD70">
        <v>0.47463800644233878</v>
      </c>
      <c r="AE70">
        <v>201.74387860714387</v>
      </c>
      <c r="AF70">
        <v>1218.4297555270391</v>
      </c>
      <c r="AG70">
        <v>1905.529583305276</v>
      </c>
      <c r="AH70">
        <v>16661.644241487673</v>
      </c>
      <c r="AI70">
        <v>13356.080719834785</v>
      </c>
      <c r="AJ70">
        <v>45487.220144887237</v>
      </c>
      <c r="AK70">
        <v>13960.15374996736</v>
      </c>
      <c r="AL70">
        <v>1785.2251999316097</v>
      </c>
      <c r="AM70">
        <v>367.27659390901266</v>
      </c>
      <c r="AO70">
        <v>42448.154403558503</v>
      </c>
      <c r="AP70">
        <v>13.3848068824395</v>
      </c>
      <c r="AQ70">
        <v>46767.172995036184</v>
      </c>
      <c r="AR70">
        <v>13.538013305016539</v>
      </c>
      <c r="AS70" s="2">
        <f t="shared" ref="AS70:AS133" si="7">AQ70-AO70</f>
        <v>4319.0185914776812</v>
      </c>
      <c r="AT70" s="2">
        <f t="shared" ref="AT70:AT133" si="8">AR70-AP70</f>
        <v>0.15320642257703909</v>
      </c>
      <c r="AV70">
        <f t="shared" ref="AV70:AV133" si="9">$AW$1*AP70-AO70</f>
        <v>1296032.5338403916</v>
      </c>
      <c r="AW70">
        <f t="shared" ref="AW70:AW133" si="10">$AW$1*AR70-AQ70</f>
        <v>1307034.1575066177</v>
      </c>
      <c r="AY70">
        <f t="shared" ref="AY70:AY133" si="11">IF(AV70=MAX($AV70:$AW70),1,0)</f>
        <v>0</v>
      </c>
      <c r="AZ70">
        <f t="shared" ref="AZ70:AZ133" si="12">IF(AW70=MAX($AV70:$AW70),1,0)</f>
        <v>1</v>
      </c>
    </row>
    <row r="71" spans="1:52" x14ac:dyDescent="0.2">
      <c r="A71">
        <f t="shared" si="6"/>
        <v>67</v>
      </c>
      <c r="B71">
        <v>1.9541481923850412E-2</v>
      </c>
      <c r="C71">
        <v>4.7827074079191179E-2</v>
      </c>
      <c r="D71">
        <v>3.9988166132544745E-2</v>
      </c>
      <c r="E71">
        <v>2.5072261354463486E-3</v>
      </c>
      <c r="F71">
        <v>3.3635813096449807E-3</v>
      </c>
      <c r="G71">
        <v>2.8885526489289986E-3</v>
      </c>
      <c r="H71">
        <v>2.578944291644051E-2</v>
      </c>
      <c r="I71">
        <v>0.13746465029021548</v>
      </c>
      <c r="J71">
        <v>0</v>
      </c>
      <c r="K71">
        <v>0.42110126928955821</v>
      </c>
      <c r="L71">
        <v>0.11348246010267463</v>
      </c>
      <c r="M71">
        <v>0.8865175398973254</v>
      </c>
      <c r="N71">
        <v>6.4386653132948113E-2</v>
      </c>
      <c r="O71" s="72">
        <v>0.99988743838330962</v>
      </c>
      <c r="P71">
        <v>0.99998162289936976</v>
      </c>
      <c r="Q71">
        <v>0.99406049620549897</v>
      </c>
      <c r="R71">
        <v>0.51214888051838359</v>
      </c>
      <c r="S71">
        <v>0.48730514910409539</v>
      </c>
      <c r="T71">
        <v>0.17777136225474033</v>
      </c>
      <c r="U71">
        <v>0.7582566505829702</v>
      </c>
      <c r="V71">
        <v>0.63748885365334695</v>
      </c>
      <c r="W71">
        <v>0.55888865510982955</v>
      </c>
      <c r="X71">
        <v>0.44678949506868304</v>
      </c>
      <c r="Y71">
        <v>0.44327864717148285</v>
      </c>
      <c r="Z71">
        <v>0.48014955003943949</v>
      </c>
      <c r="AA71">
        <v>0.72103775569632256</v>
      </c>
      <c r="AB71">
        <v>0.85464842734629975</v>
      </c>
      <c r="AC71">
        <v>0.70898807696210864</v>
      </c>
      <c r="AD71">
        <v>0.63722250602468167</v>
      </c>
      <c r="AE71">
        <v>188.58746622630363</v>
      </c>
      <c r="AF71">
        <v>1111.5297296643239</v>
      </c>
      <c r="AG71">
        <v>2068.4953153061788</v>
      </c>
      <c r="AH71">
        <v>8834.8468712789927</v>
      </c>
      <c r="AI71">
        <v>10725.677022245965</v>
      </c>
      <c r="AJ71">
        <v>39351.380081617288</v>
      </c>
      <c r="AK71">
        <v>12677.568204669731</v>
      </c>
      <c r="AL71">
        <v>1845.1226302529326</v>
      </c>
      <c r="AM71">
        <v>495.01743984934387</v>
      </c>
      <c r="AO71">
        <v>44079.268381892849</v>
      </c>
      <c r="AP71">
        <v>13.794482647628456</v>
      </c>
      <c r="AQ71">
        <v>48076.892311217278</v>
      </c>
      <c r="AR71">
        <v>14.018209334219483</v>
      </c>
      <c r="AS71" s="2">
        <f t="shared" si="7"/>
        <v>3997.6239293244289</v>
      </c>
      <c r="AT71" s="2">
        <f t="shared" si="8"/>
        <v>0.22372668659102679</v>
      </c>
      <c r="AV71">
        <f t="shared" si="9"/>
        <v>1335368.9963809527</v>
      </c>
      <c r="AW71">
        <f t="shared" si="10"/>
        <v>1353744.041110731</v>
      </c>
      <c r="AY71">
        <f t="shared" si="11"/>
        <v>0</v>
      </c>
      <c r="AZ71">
        <f t="shared" si="12"/>
        <v>1</v>
      </c>
    </row>
    <row r="72" spans="1:52" x14ac:dyDescent="0.2">
      <c r="A72">
        <f t="shared" ref="A72:A135" si="13">A71+1</f>
        <v>68</v>
      </c>
      <c r="B72">
        <v>2.2762890772375276E-2</v>
      </c>
      <c r="C72">
        <v>4.6760400197310759E-2</v>
      </c>
      <c r="D72">
        <v>5.0450296618540391E-2</v>
      </c>
      <c r="E72">
        <v>3.0274969028475079E-3</v>
      </c>
      <c r="F72">
        <v>3.3475822035842207E-3</v>
      </c>
      <c r="G72">
        <v>3.0938039377376048E-2</v>
      </c>
      <c r="H72">
        <v>1.0185401241362838E-2</v>
      </c>
      <c r="I72">
        <v>0.13107701952094353</v>
      </c>
      <c r="J72">
        <v>0</v>
      </c>
      <c r="K72">
        <v>0.47369350966261037</v>
      </c>
      <c r="L72">
        <v>0.21112768349772082</v>
      </c>
      <c r="M72">
        <v>0.78887231650227918</v>
      </c>
      <c r="N72">
        <v>5.5739458947584059E-2</v>
      </c>
      <c r="O72" s="72">
        <v>0.99935071525669661</v>
      </c>
      <c r="P72">
        <v>0.99999085577664404</v>
      </c>
      <c r="Q72">
        <v>0.99340371423650609</v>
      </c>
      <c r="R72">
        <v>0.50882367310513799</v>
      </c>
      <c r="S72">
        <v>0.41649721372769577</v>
      </c>
      <c r="T72">
        <v>0.20125195370625448</v>
      </c>
      <c r="U72">
        <v>0.79569707001599566</v>
      </c>
      <c r="V72">
        <v>0.62413182992562821</v>
      </c>
      <c r="W72">
        <v>0.5103621376596712</v>
      </c>
      <c r="X72">
        <v>0.40291311393346774</v>
      </c>
      <c r="Y72">
        <v>0.41926175838025692</v>
      </c>
      <c r="Z72">
        <v>0.48195308199057563</v>
      </c>
      <c r="AA72">
        <v>0.70067575733394705</v>
      </c>
      <c r="AB72">
        <v>0.74397709649498678</v>
      </c>
      <c r="AC72">
        <v>0.66804525154853867</v>
      </c>
      <c r="AD72">
        <v>0.64334340482638885</v>
      </c>
      <c r="AE72">
        <v>238.16970033157895</v>
      </c>
      <c r="AF72">
        <v>1159.4855182122496</v>
      </c>
      <c r="AG72">
        <v>1088.094238315557</v>
      </c>
      <c r="AH72">
        <v>16595.048027251167</v>
      </c>
      <c r="AI72">
        <v>12726.360983345152</v>
      </c>
      <c r="AJ72">
        <v>38581.608960617916</v>
      </c>
      <c r="AK72">
        <v>21502.984456145598</v>
      </c>
      <c r="AL72">
        <v>2165.3205943028179</v>
      </c>
      <c r="AM72">
        <v>541.21243771324202</v>
      </c>
      <c r="AO72">
        <v>45224.487771857996</v>
      </c>
      <c r="AP72">
        <v>12.281561810192215</v>
      </c>
      <c r="AQ72">
        <v>48914.317624744122</v>
      </c>
      <c r="AR72">
        <v>12.415459337736587</v>
      </c>
      <c r="AS72" s="2">
        <f t="shared" si="7"/>
        <v>3689.8298528861269</v>
      </c>
      <c r="AT72" s="2">
        <f t="shared" si="8"/>
        <v>0.1338975275443719</v>
      </c>
      <c r="AV72">
        <f t="shared" si="9"/>
        <v>1182931.6932473634</v>
      </c>
      <c r="AW72">
        <f t="shared" si="10"/>
        <v>1192631.6161489147</v>
      </c>
      <c r="AY72">
        <f t="shared" si="11"/>
        <v>0</v>
      </c>
      <c r="AZ72">
        <f t="shared" si="12"/>
        <v>1</v>
      </c>
    </row>
    <row r="73" spans="1:52" x14ac:dyDescent="0.2">
      <c r="A73">
        <f t="shared" si="13"/>
        <v>69</v>
      </c>
      <c r="B73">
        <v>2.3314135801957635E-2</v>
      </c>
      <c r="C73">
        <v>4.3327466431436701E-2</v>
      </c>
      <c r="D73">
        <v>5.6005911961636512E-2</v>
      </c>
      <c r="E73">
        <v>4.2026043127052666E-3</v>
      </c>
      <c r="F73">
        <v>3.3474644902863337E-3</v>
      </c>
      <c r="G73">
        <v>2.5495073530087065E-2</v>
      </c>
      <c r="H73">
        <v>3.0527413101014256E-2</v>
      </c>
      <c r="I73">
        <v>0.1307007446030547</v>
      </c>
      <c r="J73">
        <v>0</v>
      </c>
      <c r="K73">
        <v>0.43647312731853061</v>
      </c>
      <c r="L73">
        <v>0.27036970078383049</v>
      </c>
      <c r="M73">
        <v>0.72963029921616951</v>
      </c>
      <c r="N73">
        <v>5.1465302064214152E-2</v>
      </c>
      <c r="O73" s="72">
        <v>0.99990314082711318</v>
      </c>
      <c r="P73">
        <v>0.9999442793328992</v>
      </c>
      <c r="Q73">
        <v>0.97013532680269188</v>
      </c>
      <c r="R73">
        <v>0.46501678484375553</v>
      </c>
      <c r="S73">
        <v>0.42741518671320311</v>
      </c>
      <c r="T73">
        <v>0.30406336920594224</v>
      </c>
      <c r="U73">
        <v>0.76147073732134973</v>
      </c>
      <c r="V73">
        <v>0.64179835720333289</v>
      </c>
      <c r="W73">
        <v>0.40994920099506449</v>
      </c>
      <c r="X73">
        <v>0.47689284451527492</v>
      </c>
      <c r="Y73">
        <v>0.48244784143494468</v>
      </c>
      <c r="Z73">
        <v>0.44565774380564627</v>
      </c>
      <c r="AA73">
        <v>0.6462316747504655</v>
      </c>
      <c r="AB73">
        <v>0.76458689265262969</v>
      </c>
      <c r="AC73">
        <v>0.79801937446195126</v>
      </c>
      <c r="AD73">
        <v>0.68975633689000726</v>
      </c>
      <c r="AE73">
        <v>208.40528261550946</v>
      </c>
      <c r="AF73">
        <v>1043.894215829092</v>
      </c>
      <c r="AG73">
        <v>1803.3263250757925</v>
      </c>
      <c r="AH73">
        <v>13683.914773779847</v>
      </c>
      <c r="AI73">
        <v>11167.776784158697</v>
      </c>
      <c r="AJ73">
        <v>38275.004245240765</v>
      </c>
      <c r="AK73">
        <v>11400.740315237783</v>
      </c>
      <c r="AL73">
        <v>1860.130393950373</v>
      </c>
      <c r="AM73">
        <v>324.16195587095405</v>
      </c>
      <c r="AO73">
        <v>42158.617822949389</v>
      </c>
      <c r="AP73">
        <v>12.849282547156992</v>
      </c>
      <c r="AQ73">
        <v>45557.461105917464</v>
      </c>
      <c r="AR73">
        <v>13.000502844432237</v>
      </c>
      <c r="AS73" s="2">
        <f t="shared" si="7"/>
        <v>3398.8432829680751</v>
      </c>
      <c r="AT73" s="2">
        <f t="shared" si="8"/>
        <v>0.15122029727524477</v>
      </c>
      <c r="AV73">
        <f t="shared" si="9"/>
        <v>1242769.6368927499</v>
      </c>
      <c r="AW73">
        <f t="shared" si="10"/>
        <v>1254492.8233373063</v>
      </c>
      <c r="AY73">
        <f t="shared" si="11"/>
        <v>0</v>
      </c>
      <c r="AZ73">
        <f t="shared" si="12"/>
        <v>1</v>
      </c>
    </row>
    <row r="74" spans="1:52" x14ac:dyDescent="0.2">
      <c r="A74">
        <f t="shared" si="13"/>
        <v>70</v>
      </c>
      <c r="B74">
        <v>2.8716720279024055E-2</v>
      </c>
      <c r="C74">
        <v>4.42748066034514E-2</v>
      </c>
      <c r="D74">
        <v>4.7953446363569907E-2</v>
      </c>
      <c r="E74">
        <v>8.6152352729766263E-3</v>
      </c>
      <c r="F74">
        <v>3.2574327627955847E-3</v>
      </c>
      <c r="G74">
        <v>1.9698360122750724E-2</v>
      </c>
      <c r="H74">
        <v>1.3366620668215201E-2</v>
      </c>
      <c r="I74">
        <v>0.14339700020512491</v>
      </c>
      <c r="J74">
        <v>0</v>
      </c>
      <c r="K74">
        <v>0.45431953932488023</v>
      </c>
      <c r="L74">
        <v>0.13129307012640351</v>
      </c>
      <c r="M74">
        <v>0.86870692987359655</v>
      </c>
      <c r="N74">
        <v>4.9696619323285153E-2</v>
      </c>
      <c r="O74" s="72">
        <v>0.68340754722132657</v>
      </c>
      <c r="P74">
        <v>0.99969790652379009</v>
      </c>
      <c r="Q74">
        <v>0.9677805160931241</v>
      </c>
      <c r="R74">
        <v>0.52557867829430027</v>
      </c>
      <c r="S74">
        <v>0.4164935507101164</v>
      </c>
      <c r="T74">
        <v>0.28277481039719021</v>
      </c>
      <c r="U74">
        <v>0.77146402326033481</v>
      </c>
      <c r="V74">
        <v>0.63744220979587918</v>
      </c>
      <c r="W74">
        <v>0.53026173492235029</v>
      </c>
      <c r="X74">
        <v>0.41680470081529369</v>
      </c>
      <c r="Y74">
        <v>0.44529151262925859</v>
      </c>
      <c r="Z74">
        <v>0.41838844617636239</v>
      </c>
      <c r="AA74">
        <v>0.74058450293181877</v>
      </c>
      <c r="AB74">
        <v>0.85737303912378615</v>
      </c>
      <c r="AC74">
        <v>0.77590171237041217</v>
      </c>
      <c r="AD74">
        <v>0.57930037421915626</v>
      </c>
      <c r="AE74">
        <v>216.69469790917137</v>
      </c>
      <c r="AF74">
        <v>1147.3388577923247</v>
      </c>
      <c r="AG74">
        <v>2198.1151008314064</v>
      </c>
      <c r="AH74">
        <v>12672.689019362657</v>
      </c>
      <c r="AI74">
        <v>8284.7831732810882</v>
      </c>
      <c r="AJ74">
        <v>40171.761607881272</v>
      </c>
      <c r="AK74">
        <v>13983.0594269454</v>
      </c>
      <c r="AL74">
        <v>2479.036232336709</v>
      </c>
      <c r="AM74">
        <v>463.3339845913743</v>
      </c>
      <c r="AO74">
        <v>41731.91054787772</v>
      </c>
      <c r="AP74">
        <v>13.888812102245712</v>
      </c>
      <c r="AQ74">
        <v>49601.350079069423</v>
      </c>
      <c r="AR74">
        <v>14.081949083790718</v>
      </c>
      <c r="AS74" s="2">
        <f t="shared" si="7"/>
        <v>7869.4395311917033</v>
      </c>
      <c r="AT74" s="2">
        <f t="shared" si="8"/>
        <v>0.19313698154500614</v>
      </c>
      <c r="AV74">
        <f t="shared" si="9"/>
        <v>1347149.2996766935</v>
      </c>
      <c r="AW74">
        <f t="shared" si="10"/>
        <v>1358593.5583000025</v>
      </c>
      <c r="AY74">
        <f t="shared" si="11"/>
        <v>0</v>
      </c>
      <c r="AZ74">
        <f t="shared" si="12"/>
        <v>1</v>
      </c>
    </row>
    <row r="75" spans="1:52" x14ac:dyDescent="0.2">
      <c r="A75">
        <f t="shared" si="13"/>
        <v>71</v>
      </c>
      <c r="B75">
        <v>1.911759171754402E-2</v>
      </c>
      <c r="C75">
        <v>4.1360490622566526E-2</v>
      </c>
      <c r="D75">
        <v>4.9699562009184017E-2</v>
      </c>
      <c r="E75">
        <v>1.3337882510824794E-2</v>
      </c>
      <c r="F75">
        <v>3.3193714646645909E-3</v>
      </c>
      <c r="G75">
        <v>6.6925162172122386E-3</v>
      </c>
      <c r="H75">
        <v>2.3489995218048346E-2</v>
      </c>
      <c r="I75">
        <v>0.14876829710667017</v>
      </c>
      <c r="J75">
        <v>0</v>
      </c>
      <c r="K75">
        <v>0.3969589020342652</v>
      </c>
      <c r="L75">
        <v>0.21051254394562302</v>
      </c>
      <c r="M75">
        <v>0.78948745605437698</v>
      </c>
      <c r="N75">
        <v>5.9153119736572779E-2</v>
      </c>
      <c r="O75" s="72">
        <v>0.98883603432727096</v>
      </c>
      <c r="P75">
        <v>0.99858272893168665</v>
      </c>
      <c r="Q75">
        <v>0.92836577070467619</v>
      </c>
      <c r="R75">
        <v>0.50128639925737262</v>
      </c>
      <c r="S75">
        <v>0.34106647605647322</v>
      </c>
      <c r="T75">
        <v>0.27851981265125259</v>
      </c>
      <c r="U75">
        <v>0.75422643251990351</v>
      </c>
      <c r="V75">
        <v>0.62474063225792975</v>
      </c>
      <c r="W75">
        <v>0.59064073502211423</v>
      </c>
      <c r="X75">
        <v>0.43273923769751421</v>
      </c>
      <c r="Y75">
        <v>0.41979139089720507</v>
      </c>
      <c r="Z75">
        <v>0.47563599258457312</v>
      </c>
      <c r="AA75">
        <v>0.70542425701362066</v>
      </c>
      <c r="AB75">
        <v>0.78233037887152224</v>
      </c>
      <c r="AC75">
        <v>0.72597008886479208</v>
      </c>
      <c r="AD75">
        <v>0.67114690239690589</v>
      </c>
      <c r="AE75">
        <v>199.77842133718727</v>
      </c>
      <c r="AF75">
        <v>1181.043995785732</v>
      </c>
      <c r="AG75">
        <v>1954.5730304561066</v>
      </c>
      <c r="AH75">
        <v>15172.377137183519</v>
      </c>
      <c r="AI75">
        <v>9827.9782390589517</v>
      </c>
      <c r="AJ75">
        <v>34749.403894757248</v>
      </c>
      <c r="AK75">
        <v>15633.158599003822</v>
      </c>
      <c r="AL75">
        <v>1596.0821811840267</v>
      </c>
      <c r="AM75">
        <v>449.05256180583569</v>
      </c>
      <c r="AO75">
        <v>43571.774205521971</v>
      </c>
      <c r="AP75">
        <v>12.918273264315376</v>
      </c>
      <c r="AQ75">
        <v>47800.736075880115</v>
      </c>
      <c r="AR75">
        <v>13.087635186474394</v>
      </c>
      <c r="AS75" s="2">
        <f t="shared" si="7"/>
        <v>4228.9618703581436</v>
      </c>
      <c r="AT75" s="2">
        <f t="shared" si="8"/>
        <v>0.16936192215901791</v>
      </c>
      <c r="AV75">
        <f t="shared" si="9"/>
        <v>1248255.5522260156</v>
      </c>
      <c r="AW75">
        <f t="shared" si="10"/>
        <v>1260962.7825715593</v>
      </c>
      <c r="AY75">
        <f t="shared" si="11"/>
        <v>0</v>
      </c>
      <c r="AZ75">
        <f t="shared" si="12"/>
        <v>1</v>
      </c>
    </row>
    <row r="76" spans="1:52" x14ac:dyDescent="0.2">
      <c r="A76">
        <f t="shared" si="13"/>
        <v>72</v>
      </c>
      <c r="B76">
        <v>2.2050890661703348E-2</v>
      </c>
      <c r="C76">
        <v>5.6491249265853138E-2</v>
      </c>
      <c r="D76">
        <v>4.4903117253387137E-2</v>
      </c>
      <c r="E76">
        <v>5.319569651427017E-3</v>
      </c>
      <c r="F76">
        <v>3.2810466946833305E-3</v>
      </c>
      <c r="G76">
        <v>2.839047966904261E-3</v>
      </c>
      <c r="H76">
        <v>5.136294959730503E-2</v>
      </c>
      <c r="I76">
        <v>0.12881722553842181</v>
      </c>
      <c r="J76">
        <v>0</v>
      </c>
      <c r="K76">
        <v>0.42396952211135397</v>
      </c>
      <c r="L76">
        <v>0.23695913194503371</v>
      </c>
      <c r="M76">
        <v>0.76304086805496629</v>
      </c>
      <c r="N76">
        <v>4.9774520622331266E-2</v>
      </c>
      <c r="O76" s="72">
        <v>0.99963993240162674</v>
      </c>
      <c r="P76">
        <v>0.99985824545743063</v>
      </c>
      <c r="Q76">
        <v>0.96311588601576892</v>
      </c>
      <c r="R76">
        <v>0.47973013982553758</v>
      </c>
      <c r="S76">
        <v>0.43106327439216963</v>
      </c>
      <c r="T76">
        <v>0.2323913432783189</v>
      </c>
      <c r="U76">
        <v>0.74704234965284033</v>
      </c>
      <c r="V76">
        <v>0.66012252721539955</v>
      </c>
      <c r="W76">
        <v>0.54726385329588323</v>
      </c>
      <c r="X76">
        <v>0.44601232955319592</v>
      </c>
      <c r="Y76">
        <v>0.455322898185894</v>
      </c>
      <c r="Z76">
        <v>0.42293195347942758</v>
      </c>
      <c r="AA76">
        <v>0.71631530248006348</v>
      </c>
      <c r="AB76">
        <v>0.77581727647595389</v>
      </c>
      <c r="AC76">
        <v>0.79606288771592792</v>
      </c>
      <c r="AD76">
        <v>0.56499592290830047</v>
      </c>
      <c r="AE76">
        <v>262.85975301452208</v>
      </c>
      <c r="AF76">
        <v>1120.1665535072163</v>
      </c>
      <c r="AG76">
        <v>1486.3640541275593</v>
      </c>
      <c r="AH76">
        <v>11620.75103569032</v>
      </c>
      <c r="AI76">
        <v>8061.1321023460705</v>
      </c>
      <c r="AJ76">
        <v>46949.582029996782</v>
      </c>
      <c r="AK76">
        <v>15052.027190586072</v>
      </c>
      <c r="AL76">
        <v>1841.2345266158138</v>
      </c>
      <c r="AM76">
        <v>390.80627180693205</v>
      </c>
      <c r="AO76">
        <v>43476.16114449648</v>
      </c>
      <c r="AP76">
        <v>12.847359366462246</v>
      </c>
      <c r="AQ76">
        <v>46640.031847627106</v>
      </c>
      <c r="AR76">
        <v>12.984396647813025</v>
      </c>
      <c r="AS76" s="2">
        <f t="shared" si="7"/>
        <v>3163.8707031306258</v>
      </c>
      <c r="AT76" s="2">
        <f t="shared" si="8"/>
        <v>0.13703728135077853</v>
      </c>
      <c r="AV76">
        <f t="shared" si="9"/>
        <v>1241259.7755017283</v>
      </c>
      <c r="AW76">
        <f t="shared" si="10"/>
        <v>1251799.6329336753</v>
      </c>
      <c r="AY76">
        <f t="shared" si="11"/>
        <v>0</v>
      </c>
      <c r="AZ76">
        <f t="shared" si="12"/>
        <v>1</v>
      </c>
    </row>
    <row r="77" spans="1:52" x14ac:dyDescent="0.2">
      <c r="A77">
        <f t="shared" si="13"/>
        <v>73</v>
      </c>
      <c r="B77">
        <v>2.8503542770869861E-2</v>
      </c>
      <c r="C77">
        <v>4.7219676184980686E-2</v>
      </c>
      <c r="D77">
        <v>3.1878204069553016E-2</v>
      </c>
      <c r="E77">
        <v>1.7044434259961827E-2</v>
      </c>
      <c r="F77">
        <v>3.2978340835393477E-3</v>
      </c>
      <c r="G77">
        <v>2.1627713958529467E-3</v>
      </c>
      <c r="H77">
        <v>4.1749648710752707E-2</v>
      </c>
      <c r="I77">
        <v>0.14937692692822546</v>
      </c>
      <c r="J77">
        <v>0</v>
      </c>
      <c r="K77">
        <v>0.42842972060681989</v>
      </c>
      <c r="L77">
        <v>0.22496392453242808</v>
      </c>
      <c r="M77">
        <v>0.77503607546757192</v>
      </c>
      <c r="N77">
        <v>4.9565484108025012E-2</v>
      </c>
      <c r="O77" s="72">
        <v>0.99792288367618043</v>
      </c>
      <c r="P77">
        <v>0.99987706978544622</v>
      </c>
      <c r="Q77">
        <v>0.98059671373915469</v>
      </c>
      <c r="R77">
        <v>0.48759974693369657</v>
      </c>
      <c r="S77">
        <v>0.37984265782213655</v>
      </c>
      <c r="T77">
        <v>0.21908222940657296</v>
      </c>
      <c r="U77">
        <v>0.76893122474714082</v>
      </c>
      <c r="V77">
        <v>0.74244189199505284</v>
      </c>
      <c r="W77">
        <v>0.59112416249082878</v>
      </c>
      <c r="X77">
        <v>0.42095703061474438</v>
      </c>
      <c r="Y77">
        <v>0.40884547507449404</v>
      </c>
      <c r="Z77">
        <v>0.47723182413364496</v>
      </c>
      <c r="AA77">
        <v>0.70094598682145137</v>
      </c>
      <c r="AB77">
        <v>0.87089675592793281</v>
      </c>
      <c r="AC77">
        <v>0.76042849587106909</v>
      </c>
      <c r="AD77">
        <v>0.61340298190695663</v>
      </c>
      <c r="AE77">
        <v>220.08825987288523</v>
      </c>
      <c r="AF77">
        <v>985.7221028767417</v>
      </c>
      <c r="AG77">
        <v>1614.8285069546669</v>
      </c>
      <c r="AH77">
        <v>17755.162438336578</v>
      </c>
      <c r="AI77">
        <v>13164.771219589948</v>
      </c>
      <c r="AJ77">
        <v>38303.660710283017</v>
      </c>
      <c r="AK77">
        <v>7009.0231639436506</v>
      </c>
      <c r="AL77">
        <v>1482.9801652630347</v>
      </c>
      <c r="AM77">
        <v>300.70380300888348</v>
      </c>
      <c r="AO77">
        <v>42662.590308737621</v>
      </c>
      <c r="AP77">
        <v>14.067777025782327</v>
      </c>
      <c r="AQ77">
        <v>45209.337225619485</v>
      </c>
      <c r="AR77">
        <v>14.303348386716085</v>
      </c>
      <c r="AS77" s="2">
        <f t="shared" si="7"/>
        <v>2546.7469168818643</v>
      </c>
      <c r="AT77" s="2">
        <f t="shared" si="8"/>
        <v>0.23557136093375775</v>
      </c>
      <c r="AV77">
        <f t="shared" si="9"/>
        <v>1364115.1122694949</v>
      </c>
      <c r="AW77">
        <f t="shared" si="10"/>
        <v>1385125.5014459889</v>
      </c>
      <c r="AY77">
        <f t="shared" si="11"/>
        <v>0</v>
      </c>
      <c r="AZ77">
        <f t="shared" si="12"/>
        <v>1</v>
      </c>
    </row>
    <row r="78" spans="1:52" x14ac:dyDescent="0.2">
      <c r="A78">
        <f t="shared" si="13"/>
        <v>74</v>
      </c>
      <c r="B78">
        <v>3.0759975565818776E-2</v>
      </c>
      <c r="C78">
        <v>3.402950705888131E-2</v>
      </c>
      <c r="D78">
        <v>4.2631648197979044E-2</v>
      </c>
      <c r="E78">
        <v>1.6085931486878091E-2</v>
      </c>
      <c r="F78">
        <v>3.4537165856046714E-3</v>
      </c>
      <c r="G78">
        <v>1.044014664486465E-2</v>
      </c>
      <c r="H78">
        <v>3.1097164800237054E-2</v>
      </c>
      <c r="I78">
        <v>0.13749950504555652</v>
      </c>
      <c r="J78">
        <v>0</v>
      </c>
      <c r="K78">
        <v>0.44336672571489677</v>
      </c>
      <c r="L78">
        <v>0.16175251118697834</v>
      </c>
      <c r="M78">
        <v>0.83824748881302169</v>
      </c>
      <c r="N78">
        <v>7.143987741413349E-2</v>
      </c>
      <c r="O78" s="72">
        <v>0.99679706290974679</v>
      </c>
      <c r="P78">
        <v>0.99999989136173739</v>
      </c>
      <c r="Q78">
        <v>0.92327708188422397</v>
      </c>
      <c r="R78">
        <v>0.48514426106125297</v>
      </c>
      <c r="S78">
        <v>0.40242401349626744</v>
      </c>
      <c r="T78">
        <v>0.23094751817310322</v>
      </c>
      <c r="U78">
        <v>0.76116800005712926</v>
      </c>
      <c r="V78">
        <v>0.65194682071958909</v>
      </c>
      <c r="W78">
        <v>0.59644731752355962</v>
      </c>
      <c r="X78">
        <v>0.43363586392627923</v>
      </c>
      <c r="Y78">
        <v>0.50263833098058242</v>
      </c>
      <c r="Z78">
        <v>0.44720251886854945</v>
      </c>
      <c r="AA78">
        <v>0.63021983070170973</v>
      </c>
      <c r="AB78">
        <v>0.71670000283526647</v>
      </c>
      <c r="AC78">
        <v>0.71961912361652691</v>
      </c>
      <c r="AD78">
        <v>0.58262333349994255</v>
      </c>
      <c r="AE78">
        <v>190.63613934770979</v>
      </c>
      <c r="AF78">
        <v>979.40370241506298</v>
      </c>
      <c r="AG78">
        <v>2158.4476907005951</v>
      </c>
      <c r="AH78">
        <v>12951.497885468705</v>
      </c>
      <c r="AI78">
        <v>9336.8094629059979</v>
      </c>
      <c r="AJ78">
        <v>37412.657266408234</v>
      </c>
      <c r="AK78">
        <v>14456.893291961152</v>
      </c>
      <c r="AL78">
        <v>2060.2646771121445</v>
      </c>
      <c r="AM78">
        <v>352.58692943553569</v>
      </c>
      <c r="AO78">
        <v>42892.665486278282</v>
      </c>
      <c r="AP78">
        <v>11.97183113730291</v>
      </c>
      <c r="AQ78">
        <v>46196.55639076927</v>
      </c>
      <c r="AR78">
        <v>12.045754725093012</v>
      </c>
      <c r="AS78" s="2">
        <f t="shared" si="7"/>
        <v>3303.8909044909888</v>
      </c>
      <c r="AT78" s="2">
        <f t="shared" si="8"/>
        <v>7.3923587790101664E-2</v>
      </c>
      <c r="AV78">
        <f t="shared" si="9"/>
        <v>1154290.4482440129</v>
      </c>
      <c r="AW78">
        <f t="shared" si="10"/>
        <v>1158378.916118532</v>
      </c>
      <c r="AY78">
        <f t="shared" si="11"/>
        <v>0</v>
      </c>
      <c r="AZ78">
        <f t="shared" si="12"/>
        <v>1</v>
      </c>
    </row>
    <row r="79" spans="1:52" x14ac:dyDescent="0.2">
      <c r="A79">
        <f t="shared" si="13"/>
        <v>75</v>
      </c>
      <c r="B79">
        <v>2.6601601608883918E-2</v>
      </c>
      <c r="C79">
        <v>2.5254707797272128E-2</v>
      </c>
      <c r="D79">
        <v>3.4608116226513913E-2</v>
      </c>
      <c r="E79">
        <v>3.3610877986815946E-2</v>
      </c>
      <c r="F79">
        <v>3.3487183165171741E-3</v>
      </c>
      <c r="G79">
        <v>1.5444479640916442E-2</v>
      </c>
      <c r="H79">
        <v>2.6931103100839938E-2</v>
      </c>
      <c r="I79">
        <v>0.13502239373412128</v>
      </c>
      <c r="J79">
        <v>0</v>
      </c>
      <c r="K79">
        <v>0.37680505175585433</v>
      </c>
      <c r="L79">
        <v>0.17895173185147281</v>
      </c>
      <c r="M79">
        <v>0.82104826814852716</v>
      </c>
      <c r="N79">
        <v>6.6166586622048995E-2</v>
      </c>
      <c r="O79" s="72">
        <v>0.9916270008285244</v>
      </c>
      <c r="P79">
        <v>0.99970126966429795</v>
      </c>
      <c r="Q79">
        <v>0.94780337248045776</v>
      </c>
      <c r="R79">
        <v>0.52608435488989591</v>
      </c>
      <c r="S79">
        <v>0.36987032442274159</v>
      </c>
      <c r="T79">
        <v>0.20365296338379713</v>
      </c>
      <c r="U79">
        <v>0.77548654091528357</v>
      </c>
      <c r="V79">
        <v>0.69695019045417061</v>
      </c>
      <c r="W79">
        <v>0.49340425052063824</v>
      </c>
      <c r="X79">
        <v>0.45423516933778663</v>
      </c>
      <c r="Y79">
        <v>0.44044674931344957</v>
      </c>
      <c r="Z79">
        <v>0.41111332147909824</v>
      </c>
      <c r="AA79">
        <v>0.71041375600890766</v>
      </c>
      <c r="AB79">
        <v>0.86632643808322007</v>
      </c>
      <c r="AC79">
        <v>0.67445879529514718</v>
      </c>
      <c r="AD79">
        <v>0.58155819596391267</v>
      </c>
      <c r="AE79">
        <v>201.36746583973425</v>
      </c>
      <c r="AF79">
        <v>970.93123931010211</v>
      </c>
      <c r="AG79">
        <v>1645.6168234100521</v>
      </c>
      <c r="AH79">
        <v>15710.694509687683</v>
      </c>
      <c r="AI79">
        <v>9875.9262516353356</v>
      </c>
      <c r="AJ79">
        <v>34774.167828985475</v>
      </c>
      <c r="AK79">
        <v>20898.681287565858</v>
      </c>
      <c r="AL79">
        <v>2582.5195783111253</v>
      </c>
      <c r="AM79">
        <v>306.48146234354618</v>
      </c>
      <c r="AO79">
        <v>41022.53028175448</v>
      </c>
      <c r="AP79">
        <v>13.78429096522207</v>
      </c>
      <c r="AQ79">
        <v>45421.726894415398</v>
      </c>
      <c r="AR79">
        <v>14.038812506910819</v>
      </c>
      <c r="AS79" s="2">
        <f t="shared" si="7"/>
        <v>4399.1966126609186</v>
      </c>
      <c r="AT79" s="2">
        <f t="shared" si="8"/>
        <v>0.25452154168874941</v>
      </c>
      <c r="AV79">
        <f t="shared" si="9"/>
        <v>1337406.5662404525</v>
      </c>
      <c r="AW79">
        <f t="shared" si="10"/>
        <v>1358459.5237966664</v>
      </c>
      <c r="AY79">
        <f t="shared" si="11"/>
        <v>0</v>
      </c>
      <c r="AZ79">
        <f t="shared" si="12"/>
        <v>1</v>
      </c>
    </row>
    <row r="80" spans="1:52" x14ac:dyDescent="0.2">
      <c r="A80">
        <f t="shared" si="13"/>
        <v>76</v>
      </c>
      <c r="B80">
        <v>1.731108300754974E-2</v>
      </c>
      <c r="C80">
        <v>4.002640713238792E-2</v>
      </c>
      <c r="D80">
        <v>3.3548782741518964E-2</v>
      </c>
      <c r="E80">
        <v>1.7984148525267307E-2</v>
      </c>
      <c r="F80">
        <v>3.2661831902273415E-3</v>
      </c>
      <c r="G80">
        <v>1.1211427309028894E-2</v>
      </c>
      <c r="H80">
        <v>1.9183882618481092E-2</v>
      </c>
      <c r="I80">
        <v>0.10942248297424396</v>
      </c>
      <c r="J80">
        <v>0</v>
      </c>
      <c r="K80">
        <v>0.40445345236192465</v>
      </c>
      <c r="L80">
        <v>0.17752355256405253</v>
      </c>
      <c r="M80">
        <v>0.8224764474359475</v>
      </c>
      <c r="N80">
        <v>4.2721474616982773E-2</v>
      </c>
      <c r="O80" s="72">
        <v>0.99462618936232705</v>
      </c>
      <c r="P80">
        <v>0.99610454551230476</v>
      </c>
      <c r="Q80">
        <v>0.99041043492450431</v>
      </c>
      <c r="R80">
        <v>0.49933179777060244</v>
      </c>
      <c r="S80">
        <v>0.45651515562955702</v>
      </c>
      <c r="T80">
        <v>9.3094752691129989E-2</v>
      </c>
      <c r="U80">
        <v>0.75337787972809578</v>
      </c>
      <c r="V80">
        <v>0.66075783143868072</v>
      </c>
      <c r="W80">
        <v>0.52607021754463756</v>
      </c>
      <c r="X80">
        <v>0.44462884259043151</v>
      </c>
      <c r="Y80">
        <v>0.43260273315837683</v>
      </c>
      <c r="Z80">
        <v>0.42525593674302414</v>
      </c>
      <c r="AA80">
        <v>0.65718480201100904</v>
      </c>
      <c r="AB80">
        <v>0.8448949599825053</v>
      </c>
      <c r="AC80">
        <v>0.79425494171394329</v>
      </c>
      <c r="AD80">
        <v>0.63553553934485163</v>
      </c>
      <c r="AE80">
        <v>245.52196036070819</v>
      </c>
      <c r="AF80">
        <v>1038.0531297862169</v>
      </c>
      <c r="AG80">
        <v>1871.3297725896346</v>
      </c>
      <c r="AH80">
        <v>20136.542682257965</v>
      </c>
      <c r="AI80">
        <v>10850.094941249732</v>
      </c>
      <c r="AJ80">
        <v>41588.550802483522</v>
      </c>
      <c r="AK80">
        <v>16390.451911690372</v>
      </c>
      <c r="AL80">
        <v>1767.2403752503405</v>
      </c>
      <c r="AM80">
        <v>365.91495459278201</v>
      </c>
      <c r="AO80">
        <v>47205.978993282588</v>
      </c>
      <c r="AP80">
        <v>13.718878658159825</v>
      </c>
      <c r="AQ80">
        <v>46503.895859463933</v>
      </c>
      <c r="AR80">
        <v>14.035573362972253</v>
      </c>
      <c r="AS80" s="2">
        <f t="shared" si="7"/>
        <v>-702.08313381865446</v>
      </c>
      <c r="AT80" s="2">
        <f t="shared" si="8"/>
        <v>0.31669470481242712</v>
      </c>
      <c r="AV80">
        <f t="shared" si="9"/>
        <v>1324681.8868226998</v>
      </c>
      <c r="AW80">
        <f t="shared" si="10"/>
        <v>1357053.4404377614</v>
      </c>
      <c r="AY80">
        <f t="shared" si="11"/>
        <v>0</v>
      </c>
      <c r="AZ80">
        <f t="shared" si="12"/>
        <v>1</v>
      </c>
    </row>
    <row r="81" spans="1:52" x14ac:dyDescent="0.2">
      <c r="A81">
        <f t="shared" si="13"/>
        <v>77</v>
      </c>
      <c r="B81">
        <v>2.1442345808551051E-2</v>
      </c>
      <c r="C81">
        <v>3.1905857164502206E-2</v>
      </c>
      <c r="D81">
        <v>2.5952209921762739E-2</v>
      </c>
      <c r="E81">
        <v>1.009499134400095E-2</v>
      </c>
      <c r="F81">
        <v>3.3747689007235238E-3</v>
      </c>
      <c r="G81">
        <v>1.3676584480111331E-2</v>
      </c>
      <c r="H81">
        <v>2.7575340884826782E-2</v>
      </c>
      <c r="I81">
        <v>0.11196745978902875</v>
      </c>
      <c r="J81">
        <v>0</v>
      </c>
      <c r="K81">
        <v>0.47084173627660664</v>
      </c>
      <c r="L81">
        <v>0.28588837500489928</v>
      </c>
      <c r="M81">
        <v>0.71411162499510072</v>
      </c>
      <c r="N81">
        <v>7.6661489880063827E-2</v>
      </c>
      <c r="O81" s="72">
        <v>0.99779876748731389</v>
      </c>
      <c r="P81">
        <v>0.99339223934185039</v>
      </c>
      <c r="Q81">
        <v>0.87332533020619496</v>
      </c>
      <c r="R81">
        <v>0.44280716896312389</v>
      </c>
      <c r="S81">
        <v>0.36124299179814767</v>
      </c>
      <c r="T81">
        <v>0.43662472114176309</v>
      </c>
      <c r="U81">
        <v>0.76270831624360069</v>
      </c>
      <c r="V81">
        <v>0.64850173493014807</v>
      </c>
      <c r="W81">
        <v>0.43363866856777628</v>
      </c>
      <c r="X81">
        <v>0.39943362209696748</v>
      </c>
      <c r="Y81">
        <v>0.48478539317149638</v>
      </c>
      <c r="Z81">
        <v>0.47747611860784256</v>
      </c>
      <c r="AA81">
        <v>0.7001262494267726</v>
      </c>
      <c r="AB81">
        <v>0.8072700241800943</v>
      </c>
      <c r="AC81">
        <v>0.73034962178412277</v>
      </c>
      <c r="AD81">
        <v>0.63629279885751755</v>
      </c>
      <c r="AE81">
        <v>220.55956549712488</v>
      </c>
      <c r="AF81">
        <v>936.98230284530518</v>
      </c>
      <c r="AG81">
        <v>1943.0061486526779</v>
      </c>
      <c r="AH81">
        <v>12931.668044070702</v>
      </c>
      <c r="AI81">
        <v>11188.094501319501</v>
      </c>
      <c r="AJ81">
        <v>55387.744563391898</v>
      </c>
      <c r="AK81">
        <v>20462.956280417176</v>
      </c>
      <c r="AL81">
        <v>2010.8410864712434</v>
      </c>
      <c r="AM81">
        <v>340.86870198212182</v>
      </c>
      <c r="AO81">
        <v>43035.323671650745</v>
      </c>
      <c r="AP81">
        <v>13.255204285092052</v>
      </c>
      <c r="AQ81">
        <v>46457.61199051061</v>
      </c>
      <c r="AR81">
        <v>13.39206011834573</v>
      </c>
      <c r="AS81" s="2">
        <f t="shared" si="7"/>
        <v>3422.2883188598644</v>
      </c>
      <c r="AT81" s="2">
        <f t="shared" si="8"/>
        <v>0.13685583325367823</v>
      </c>
      <c r="AV81">
        <f t="shared" si="9"/>
        <v>1282485.1048375543</v>
      </c>
      <c r="AW81">
        <f t="shared" si="10"/>
        <v>1292748.3998440623</v>
      </c>
      <c r="AY81">
        <f t="shared" si="11"/>
        <v>0</v>
      </c>
      <c r="AZ81">
        <f t="shared" si="12"/>
        <v>1</v>
      </c>
    </row>
    <row r="82" spans="1:52" x14ac:dyDescent="0.2">
      <c r="A82">
        <f t="shared" si="13"/>
        <v>78</v>
      </c>
      <c r="B82">
        <v>2.8775206106389506E-2</v>
      </c>
      <c r="C82">
        <v>3.7272355515395983E-2</v>
      </c>
      <c r="D82">
        <v>3.9350689529380145E-2</v>
      </c>
      <c r="E82">
        <v>1.1948178670186049E-2</v>
      </c>
      <c r="F82">
        <v>3.4172218309499458E-3</v>
      </c>
      <c r="G82">
        <v>9.3176902884640148E-3</v>
      </c>
      <c r="H82">
        <v>5.559115679754878E-2</v>
      </c>
      <c r="I82">
        <v>0.13146192061175255</v>
      </c>
      <c r="J82">
        <v>0</v>
      </c>
      <c r="K82">
        <v>0.47082141746980222</v>
      </c>
      <c r="L82">
        <v>0.2629200154598148</v>
      </c>
      <c r="M82">
        <v>0.7370799845401852</v>
      </c>
      <c r="N82">
        <v>7.7269772559983796E-2</v>
      </c>
      <c r="O82" s="72">
        <v>0.999998512373653</v>
      </c>
      <c r="P82">
        <v>0.99803256264352369</v>
      </c>
      <c r="Q82">
        <v>0.97732070707060203</v>
      </c>
      <c r="R82">
        <v>0.47905470690856422</v>
      </c>
      <c r="S82">
        <v>0.37637825483408571</v>
      </c>
      <c r="T82">
        <v>0.22753585820272482</v>
      </c>
      <c r="U82">
        <v>0.7857206086573576</v>
      </c>
      <c r="V82">
        <v>0.65719385442996181</v>
      </c>
      <c r="W82">
        <v>0.56255171300171525</v>
      </c>
      <c r="X82">
        <v>0.42490045853925507</v>
      </c>
      <c r="Y82">
        <v>0.47760380780340783</v>
      </c>
      <c r="Z82">
        <v>0.451531705435678</v>
      </c>
      <c r="AA82">
        <v>0.71948139606785633</v>
      </c>
      <c r="AB82">
        <v>0.77449437813376876</v>
      </c>
      <c r="AC82">
        <v>0.78741590817405749</v>
      </c>
      <c r="AD82">
        <v>0.63166617509188649</v>
      </c>
      <c r="AE82">
        <v>155.35943014515624</v>
      </c>
      <c r="AF82">
        <v>1180.3437570228402</v>
      </c>
      <c r="AG82">
        <v>1772.0422050762088</v>
      </c>
      <c r="AH82">
        <v>17362.973293492789</v>
      </c>
      <c r="AI82">
        <v>8730.6037689874138</v>
      </c>
      <c r="AJ82">
        <v>42529.995320324495</v>
      </c>
      <c r="AK82">
        <v>11452.904165977725</v>
      </c>
      <c r="AL82">
        <v>1538.9097819741974</v>
      </c>
      <c r="AM82">
        <v>295.8348504948251</v>
      </c>
      <c r="AO82">
        <v>42943.752743083758</v>
      </c>
      <c r="AP82">
        <v>12.908371172310975</v>
      </c>
      <c r="AQ82">
        <v>45198.244328247019</v>
      </c>
      <c r="AR82">
        <v>13.039808663327186</v>
      </c>
      <c r="AS82" s="2">
        <f t="shared" si="7"/>
        <v>2254.4915851632613</v>
      </c>
      <c r="AT82" s="2">
        <f t="shared" si="8"/>
        <v>0.13143749101621083</v>
      </c>
      <c r="AV82">
        <f t="shared" si="9"/>
        <v>1247893.3644880138</v>
      </c>
      <c r="AW82">
        <f t="shared" si="10"/>
        <v>1258782.6220044717</v>
      </c>
      <c r="AY82">
        <f t="shared" si="11"/>
        <v>0</v>
      </c>
      <c r="AZ82">
        <f t="shared" si="12"/>
        <v>1</v>
      </c>
    </row>
    <row r="83" spans="1:52" x14ac:dyDescent="0.2">
      <c r="A83">
        <f t="shared" si="13"/>
        <v>79</v>
      </c>
      <c r="B83">
        <v>3.2522126268014095E-2</v>
      </c>
      <c r="C83">
        <v>4.0110626318847875E-2</v>
      </c>
      <c r="D83">
        <v>2.6909845533202897E-2</v>
      </c>
      <c r="E83">
        <v>2.5438738252801185E-2</v>
      </c>
      <c r="F83">
        <v>3.2715979068290318E-3</v>
      </c>
      <c r="G83">
        <v>4.1720470455447519E-3</v>
      </c>
      <c r="H83">
        <v>3.7383085628744372E-2</v>
      </c>
      <c r="I83">
        <v>0.1413989495865986</v>
      </c>
      <c r="J83">
        <v>0</v>
      </c>
      <c r="K83">
        <v>0.48805818810787549</v>
      </c>
      <c r="L83">
        <v>0.27859941055830428</v>
      </c>
      <c r="M83">
        <v>0.72140058944169572</v>
      </c>
      <c r="N83">
        <v>4.0891148284109551E-2</v>
      </c>
      <c r="O83" s="72">
        <v>0.99997390254381735</v>
      </c>
      <c r="P83">
        <v>0.99999967608574436</v>
      </c>
      <c r="Q83">
        <v>0.99567392264634702</v>
      </c>
      <c r="R83">
        <v>0.52515550166144132</v>
      </c>
      <c r="S83">
        <v>0.41055433471548153</v>
      </c>
      <c r="T83">
        <v>0.30465298664052054</v>
      </c>
      <c r="U83">
        <v>0.74679906615227265</v>
      </c>
      <c r="V83">
        <v>0.66357739289894302</v>
      </c>
      <c r="W83">
        <v>0.55229509349755124</v>
      </c>
      <c r="X83">
        <v>0.42887664040642265</v>
      </c>
      <c r="Y83">
        <v>0.48950891927255147</v>
      </c>
      <c r="Z83">
        <v>0.44170842311739783</v>
      </c>
      <c r="AA83">
        <v>0.68118841811210518</v>
      </c>
      <c r="AB83">
        <v>0.7488187543404704</v>
      </c>
      <c r="AC83">
        <v>0.71534892558743013</v>
      </c>
      <c r="AD83">
        <v>0.60447833876559875</v>
      </c>
      <c r="AE83">
        <v>248.87385231348051</v>
      </c>
      <c r="AF83">
        <v>883.16593176664446</v>
      </c>
      <c r="AG83">
        <v>2010.4714894838758</v>
      </c>
      <c r="AH83">
        <v>12556.88139268916</v>
      </c>
      <c r="AI83">
        <v>13139.10380565279</v>
      </c>
      <c r="AJ83">
        <v>26255.484026255555</v>
      </c>
      <c r="AK83">
        <v>25324.826388057034</v>
      </c>
      <c r="AL83">
        <v>1592.8607451661735</v>
      </c>
      <c r="AM83">
        <v>382.69788735888289</v>
      </c>
      <c r="AO83">
        <v>40174.536795345586</v>
      </c>
      <c r="AP83">
        <v>12.407277893258518</v>
      </c>
      <c r="AQ83">
        <v>46391.481076726232</v>
      </c>
      <c r="AR83">
        <v>12.517403865348472</v>
      </c>
      <c r="AS83" s="2">
        <f t="shared" si="7"/>
        <v>6216.9442813806454</v>
      </c>
      <c r="AT83" s="2">
        <f t="shared" si="8"/>
        <v>0.11012597208995345</v>
      </c>
      <c r="AV83">
        <f t="shared" si="9"/>
        <v>1200553.2525305063</v>
      </c>
      <c r="AW83">
        <f t="shared" si="10"/>
        <v>1205348.9054581209</v>
      </c>
      <c r="AY83">
        <f t="shared" si="11"/>
        <v>0</v>
      </c>
      <c r="AZ83">
        <f t="shared" si="12"/>
        <v>1</v>
      </c>
    </row>
    <row r="84" spans="1:52" x14ac:dyDescent="0.2">
      <c r="A84">
        <f t="shared" si="13"/>
        <v>80</v>
      </c>
      <c r="B84">
        <v>2.5111452476956897E-2</v>
      </c>
      <c r="C84">
        <v>3.1894158037695353E-2</v>
      </c>
      <c r="D84">
        <v>3.3023834295393642E-2</v>
      </c>
      <c r="E84">
        <v>7.7628703187193745E-3</v>
      </c>
      <c r="F84">
        <v>3.2710677328550396E-3</v>
      </c>
      <c r="G84">
        <v>4.6102858244109313E-2</v>
      </c>
      <c r="H84">
        <v>3.6412321325099306E-2</v>
      </c>
      <c r="I84">
        <v>0.14068322829918567</v>
      </c>
      <c r="J84">
        <v>0</v>
      </c>
      <c r="K84">
        <v>0.3614644833245485</v>
      </c>
      <c r="L84">
        <v>0.24681238094846913</v>
      </c>
      <c r="M84">
        <v>0.75318761905153087</v>
      </c>
      <c r="N84">
        <v>6.3929576631795659E-2</v>
      </c>
      <c r="O84" s="72">
        <v>0.9998430434347001</v>
      </c>
      <c r="P84">
        <v>0.99863037493078599</v>
      </c>
      <c r="Q84">
        <v>0.87586909671224333</v>
      </c>
      <c r="R84">
        <v>0.49214713413632216</v>
      </c>
      <c r="S84">
        <v>0.39914424667123816</v>
      </c>
      <c r="T84">
        <v>0.25112457754669071</v>
      </c>
      <c r="U84">
        <v>0.77113759151716676</v>
      </c>
      <c r="V84">
        <v>0.69868978128452353</v>
      </c>
      <c r="W84">
        <v>0.54107610041775922</v>
      </c>
      <c r="X84">
        <v>0.46167894926449671</v>
      </c>
      <c r="Y84">
        <v>0.42174703505036826</v>
      </c>
      <c r="Z84">
        <v>0.43684547820938618</v>
      </c>
      <c r="AA84">
        <v>0.67127467147782105</v>
      </c>
      <c r="AB84">
        <v>0.8124004469903422</v>
      </c>
      <c r="AC84">
        <v>0.61201477068509436</v>
      </c>
      <c r="AD84">
        <v>0.60316481468032801</v>
      </c>
      <c r="AE84">
        <v>177.07146569132178</v>
      </c>
      <c r="AF84">
        <v>1214.3419202947355</v>
      </c>
      <c r="AG84">
        <v>1431.248385179086</v>
      </c>
      <c r="AH84">
        <v>13803.63580518928</v>
      </c>
      <c r="AI84">
        <v>10896.380727061642</v>
      </c>
      <c r="AJ84">
        <v>41161.611946365534</v>
      </c>
      <c r="AK84">
        <v>12941.121960039787</v>
      </c>
      <c r="AL84">
        <v>1509.3581742087167</v>
      </c>
      <c r="AM84">
        <v>414.14376773037083</v>
      </c>
      <c r="AO84">
        <v>42956.373939727731</v>
      </c>
      <c r="AP84">
        <v>13.055444322036767</v>
      </c>
      <c r="AQ84">
        <v>47306.960624327185</v>
      </c>
      <c r="AR84">
        <v>13.205818645732892</v>
      </c>
      <c r="AS84" s="2">
        <f t="shared" si="7"/>
        <v>4350.5866845994533</v>
      </c>
      <c r="AT84" s="2">
        <f t="shared" si="8"/>
        <v>0.15037432369612524</v>
      </c>
      <c r="AV84">
        <f t="shared" si="9"/>
        <v>1262588.0582639489</v>
      </c>
      <c r="AW84">
        <f t="shared" si="10"/>
        <v>1273274.903948962</v>
      </c>
      <c r="AY84">
        <f t="shared" si="11"/>
        <v>0</v>
      </c>
      <c r="AZ84">
        <f t="shared" si="12"/>
        <v>1</v>
      </c>
    </row>
    <row r="85" spans="1:52" x14ac:dyDescent="0.2">
      <c r="A85">
        <f t="shared" si="13"/>
        <v>81</v>
      </c>
      <c r="B85">
        <v>2.4610017244667919E-2</v>
      </c>
      <c r="C85">
        <v>2.8684961469523162E-2</v>
      </c>
      <c r="D85">
        <v>4.711385809549995E-2</v>
      </c>
      <c r="E85">
        <v>2.2276027940568266E-2</v>
      </c>
      <c r="F85">
        <v>3.2899038048427444E-3</v>
      </c>
      <c r="G85">
        <v>1.1592996949916407E-2</v>
      </c>
      <c r="H85">
        <v>3.7461464899864794E-2</v>
      </c>
      <c r="I85">
        <v>0.14479272522361886</v>
      </c>
      <c r="J85">
        <v>0</v>
      </c>
      <c r="K85">
        <v>0.44198566548763507</v>
      </c>
      <c r="L85">
        <v>0.16372000523647459</v>
      </c>
      <c r="M85">
        <v>0.83627999476352544</v>
      </c>
      <c r="N85">
        <v>6.6277339221787468E-2</v>
      </c>
      <c r="O85" s="72">
        <v>0.99705312534383972</v>
      </c>
      <c r="P85">
        <v>0.99681894347249356</v>
      </c>
      <c r="Q85">
        <v>0.98522738763737872</v>
      </c>
      <c r="R85">
        <v>0.4687435082322331</v>
      </c>
      <c r="S85">
        <v>0.2948547679456861</v>
      </c>
      <c r="T85">
        <v>0.16130375417258236</v>
      </c>
      <c r="U85">
        <v>0.76277514558936754</v>
      </c>
      <c r="V85">
        <v>0.65660275375715449</v>
      </c>
      <c r="W85">
        <v>0.53768370265658927</v>
      </c>
      <c r="X85">
        <v>0.45981618354805009</v>
      </c>
      <c r="Y85">
        <v>0.45859292587775113</v>
      </c>
      <c r="Z85">
        <v>0.49500994587961433</v>
      </c>
      <c r="AA85">
        <v>0.66839838226060566</v>
      </c>
      <c r="AB85">
        <v>0.86965383465347323</v>
      </c>
      <c r="AC85">
        <v>0.81042812763043881</v>
      </c>
      <c r="AD85">
        <v>0.55704640727592636</v>
      </c>
      <c r="AE85">
        <v>268.802887817103</v>
      </c>
      <c r="AF85">
        <v>1076.6703806009837</v>
      </c>
      <c r="AG85">
        <v>1686.4021809053902</v>
      </c>
      <c r="AH85">
        <v>13610.604395250115</v>
      </c>
      <c r="AI85">
        <v>9074.6735595030987</v>
      </c>
      <c r="AJ85">
        <v>41809.916082863499</v>
      </c>
      <c r="AK85">
        <v>9868.0670845930254</v>
      </c>
      <c r="AL85">
        <v>2541.6638506807171</v>
      </c>
      <c r="AM85">
        <v>249.46174942349543</v>
      </c>
      <c r="AO85">
        <v>45351.42639026868</v>
      </c>
      <c r="AP85">
        <v>13.984940472986551</v>
      </c>
      <c r="AQ85">
        <v>44473.183344605262</v>
      </c>
      <c r="AR85">
        <v>14.299437325762153</v>
      </c>
      <c r="AS85" s="2">
        <f t="shared" si="7"/>
        <v>-878.24304566341743</v>
      </c>
      <c r="AT85" s="2">
        <f t="shared" si="8"/>
        <v>0.31449685277560135</v>
      </c>
      <c r="AV85">
        <f t="shared" si="9"/>
        <v>1353142.6209083865</v>
      </c>
      <c r="AW85">
        <f t="shared" si="10"/>
        <v>1385470.5492316098</v>
      </c>
      <c r="AY85">
        <f t="shared" si="11"/>
        <v>0</v>
      </c>
      <c r="AZ85">
        <f t="shared" si="12"/>
        <v>1</v>
      </c>
    </row>
    <row r="86" spans="1:52" x14ac:dyDescent="0.2">
      <c r="A86">
        <f t="shared" si="13"/>
        <v>82</v>
      </c>
      <c r="B86">
        <v>2.3993959553715874E-2</v>
      </c>
      <c r="C86">
        <v>4.1193664231168992E-2</v>
      </c>
      <c r="D86">
        <v>2.6550232791625897E-2</v>
      </c>
      <c r="E86">
        <v>1.1620988329896442E-2</v>
      </c>
      <c r="F86">
        <v>3.3891165167557746E-3</v>
      </c>
      <c r="G86">
        <v>2.8433153648442233E-2</v>
      </c>
      <c r="H86">
        <v>4.5777557895287591E-2</v>
      </c>
      <c r="I86">
        <v>0.12976827556209627</v>
      </c>
      <c r="J86">
        <v>0</v>
      </c>
      <c r="K86">
        <v>0.42718489878054727</v>
      </c>
      <c r="L86">
        <v>0.21936464129038402</v>
      </c>
      <c r="M86">
        <v>0.78063535870961598</v>
      </c>
      <c r="N86">
        <v>3.9413940634556222E-2</v>
      </c>
      <c r="O86" s="72">
        <v>0.99898979850752645</v>
      </c>
      <c r="P86">
        <v>0.99835803695145386</v>
      </c>
      <c r="Q86">
        <v>0.98703281100491769</v>
      </c>
      <c r="R86">
        <v>0.53526487028887315</v>
      </c>
      <c r="S86">
        <v>0.40805265197391039</v>
      </c>
      <c r="T86">
        <v>0.23934199281840518</v>
      </c>
      <c r="U86">
        <v>0.75348684971931557</v>
      </c>
      <c r="V86">
        <v>0.69227580529154298</v>
      </c>
      <c r="W86">
        <v>0.54516593370138555</v>
      </c>
      <c r="X86">
        <v>0.45793471573561773</v>
      </c>
      <c r="Y86">
        <v>0.45840167711465385</v>
      </c>
      <c r="Z86">
        <v>0.51668647622855657</v>
      </c>
      <c r="AA86">
        <v>0.70581503046959115</v>
      </c>
      <c r="AB86">
        <v>0.76030935484536855</v>
      </c>
      <c r="AC86">
        <v>0.66459145678696263</v>
      </c>
      <c r="AD86">
        <v>0.5814422485023919</v>
      </c>
      <c r="AE86">
        <v>172.27647248831363</v>
      </c>
      <c r="AF86">
        <v>955.39567665855975</v>
      </c>
      <c r="AG86">
        <v>1934.2823613659132</v>
      </c>
      <c r="AH86">
        <v>15626.830857897168</v>
      </c>
      <c r="AI86">
        <v>8840.5891467089841</v>
      </c>
      <c r="AJ86">
        <v>39652.953686790359</v>
      </c>
      <c r="AK86">
        <v>8469.3157987819832</v>
      </c>
      <c r="AL86">
        <v>1799.0810007185837</v>
      </c>
      <c r="AM86">
        <v>298.82729877432746</v>
      </c>
      <c r="AO86">
        <v>39587.302369367579</v>
      </c>
      <c r="AP86">
        <v>12.456180937003635</v>
      </c>
      <c r="AQ86">
        <v>45157.637295619599</v>
      </c>
      <c r="AR86">
        <v>12.553662724524857</v>
      </c>
      <c r="AS86" s="2">
        <f t="shared" si="7"/>
        <v>5570.3349262520205</v>
      </c>
      <c r="AT86" s="2">
        <f t="shared" si="8"/>
        <v>9.7481787521221719E-2</v>
      </c>
      <c r="AV86">
        <f t="shared" si="9"/>
        <v>1206030.791330996</v>
      </c>
      <c r="AW86">
        <f t="shared" si="10"/>
        <v>1210208.6351568662</v>
      </c>
      <c r="AY86">
        <f t="shared" si="11"/>
        <v>0</v>
      </c>
      <c r="AZ86">
        <f t="shared" si="12"/>
        <v>1</v>
      </c>
    </row>
    <row r="87" spans="1:52" x14ac:dyDescent="0.2">
      <c r="A87">
        <f t="shared" si="13"/>
        <v>83</v>
      </c>
      <c r="B87">
        <v>3.2704642261747519E-2</v>
      </c>
      <c r="C87">
        <v>3.3497181969480289E-2</v>
      </c>
      <c r="D87">
        <v>3.3962468993320102E-2</v>
      </c>
      <c r="E87">
        <v>1.6639309891332776E-2</v>
      </c>
      <c r="F87">
        <v>3.3582065653200432E-3</v>
      </c>
      <c r="G87">
        <v>2.4993218216906365E-2</v>
      </c>
      <c r="H87">
        <v>2.1241240073477261E-2</v>
      </c>
      <c r="I87">
        <v>0.12331627856942104</v>
      </c>
      <c r="J87">
        <v>0</v>
      </c>
      <c r="K87">
        <v>0.42021302328104126</v>
      </c>
      <c r="L87">
        <v>0.23463085290220609</v>
      </c>
      <c r="M87">
        <v>0.76536914709779391</v>
      </c>
      <c r="N87">
        <v>6.4480993875821069E-2</v>
      </c>
      <c r="O87" s="72">
        <v>0.99984963912482605</v>
      </c>
      <c r="P87">
        <v>0.99833592399107618</v>
      </c>
      <c r="Q87">
        <v>0.98136791876776608</v>
      </c>
      <c r="R87">
        <v>0.52631232839233344</v>
      </c>
      <c r="S87">
        <v>0.42296307841527325</v>
      </c>
      <c r="T87">
        <v>0.12337274592692626</v>
      </c>
      <c r="U87">
        <v>0.7461019969030066</v>
      </c>
      <c r="V87">
        <v>0.67633539318584202</v>
      </c>
      <c r="W87">
        <v>0.53986729710988746</v>
      </c>
      <c r="X87">
        <v>0.51133248669207854</v>
      </c>
      <c r="Y87">
        <v>0.47879257609968995</v>
      </c>
      <c r="Z87">
        <v>0.47525243276619289</v>
      </c>
      <c r="AA87">
        <v>0.67714641238354978</v>
      </c>
      <c r="AB87">
        <v>0.86558924340287169</v>
      </c>
      <c r="AC87">
        <v>0.74693892085745928</v>
      </c>
      <c r="AD87">
        <v>0.59791322995825513</v>
      </c>
      <c r="AE87">
        <v>222.04454410118498</v>
      </c>
      <c r="AF87">
        <v>1140.7688911028854</v>
      </c>
      <c r="AG87">
        <v>1465.9758772480877</v>
      </c>
      <c r="AH87">
        <v>18822.648560575177</v>
      </c>
      <c r="AI87">
        <v>14208.22785523257</v>
      </c>
      <c r="AJ87">
        <v>33544.828625329515</v>
      </c>
      <c r="AK87">
        <v>14469.481306944324</v>
      </c>
      <c r="AL87">
        <v>1983.684279111834</v>
      </c>
      <c r="AM87">
        <v>342.03999947568008</v>
      </c>
      <c r="AO87">
        <v>44038.16532212012</v>
      </c>
      <c r="AP87">
        <v>13.89346708434236</v>
      </c>
      <c r="AQ87">
        <v>45959.732159387298</v>
      </c>
      <c r="AR87">
        <v>14.184960999096161</v>
      </c>
      <c r="AS87" s="2">
        <f t="shared" si="7"/>
        <v>1921.5668372671789</v>
      </c>
      <c r="AT87" s="2">
        <f t="shared" si="8"/>
        <v>0.29149391475380071</v>
      </c>
      <c r="AV87">
        <f t="shared" si="9"/>
        <v>1345308.5431121159</v>
      </c>
      <c r="AW87">
        <f t="shared" si="10"/>
        <v>1372536.3677502288</v>
      </c>
      <c r="AY87">
        <f t="shared" si="11"/>
        <v>0</v>
      </c>
      <c r="AZ87">
        <f t="shared" si="12"/>
        <v>1</v>
      </c>
    </row>
    <row r="88" spans="1:52" x14ac:dyDescent="0.2">
      <c r="A88">
        <f t="shared" si="13"/>
        <v>84</v>
      </c>
      <c r="B88">
        <v>3.446146121016791E-2</v>
      </c>
      <c r="C88">
        <v>3.7181376571406966E-2</v>
      </c>
      <c r="D88">
        <v>3.3372962923308262E-2</v>
      </c>
      <c r="E88">
        <v>8.0553985075602907E-3</v>
      </c>
      <c r="F88">
        <v>3.2780643179426919E-3</v>
      </c>
      <c r="G88">
        <v>3.4028465872660618E-2</v>
      </c>
      <c r="H88">
        <v>2.4998193712177312E-2</v>
      </c>
      <c r="I88">
        <v>0.12448209123802324</v>
      </c>
      <c r="J88">
        <v>0</v>
      </c>
      <c r="K88">
        <v>0.47614441051766188</v>
      </c>
      <c r="L88">
        <v>0.26997405222645054</v>
      </c>
      <c r="M88">
        <v>0.73002594777354946</v>
      </c>
      <c r="N88">
        <v>6.6188605591818161E-2</v>
      </c>
      <c r="O88" s="72">
        <v>0.99945670882832693</v>
      </c>
      <c r="P88">
        <v>0.99864670120292653</v>
      </c>
      <c r="Q88">
        <v>0.96929719912182299</v>
      </c>
      <c r="R88">
        <v>0.48548764166402592</v>
      </c>
      <c r="S88">
        <v>0.46358944077776387</v>
      </c>
      <c r="T88">
        <v>0.2937010574235932</v>
      </c>
      <c r="U88">
        <v>0.78031907077698748</v>
      </c>
      <c r="V88">
        <v>0.77323207154057827</v>
      </c>
      <c r="W88">
        <v>0.50266078844999074</v>
      </c>
      <c r="X88">
        <v>0.44754558372009695</v>
      </c>
      <c r="Y88">
        <v>0.47794415149145697</v>
      </c>
      <c r="Z88">
        <v>0.45998897567235519</v>
      </c>
      <c r="AA88">
        <v>0.7029602693082051</v>
      </c>
      <c r="AB88">
        <v>0.88307080421887785</v>
      </c>
      <c r="AC88">
        <v>0.76568785219339408</v>
      </c>
      <c r="AD88">
        <v>0.56125632343795717</v>
      </c>
      <c r="AE88">
        <v>182.73080352953383</v>
      </c>
      <c r="AF88">
        <v>921.04431516137129</v>
      </c>
      <c r="AG88">
        <v>1595.0905622236492</v>
      </c>
      <c r="AH88">
        <v>16436.69839794932</v>
      </c>
      <c r="AI88">
        <v>15686.476661685232</v>
      </c>
      <c r="AJ88">
        <v>38918.244465659925</v>
      </c>
      <c r="AK88">
        <v>9614.7724234983307</v>
      </c>
      <c r="AL88">
        <v>2257.7906442425106</v>
      </c>
      <c r="AM88">
        <v>327.67498079409597</v>
      </c>
      <c r="AO88">
        <v>40900.06891052633</v>
      </c>
      <c r="AP88">
        <v>14.207204799939124</v>
      </c>
      <c r="AQ88">
        <v>45656.459451309718</v>
      </c>
      <c r="AR88">
        <v>14.409877086983199</v>
      </c>
      <c r="AS88" s="2">
        <f t="shared" si="7"/>
        <v>4756.3905407833881</v>
      </c>
      <c r="AT88" s="2">
        <f t="shared" si="8"/>
        <v>0.20267228704407536</v>
      </c>
      <c r="AV88">
        <f t="shared" si="9"/>
        <v>1379820.411083386</v>
      </c>
      <c r="AW88">
        <f t="shared" si="10"/>
        <v>1395331.2492470103</v>
      </c>
      <c r="AY88">
        <f t="shared" si="11"/>
        <v>0</v>
      </c>
      <c r="AZ88">
        <f t="shared" si="12"/>
        <v>1</v>
      </c>
    </row>
    <row r="89" spans="1:52" x14ac:dyDescent="0.2">
      <c r="A89">
        <f t="shared" si="13"/>
        <v>85</v>
      </c>
      <c r="B89">
        <v>2.144359895391915E-2</v>
      </c>
      <c r="C89">
        <v>3.5571970549009083E-2</v>
      </c>
      <c r="D89">
        <v>4.9410297357965982E-2</v>
      </c>
      <c r="E89">
        <v>1.6450510553989606E-2</v>
      </c>
      <c r="F89">
        <v>3.3141404188553108E-3</v>
      </c>
      <c r="G89">
        <v>2.0312596424296281E-2</v>
      </c>
      <c r="H89">
        <v>2.3481714980662722E-2</v>
      </c>
      <c r="I89">
        <v>0.11435273825287919</v>
      </c>
      <c r="J89">
        <v>0</v>
      </c>
      <c r="K89">
        <v>0.45027298594455867</v>
      </c>
      <c r="L89">
        <v>0.18075247061591165</v>
      </c>
      <c r="M89">
        <v>0.8192475293840884</v>
      </c>
      <c r="N89">
        <v>6.0081508689908247E-2</v>
      </c>
      <c r="O89" s="72">
        <v>0.99993570370591756</v>
      </c>
      <c r="P89">
        <v>0.99951877676372647</v>
      </c>
      <c r="Q89">
        <v>0.98207681708855554</v>
      </c>
      <c r="R89">
        <v>0.48745490326485219</v>
      </c>
      <c r="S89">
        <v>0.37728339886338014</v>
      </c>
      <c r="T89">
        <v>0.18558289137236783</v>
      </c>
      <c r="U89">
        <v>0.79071509345298618</v>
      </c>
      <c r="V89">
        <v>0.65019863073822992</v>
      </c>
      <c r="W89">
        <v>0.59289095814771864</v>
      </c>
      <c r="X89">
        <v>0.45735009870204135</v>
      </c>
      <c r="Y89">
        <v>0.40781804806606842</v>
      </c>
      <c r="Z89">
        <v>0.49630054659351475</v>
      </c>
      <c r="AA89">
        <v>0.63221815425514671</v>
      </c>
      <c r="AB89">
        <v>0.78768373306575223</v>
      </c>
      <c r="AC89">
        <v>0.73011993910353901</v>
      </c>
      <c r="AD89">
        <v>0.66664379257798578</v>
      </c>
      <c r="AE89">
        <v>200.17899026491529</v>
      </c>
      <c r="AF89">
        <v>1236.0128989659772</v>
      </c>
      <c r="AG89">
        <v>1265.5624094659001</v>
      </c>
      <c r="AH89">
        <v>7699.0862359159855</v>
      </c>
      <c r="AI89">
        <v>14971.647144219391</v>
      </c>
      <c r="AJ89">
        <v>43355.667015815532</v>
      </c>
      <c r="AK89">
        <v>16946.481085945103</v>
      </c>
      <c r="AL89">
        <v>1138.9996972247948</v>
      </c>
      <c r="AM89">
        <v>410.15501668273464</v>
      </c>
      <c r="AO89">
        <v>44361.281519831464</v>
      </c>
      <c r="AP89">
        <v>12.976897453145087</v>
      </c>
      <c r="AQ89">
        <v>46746.293545706256</v>
      </c>
      <c r="AR89">
        <v>13.167960414402643</v>
      </c>
      <c r="AS89" s="2">
        <f t="shared" si="7"/>
        <v>2385.012025874792</v>
      </c>
      <c r="AT89" s="2">
        <f t="shared" si="8"/>
        <v>0.19106296125755584</v>
      </c>
      <c r="AV89">
        <f t="shared" si="9"/>
        <v>1253328.4637946773</v>
      </c>
      <c r="AW89">
        <f t="shared" si="10"/>
        <v>1270049.7478945581</v>
      </c>
      <c r="AY89">
        <f t="shared" si="11"/>
        <v>0</v>
      </c>
      <c r="AZ89">
        <f t="shared" si="12"/>
        <v>1</v>
      </c>
    </row>
    <row r="90" spans="1:52" x14ac:dyDescent="0.2">
      <c r="A90">
        <f t="shared" si="13"/>
        <v>86</v>
      </c>
      <c r="B90">
        <v>2.6297503534964961E-2</v>
      </c>
      <c r="C90">
        <v>4.3205894962548896E-2</v>
      </c>
      <c r="D90">
        <v>5.7520170703889928E-2</v>
      </c>
      <c r="E90">
        <v>5.3275454858199307E-3</v>
      </c>
      <c r="F90">
        <v>3.1908653058689692E-3</v>
      </c>
      <c r="G90">
        <v>1.6069824564415414E-2</v>
      </c>
      <c r="H90">
        <v>1.282165544360977E-2</v>
      </c>
      <c r="I90">
        <v>0.13593846832891276</v>
      </c>
      <c r="J90">
        <v>0</v>
      </c>
      <c r="K90">
        <v>0.46134046881664548</v>
      </c>
      <c r="L90">
        <v>0.20302972527062202</v>
      </c>
      <c r="M90">
        <v>0.79697027472937798</v>
      </c>
      <c r="N90">
        <v>7.2717539379861806E-2</v>
      </c>
      <c r="O90" s="72">
        <v>0.99898471128218957</v>
      </c>
      <c r="P90">
        <v>0.9985990285185623</v>
      </c>
      <c r="Q90">
        <v>0.97246730227007383</v>
      </c>
      <c r="R90">
        <v>0.45318856199263291</v>
      </c>
      <c r="S90">
        <v>0.38613168436221923</v>
      </c>
      <c r="T90">
        <v>0.23024008093464232</v>
      </c>
      <c r="U90">
        <v>0.76519663493816048</v>
      </c>
      <c r="V90">
        <v>0.68278023993137538</v>
      </c>
      <c r="W90">
        <v>0.54254822453461238</v>
      </c>
      <c r="X90">
        <v>0.45961971681374858</v>
      </c>
      <c r="Y90">
        <v>0.46478920605052287</v>
      </c>
      <c r="Z90">
        <v>0.47238429475088251</v>
      </c>
      <c r="AA90">
        <v>0.6862678931178382</v>
      </c>
      <c r="AB90">
        <v>0.8272409937141032</v>
      </c>
      <c r="AC90">
        <v>0.73453038081516786</v>
      </c>
      <c r="AD90">
        <v>0.60329147928132398</v>
      </c>
      <c r="AE90">
        <v>138.43331902822587</v>
      </c>
      <c r="AF90">
        <v>1107.47592348741</v>
      </c>
      <c r="AG90">
        <v>1312.6835553581425</v>
      </c>
      <c r="AH90">
        <v>12230.918471777848</v>
      </c>
      <c r="AI90">
        <v>16765.093042419219</v>
      </c>
      <c r="AJ90">
        <v>41832.946114037761</v>
      </c>
      <c r="AK90">
        <v>15553.972369868849</v>
      </c>
      <c r="AL90">
        <v>2264.165935180873</v>
      </c>
      <c r="AM90">
        <v>396.75169311337919</v>
      </c>
      <c r="AO90">
        <v>45228.098766011411</v>
      </c>
      <c r="AP90">
        <v>13.410515913530844</v>
      </c>
      <c r="AQ90">
        <v>46605.824272030281</v>
      </c>
      <c r="AR90">
        <v>13.636959818890002</v>
      </c>
      <c r="AS90" s="2">
        <f t="shared" si="7"/>
        <v>1377.7255060188691</v>
      </c>
      <c r="AT90" s="2">
        <f t="shared" si="8"/>
        <v>0.22644390535915804</v>
      </c>
      <c r="AV90">
        <f t="shared" si="9"/>
        <v>1295823.492587073</v>
      </c>
      <c r="AW90">
        <f t="shared" si="10"/>
        <v>1317090.1576169699</v>
      </c>
      <c r="AY90">
        <f t="shared" si="11"/>
        <v>0</v>
      </c>
      <c r="AZ90">
        <f t="shared" si="12"/>
        <v>1</v>
      </c>
    </row>
    <row r="91" spans="1:52" x14ac:dyDescent="0.2">
      <c r="A91">
        <f t="shared" si="13"/>
        <v>87</v>
      </c>
      <c r="B91">
        <v>2.2268552532281643E-2</v>
      </c>
      <c r="C91">
        <v>3.4685909929683061E-2</v>
      </c>
      <c r="D91">
        <v>4.0442053227290775E-2</v>
      </c>
      <c r="E91">
        <v>6.0883051715502918E-3</v>
      </c>
      <c r="F91">
        <v>3.2809528959758206E-3</v>
      </c>
      <c r="G91">
        <v>1.8623009330543616E-2</v>
      </c>
      <c r="H91">
        <v>3.4482976484507377E-2</v>
      </c>
      <c r="I91">
        <v>0.14124266476069169</v>
      </c>
      <c r="J91">
        <v>0</v>
      </c>
      <c r="K91">
        <v>0.37901619894104521</v>
      </c>
      <c r="L91">
        <v>0.18081649097154584</v>
      </c>
      <c r="M91">
        <v>0.81918350902845416</v>
      </c>
      <c r="N91">
        <v>6.5618627827267906E-2</v>
      </c>
      <c r="O91" s="72">
        <v>0.99992170821219739</v>
      </c>
      <c r="P91">
        <v>0.9999875449926281</v>
      </c>
      <c r="Q91">
        <v>0.96452007899149239</v>
      </c>
      <c r="R91">
        <v>0.53689948556470823</v>
      </c>
      <c r="S91">
        <v>0.47642768541341396</v>
      </c>
      <c r="T91">
        <v>0.22918883807808621</v>
      </c>
      <c r="U91">
        <v>0.77562620637377866</v>
      </c>
      <c r="V91">
        <v>0.72054426948066519</v>
      </c>
      <c r="W91">
        <v>0.58710176323285246</v>
      </c>
      <c r="X91">
        <v>0.43430023532373635</v>
      </c>
      <c r="Y91">
        <v>0.44997259921866528</v>
      </c>
      <c r="Z91">
        <v>0.45608177159538077</v>
      </c>
      <c r="AA91">
        <v>0.66511407294853409</v>
      </c>
      <c r="AB91">
        <v>0.80119945534313264</v>
      </c>
      <c r="AC91">
        <v>0.73727249261934014</v>
      </c>
      <c r="AD91">
        <v>0.70903844376490643</v>
      </c>
      <c r="AE91">
        <v>214.80544050594048</v>
      </c>
      <c r="AF91">
        <v>1046.3308152943396</v>
      </c>
      <c r="AG91">
        <v>2223.955286307596</v>
      </c>
      <c r="AH91">
        <v>17164.831079147207</v>
      </c>
      <c r="AI91">
        <v>10727.644975117255</v>
      </c>
      <c r="AJ91">
        <v>41617.665028800366</v>
      </c>
      <c r="AK91">
        <v>9943.8753380877697</v>
      </c>
      <c r="AL91">
        <v>2755.5452741049585</v>
      </c>
      <c r="AM91">
        <v>326.00480932644439</v>
      </c>
      <c r="AO91">
        <v>39797.142714203263</v>
      </c>
      <c r="AP91">
        <v>13.276065247492717</v>
      </c>
      <c r="AQ91">
        <v>45701.582919003173</v>
      </c>
      <c r="AR91">
        <v>13.424800176743952</v>
      </c>
      <c r="AS91" s="2">
        <f t="shared" si="7"/>
        <v>5904.4402047999101</v>
      </c>
      <c r="AT91" s="2">
        <f t="shared" si="8"/>
        <v>0.14873492925123522</v>
      </c>
      <c r="AV91">
        <f t="shared" si="9"/>
        <v>1287809.3820350685</v>
      </c>
      <c r="AW91">
        <f t="shared" si="10"/>
        <v>1296778.4347553919</v>
      </c>
      <c r="AY91">
        <f t="shared" si="11"/>
        <v>0</v>
      </c>
      <c r="AZ91">
        <f t="shared" si="12"/>
        <v>1</v>
      </c>
    </row>
    <row r="92" spans="1:52" x14ac:dyDescent="0.2">
      <c r="A92">
        <f t="shared" si="13"/>
        <v>88</v>
      </c>
      <c r="B92">
        <v>2.4992870532686284E-2</v>
      </c>
      <c r="C92">
        <v>3.4291889454760097E-2</v>
      </c>
      <c r="D92">
        <v>4.7557565313999239E-2</v>
      </c>
      <c r="E92">
        <v>1.8262304294948573E-2</v>
      </c>
      <c r="F92">
        <v>3.3110436765280966E-3</v>
      </c>
      <c r="G92">
        <v>1.5549985673003364E-2</v>
      </c>
      <c r="H92">
        <v>1.9213887559634601E-2</v>
      </c>
      <c r="I92">
        <v>0.12991125305069984</v>
      </c>
      <c r="J92">
        <v>0</v>
      </c>
      <c r="K92">
        <v>0.40712672862026422</v>
      </c>
      <c r="L92">
        <v>0.14644937814228826</v>
      </c>
      <c r="M92">
        <v>0.8535506218577118</v>
      </c>
      <c r="N92">
        <v>3.8408106321277453E-2</v>
      </c>
      <c r="O92" s="72">
        <v>0.99686020701182332</v>
      </c>
      <c r="P92">
        <v>0.99995954775935758</v>
      </c>
      <c r="Q92">
        <v>0.97002178733849953</v>
      </c>
      <c r="R92">
        <v>0.49700943673569653</v>
      </c>
      <c r="S92">
        <v>0.4096417566759043</v>
      </c>
      <c r="T92">
        <v>0.30351413331748434</v>
      </c>
      <c r="U92">
        <v>0.77895192246657396</v>
      </c>
      <c r="V92">
        <v>0.67535476201788724</v>
      </c>
      <c r="W92">
        <v>0.63388129747978317</v>
      </c>
      <c r="X92">
        <v>0.45862606570450759</v>
      </c>
      <c r="Y92">
        <v>0.46319784385452234</v>
      </c>
      <c r="Z92">
        <v>0.46117640861272113</v>
      </c>
      <c r="AA92">
        <v>0.73023151336664005</v>
      </c>
      <c r="AB92">
        <v>0.79550405040068872</v>
      </c>
      <c r="AC92">
        <v>0.67909630078716821</v>
      </c>
      <c r="AD92">
        <v>0.63580945955242596</v>
      </c>
      <c r="AE92">
        <v>292.53865787435859</v>
      </c>
      <c r="AF92">
        <v>1264.8783399822189</v>
      </c>
      <c r="AG92">
        <v>1263.2050225999703</v>
      </c>
      <c r="AH92">
        <v>11810.71998093376</v>
      </c>
      <c r="AI92">
        <v>10798.039966046448</v>
      </c>
      <c r="AJ92">
        <v>43649.880699323119</v>
      </c>
      <c r="AK92">
        <v>14982.510376985483</v>
      </c>
      <c r="AL92">
        <v>1863.5446262619907</v>
      </c>
      <c r="AM92">
        <v>393.41695592675313</v>
      </c>
      <c r="AO92">
        <v>41642.738973031555</v>
      </c>
      <c r="AP92">
        <v>13.006474597730408</v>
      </c>
      <c r="AQ92">
        <v>46673.084940380497</v>
      </c>
      <c r="AR92">
        <v>13.141354814446657</v>
      </c>
      <c r="AS92" s="2">
        <f t="shared" si="7"/>
        <v>5030.3459673489415</v>
      </c>
      <c r="AT92" s="2">
        <f t="shared" si="8"/>
        <v>0.13488021671624928</v>
      </c>
      <c r="AV92">
        <f t="shared" si="9"/>
        <v>1259004.7208000093</v>
      </c>
      <c r="AW92">
        <f t="shared" si="10"/>
        <v>1267462.3965042853</v>
      </c>
      <c r="AY92">
        <f t="shared" si="11"/>
        <v>0</v>
      </c>
      <c r="AZ92">
        <f t="shared" si="12"/>
        <v>1</v>
      </c>
    </row>
    <row r="93" spans="1:52" x14ac:dyDescent="0.2">
      <c r="A93">
        <f t="shared" si="13"/>
        <v>89</v>
      </c>
      <c r="B93">
        <v>2.212704512632865E-2</v>
      </c>
      <c r="C93">
        <v>2.892429524248559E-2</v>
      </c>
      <c r="D93">
        <v>3.0466072509179057E-2</v>
      </c>
      <c r="E93">
        <v>1.2334925790510654E-2</v>
      </c>
      <c r="F93">
        <v>3.1869227678939958E-3</v>
      </c>
      <c r="G93">
        <v>1.4903499301640033E-2</v>
      </c>
      <c r="H93">
        <v>3.5810003972087778E-2</v>
      </c>
      <c r="I93">
        <v>0.14044998519351837</v>
      </c>
      <c r="J93">
        <v>0</v>
      </c>
      <c r="K93">
        <v>0.40211380426594312</v>
      </c>
      <c r="L93">
        <v>0.17293146303821885</v>
      </c>
      <c r="M93">
        <v>0.82706853696178118</v>
      </c>
      <c r="N93">
        <v>6.9991113998280508E-2</v>
      </c>
      <c r="O93" s="72">
        <v>0.99693375963651221</v>
      </c>
      <c r="P93">
        <v>0.96794431924022384</v>
      </c>
      <c r="Q93">
        <v>0.99279102575471401</v>
      </c>
      <c r="R93">
        <v>0.47028545574303138</v>
      </c>
      <c r="S93">
        <v>0.40525440193396367</v>
      </c>
      <c r="T93">
        <v>0.24336682867209181</v>
      </c>
      <c r="U93">
        <v>0.79076165238415774</v>
      </c>
      <c r="V93">
        <v>0.66825245272503064</v>
      </c>
      <c r="W93">
        <v>0.58774057538878643</v>
      </c>
      <c r="X93">
        <v>0.43254991658954733</v>
      </c>
      <c r="Y93">
        <v>0.43763117137072893</v>
      </c>
      <c r="Z93">
        <v>0.45693563215700184</v>
      </c>
      <c r="AA93">
        <v>0.72879612253968773</v>
      </c>
      <c r="AB93">
        <v>0.86446417548410126</v>
      </c>
      <c r="AC93">
        <v>0.61188774429410131</v>
      </c>
      <c r="AD93">
        <v>0.59798244776173071</v>
      </c>
      <c r="AE93">
        <v>161.11884712694717</v>
      </c>
      <c r="AF93">
        <v>953.35215365452495</v>
      </c>
      <c r="AG93">
        <v>1750.4965260933484</v>
      </c>
      <c r="AH93">
        <v>14939.640622076851</v>
      </c>
      <c r="AI93">
        <v>15432.414803277143</v>
      </c>
      <c r="AJ93">
        <v>35697.461314047447</v>
      </c>
      <c r="AK93">
        <v>15315.935771093928</v>
      </c>
      <c r="AL93">
        <v>2716.520319542316</v>
      </c>
      <c r="AM93">
        <v>433.35925080262564</v>
      </c>
      <c r="AO93">
        <v>44461.200469479394</v>
      </c>
      <c r="AP93">
        <v>13.728597333697577</v>
      </c>
      <c r="AQ93">
        <v>48175.680194032939</v>
      </c>
      <c r="AR93">
        <v>13.921137686252653</v>
      </c>
      <c r="AS93" s="2">
        <f t="shared" si="7"/>
        <v>3714.4797245535447</v>
      </c>
      <c r="AT93" s="2">
        <f t="shared" si="8"/>
        <v>0.19254035255507596</v>
      </c>
      <c r="AV93">
        <f t="shared" si="9"/>
        <v>1328398.5329002782</v>
      </c>
      <c r="AW93">
        <f t="shared" si="10"/>
        <v>1343938.0884312324</v>
      </c>
      <c r="AY93">
        <f t="shared" si="11"/>
        <v>0</v>
      </c>
      <c r="AZ93">
        <f t="shared" si="12"/>
        <v>1</v>
      </c>
    </row>
    <row r="94" spans="1:52" x14ac:dyDescent="0.2">
      <c r="A94">
        <f t="shared" si="13"/>
        <v>90</v>
      </c>
      <c r="B94">
        <v>2.1637140454312958E-2</v>
      </c>
      <c r="C94">
        <v>3.3303827621931868E-2</v>
      </c>
      <c r="D94">
        <v>4.2821931611400244E-2</v>
      </c>
      <c r="E94">
        <v>6.3018984806760313E-3</v>
      </c>
      <c r="F94">
        <v>3.3933158960628429E-3</v>
      </c>
      <c r="G94">
        <v>2.6482784380359725E-3</v>
      </c>
      <c r="H94">
        <v>4.0611637507072862E-2</v>
      </c>
      <c r="I94">
        <v>0.13587716931959049</v>
      </c>
      <c r="J94">
        <v>0</v>
      </c>
      <c r="K94">
        <v>0.45685340578821332</v>
      </c>
      <c r="L94">
        <v>0.32680658618631186</v>
      </c>
      <c r="M94">
        <v>0.67319341381368814</v>
      </c>
      <c r="N94">
        <v>6.713919408818847E-2</v>
      </c>
      <c r="O94" s="72">
        <v>0.9999274581283053</v>
      </c>
      <c r="P94">
        <v>0.99977206388428963</v>
      </c>
      <c r="Q94">
        <v>0.93923293116130302</v>
      </c>
      <c r="R94">
        <v>0.46721722600330962</v>
      </c>
      <c r="S94">
        <v>0.44691614735906704</v>
      </c>
      <c r="T94">
        <v>0.17060444957909116</v>
      </c>
      <c r="U94">
        <v>0.79086346368249227</v>
      </c>
      <c r="V94">
        <v>0.67439470727535378</v>
      </c>
      <c r="W94">
        <v>0.42213837638027141</v>
      </c>
      <c r="X94">
        <v>0.46462828697389602</v>
      </c>
      <c r="Y94">
        <v>0.47213169345454331</v>
      </c>
      <c r="Z94">
        <v>0.47766944466567529</v>
      </c>
      <c r="AA94">
        <v>0.70037494230511288</v>
      </c>
      <c r="AB94">
        <v>0.76573553444562836</v>
      </c>
      <c r="AC94">
        <v>0.78972971635107503</v>
      </c>
      <c r="AD94">
        <v>0.64974308118730284</v>
      </c>
      <c r="AE94">
        <v>149.6686413102837</v>
      </c>
      <c r="AF94">
        <v>1340.1148669485322</v>
      </c>
      <c r="AG94">
        <v>1973.4114330748907</v>
      </c>
      <c r="AH94">
        <v>10213.898166204779</v>
      </c>
      <c r="AI94">
        <v>16216.359593022367</v>
      </c>
      <c r="AJ94">
        <v>42657.644582291818</v>
      </c>
      <c r="AK94">
        <v>9921.0272839462468</v>
      </c>
      <c r="AL94">
        <v>1674.8061453038054</v>
      </c>
      <c r="AM94">
        <v>548.66939462685696</v>
      </c>
      <c r="AO94">
        <v>47547.568357617092</v>
      </c>
      <c r="AP94">
        <v>12.781233065866036</v>
      </c>
      <c r="AQ94">
        <v>49139.575714013801</v>
      </c>
      <c r="AR94">
        <v>12.945401709698595</v>
      </c>
      <c r="AS94" s="2">
        <f t="shared" si="7"/>
        <v>1592.0073563967089</v>
      </c>
      <c r="AT94" s="2">
        <f t="shared" si="8"/>
        <v>0.16416864383255891</v>
      </c>
      <c r="AV94">
        <f t="shared" si="9"/>
        <v>1230575.7382289865</v>
      </c>
      <c r="AW94">
        <f t="shared" si="10"/>
        <v>1245400.5952558457</v>
      </c>
      <c r="AY94">
        <f t="shared" si="11"/>
        <v>0</v>
      </c>
      <c r="AZ94">
        <f t="shared" si="12"/>
        <v>1</v>
      </c>
    </row>
    <row r="95" spans="1:52" x14ac:dyDescent="0.2">
      <c r="A95">
        <f t="shared" si="13"/>
        <v>91</v>
      </c>
      <c r="B95">
        <v>2.3422045528374624E-2</v>
      </c>
      <c r="C95">
        <v>3.4409116721763722E-2</v>
      </c>
      <c r="D95">
        <v>4.3452733094823226E-2</v>
      </c>
      <c r="E95">
        <v>4.0365287996898067E-3</v>
      </c>
      <c r="F95">
        <v>3.3131028019441427E-3</v>
      </c>
      <c r="G95">
        <v>9.0812467094502167E-3</v>
      </c>
      <c r="H95">
        <v>1.7923613612641161E-2</v>
      </c>
      <c r="I95">
        <v>0.11742403812904188</v>
      </c>
      <c r="J95">
        <v>0</v>
      </c>
      <c r="K95">
        <v>0.45118049950712413</v>
      </c>
      <c r="L95">
        <v>0.2099881904462737</v>
      </c>
      <c r="M95">
        <v>0.7900118095537263</v>
      </c>
      <c r="N95">
        <v>3.5246895246946887E-2</v>
      </c>
      <c r="O95" s="72">
        <v>0.99992140924057138</v>
      </c>
      <c r="P95">
        <v>0.89896335282213136</v>
      </c>
      <c r="Q95">
        <v>0.96086369661565307</v>
      </c>
      <c r="R95">
        <v>0.50516906074327128</v>
      </c>
      <c r="S95">
        <v>0.41142890122978226</v>
      </c>
      <c r="T95">
        <v>0.1948197285797193</v>
      </c>
      <c r="U95">
        <v>0.75009340633030697</v>
      </c>
      <c r="V95">
        <v>0.65605307637258525</v>
      </c>
      <c r="W95">
        <v>0.50480203698770409</v>
      </c>
      <c r="X95">
        <v>0.42399529685114695</v>
      </c>
      <c r="Y95">
        <v>0.47475275363946134</v>
      </c>
      <c r="Z95">
        <v>0.40544767660005787</v>
      </c>
      <c r="AA95">
        <v>0.65972752083445552</v>
      </c>
      <c r="AB95">
        <v>0.83285857804441621</v>
      </c>
      <c r="AC95">
        <v>0.6587405907944992</v>
      </c>
      <c r="AD95">
        <v>0.53379298088182192</v>
      </c>
      <c r="AE95">
        <v>155.44499162568664</v>
      </c>
      <c r="AF95">
        <v>1024.1026343780786</v>
      </c>
      <c r="AG95">
        <v>1783.8159309434564</v>
      </c>
      <c r="AH95">
        <v>16467.73119852454</v>
      </c>
      <c r="AI95">
        <v>13968.249497968334</v>
      </c>
      <c r="AJ95">
        <v>38526.960927906694</v>
      </c>
      <c r="AK95">
        <v>14809.001100651756</v>
      </c>
      <c r="AL95">
        <v>3010.9012669950821</v>
      </c>
      <c r="AM95">
        <v>337.81142691105805</v>
      </c>
      <c r="AO95">
        <v>42787.739033028032</v>
      </c>
      <c r="AP95">
        <v>13.286495300955414</v>
      </c>
      <c r="AQ95">
        <v>49304.901871588503</v>
      </c>
      <c r="AR95">
        <v>13.469619595645593</v>
      </c>
      <c r="AS95" s="2">
        <f t="shared" si="7"/>
        <v>6517.1628385604708</v>
      </c>
      <c r="AT95" s="2">
        <f t="shared" si="8"/>
        <v>0.18312429469017921</v>
      </c>
      <c r="AV95">
        <f t="shared" si="9"/>
        <v>1285861.7910625134</v>
      </c>
      <c r="AW95">
        <f t="shared" si="10"/>
        <v>1297657.0576929708</v>
      </c>
      <c r="AY95">
        <f t="shared" si="11"/>
        <v>0</v>
      </c>
      <c r="AZ95">
        <f t="shared" si="12"/>
        <v>1</v>
      </c>
    </row>
    <row r="96" spans="1:52" x14ac:dyDescent="0.2">
      <c r="A96">
        <f t="shared" si="13"/>
        <v>92</v>
      </c>
      <c r="B96">
        <v>2.676331209901095E-2</v>
      </c>
      <c r="C96">
        <v>3.4901264605792869E-2</v>
      </c>
      <c r="D96">
        <v>3.0800227881643851E-2</v>
      </c>
      <c r="E96">
        <v>1.4970266346496897E-2</v>
      </c>
      <c r="F96">
        <v>3.2718444078871462E-3</v>
      </c>
      <c r="G96">
        <v>1.0441808621935628E-2</v>
      </c>
      <c r="H96">
        <v>1.7858687551794539E-2</v>
      </c>
      <c r="I96">
        <v>0.13903124990920734</v>
      </c>
      <c r="J96">
        <v>0</v>
      </c>
      <c r="K96">
        <v>0.45252563129949108</v>
      </c>
      <c r="L96">
        <v>0.24453881415139955</v>
      </c>
      <c r="M96">
        <v>0.75546118584860045</v>
      </c>
      <c r="N96">
        <v>3.6184613620036735E-2</v>
      </c>
      <c r="O96" s="72">
        <v>0.99017618910830818</v>
      </c>
      <c r="P96">
        <v>0.96266095506641491</v>
      </c>
      <c r="Q96">
        <v>0.93725348195148195</v>
      </c>
      <c r="R96">
        <v>0.45530550737123676</v>
      </c>
      <c r="S96">
        <v>0.39173312999811682</v>
      </c>
      <c r="T96">
        <v>0.33285790201753052</v>
      </c>
      <c r="U96">
        <v>0.77527134854049184</v>
      </c>
      <c r="V96">
        <v>0.64637743297613259</v>
      </c>
      <c r="W96">
        <v>0.61058482616422793</v>
      </c>
      <c r="X96">
        <v>0.38421454382147086</v>
      </c>
      <c r="Y96">
        <v>0.43912603952303264</v>
      </c>
      <c r="Z96">
        <v>0.4741942156911193</v>
      </c>
      <c r="AA96">
        <v>0.65124452612755535</v>
      </c>
      <c r="AB96">
        <v>0.85970660927582609</v>
      </c>
      <c r="AC96">
        <v>0.61037340381930116</v>
      </c>
      <c r="AD96">
        <v>0.623865529386603</v>
      </c>
      <c r="AE96">
        <v>202.92763636382207</v>
      </c>
      <c r="AF96">
        <v>1138.0931133450279</v>
      </c>
      <c r="AG96">
        <v>1399.948817321698</v>
      </c>
      <c r="AH96">
        <v>7880.4409656881289</v>
      </c>
      <c r="AI96">
        <v>7641.016206787358</v>
      </c>
      <c r="AJ96">
        <v>41480.695303938228</v>
      </c>
      <c r="AK96">
        <v>14094.322178847933</v>
      </c>
      <c r="AL96">
        <v>1675.275929506465</v>
      </c>
      <c r="AM96">
        <v>291.82134719596598</v>
      </c>
      <c r="AO96">
        <v>41812.446034254805</v>
      </c>
      <c r="AP96">
        <v>13.669913955624461</v>
      </c>
      <c r="AQ96">
        <v>46250.503918922368</v>
      </c>
      <c r="AR96">
        <v>13.882349825437093</v>
      </c>
      <c r="AS96" s="2">
        <f t="shared" si="7"/>
        <v>4438.0578846675635</v>
      </c>
      <c r="AT96" s="2">
        <f t="shared" si="8"/>
        <v>0.21243586981263185</v>
      </c>
      <c r="AV96">
        <f t="shared" si="9"/>
        <v>1325178.9495281912</v>
      </c>
      <c r="AW96">
        <f t="shared" si="10"/>
        <v>1341984.4786247869</v>
      </c>
      <c r="AY96">
        <f t="shared" si="11"/>
        <v>0</v>
      </c>
      <c r="AZ96">
        <f t="shared" si="12"/>
        <v>1</v>
      </c>
    </row>
    <row r="97" spans="1:52" x14ac:dyDescent="0.2">
      <c r="A97">
        <f t="shared" si="13"/>
        <v>93</v>
      </c>
      <c r="B97">
        <v>2.3143582298494249E-2</v>
      </c>
      <c r="C97">
        <v>3.7213410694613147E-2</v>
      </c>
      <c r="D97">
        <v>5.2223646577579053E-2</v>
      </c>
      <c r="E97">
        <v>2.5738962966058487E-2</v>
      </c>
      <c r="F97">
        <v>3.1963788643035399E-3</v>
      </c>
      <c r="G97">
        <v>1.8750780208072637E-2</v>
      </c>
      <c r="H97">
        <v>4.4518984558657326E-2</v>
      </c>
      <c r="I97">
        <v>0.13282935077852476</v>
      </c>
      <c r="J97">
        <v>0</v>
      </c>
      <c r="K97">
        <v>0.38827440383019785</v>
      </c>
      <c r="L97">
        <v>0.16992081026649825</v>
      </c>
      <c r="M97">
        <v>0.83007918973350181</v>
      </c>
      <c r="N97">
        <v>7.0814045431438211E-2</v>
      </c>
      <c r="O97" s="72">
        <v>0.99995255305283415</v>
      </c>
      <c r="P97">
        <v>0.99999831594903332</v>
      </c>
      <c r="Q97">
        <v>0.99339762510676677</v>
      </c>
      <c r="R97">
        <v>0.47256404611132119</v>
      </c>
      <c r="S97">
        <v>0.45839172976954801</v>
      </c>
      <c r="T97">
        <v>0.20550592854785843</v>
      </c>
      <c r="U97">
        <v>0.77124465413191801</v>
      </c>
      <c r="V97">
        <v>0.66340571967566553</v>
      </c>
      <c r="W97">
        <v>0.50325266125830315</v>
      </c>
      <c r="X97">
        <v>0.43703381047857603</v>
      </c>
      <c r="Y97">
        <v>0.52572516333451413</v>
      </c>
      <c r="Z97">
        <v>0.46778933816910817</v>
      </c>
      <c r="AA97">
        <v>0.69551089299388025</v>
      </c>
      <c r="AB97">
        <v>0.77174405731528528</v>
      </c>
      <c r="AC97">
        <v>0.62264461144469752</v>
      </c>
      <c r="AD97">
        <v>0.59327772928966749</v>
      </c>
      <c r="AE97">
        <v>240.93553849154176</v>
      </c>
      <c r="AF97">
        <v>1235.7784717429331</v>
      </c>
      <c r="AG97">
        <v>1302.4028667933237</v>
      </c>
      <c r="AH97">
        <v>10161.203938576555</v>
      </c>
      <c r="AI97">
        <v>10009.976965832375</v>
      </c>
      <c r="AJ97">
        <v>43128.493051792364</v>
      </c>
      <c r="AK97">
        <v>18861.642059082813</v>
      </c>
      <c r="AL97">
        <v>1477.3473795620494</v>
      </c>
      <c r="AM97">
        <v>298.34005153283204</v>
      </c>
      <c r="AO97">
        <v>42239.127424771985</v>
      </c>
      <c r="AP97">
        <v>12.462064472180989</v>
      </c>
      <c r="AQ97">
        <v>45006.408119842177</v>
      </c>
      <c r="AR97">
        <v>12.652971781616708</v>
      </c>
      <c r="AS97" s="2">
        <f t="shared" si="7"/>
        <v>2767.2806950701925</v>
      </c>
      <c r="AT97" s="2">
        <f t="shared" si="8"/>
        <v>0.19090730943571899</v>
      </c>
      <c r="AV97">
        <f t="shared" si="9"/>
        <v>1203967.319793327</v>
      </c>
      <c r="AW97">
        <f t="shared" si="10"/>
        <v>1220290.7700418287</v>
      </c>
      <c r="AY97">
        <f t="shared" si="11"/>
        <v>0</v>
      </c>
      <c r="AZ97">
        <f t="shared" si="12"/>
        <v>1</v>
      </c>
    </row>
    <row r="98" spans="1:52" x14ac:dyDescent="0.2">
      <c r="A98">
        <f t="shared" si="13"/>
        <v>94</v>
      </c>
      <c r="B98">
        <v>2.2380877095694019E-2</v>
      </c>
      <c r="C98">
        <v>2.3033984323113404E-2</v>
      </c>
      <c r="D98">
        <v>4.1719929783813225E-2</v>
      </c>
      <c r="E98">
        <v>3.3344230773566116E-3</v>
      </c>
      <c r="F98">
        <v>3.4111213758258874E-3</v>
      </c>
      <c r="G98">
        <v>7.9391690589846794E-3</v>
      </c>
      <c r="H98">
        <v>1.5229888138735999E-2</v>
      </c>
      <c r="I98">
        <v>0.12288423460082025</v>
      </c>
      <c r="J98">
        <v>0</v>
      </c>
      <c r="K98">
        <v>0.46204676093095776</v>
      </c>
      <c r="L98">
        <v>0.31008275292255993</v>
      </c>
      <c r="M98">
        <v>0.68991724707744007</v>
      </c>
      <c r="N98">
        <v>7.4239782652723352E-2</v>
      </c>
      <c r="O98" s="72">
        <v>0.99999801842106051</v>
      </c>
      <c r="P98">
        <v>0.99810166269161227</v>
      </c>
      <c r="Q98">
        <v>0.94874665564484917</v>
      </c>
      <c r="R98">
        <v>0.4276688027078781</v>
      </c>
      <c r="S98">
        <v>0.38151890497606533</v>
      </c>
      <c r="T98">
        <v>0.13858366909410469</v>
      </c>
      <c r="U98">
        <v>0.72966273084923816</v>
      </c>
      <c r="V98">
        <v>0.6493766650145637</v>
      </c>
      <c r="W98">
        <v>0.50238064661385695</v>
      </c>
      <c r="X98">
        <v>0.49133269936009594</v>
      </c>
      <c r="Y98">
        <v>0.46472067235195935</v>
      </c>
      <c r="Z98">
        <v>0.43724391568360976</v>
      </c>
      <c r="AA98">
        <v>0.65637186906080136</v>
      </c>
      <c r="AB98">
        <v>0.84354702993668162</v>
      </c>
      <c r="AC98">
        <v>0.66932256476981333</v>
      </c>
      <c r="AD98">
        <v>0.62611180842603686</v>
      </c>
      <c r="AE98">
        <v>227.3042610024643</v>
      </c>
      <c r="AF98">
        <v>969.39949425699513</v>
      </c>
      <c r="AG98">
        <v>1607.8874767270981</v>
      </c>
      <c r="AH98">
        <v>14856.543840933517</v>
      </c>
      <c r="AI98">
        <v>7653.8310828140557</v>
      </c>
      <c r="AJ98">
        <v>34350.891205336564</v>
      </c>
      <c r="AK98">
        <v>20907.949639726914</v>
      </c>
      <c r="AL98">
        <v>1075.6793088966076</v>
      </c>
      <c r="AM98">
        <v>325.24792449244768</v>
      </c>
      <c r="AO98">
        <v>48716.85166855617</v>
      </c>
      <c r="AP98">
        <v>13.453825973523312</v>
      </c>
      <c r="AQ98">
        <v>45761.413894240635</v>
      </c>
      <c r="AR98">
        <v>13.775626724014524</v>
      </c>
      <c r="AS98" s="2">
        <f t="shared" si="7"/>
        <v>-2955.4377743155346</v>
      </c>
      <c r="AT98" s="2">
        <f t="shared" si="8"/>
        <v>0.32180075049121193</v>
      </c>
      <c r="AV98">
        <f t="shared" si="9"/>
        <v>1296665.7456837751</v>
      </c>
      <c r="AW98">
        <f t="shared" si="10"/>
        <v>1331801.2585072117</v>
      </c>
      <c r="AY98">
        <f t="shared" si="11"/>
        <v>0</v>
      </c>
      <c r="AZ98">
        <f t="shared" si="12"/>
        <v>1</v>
      </c>
    </row>
    <row r="99" spans="1:52" x14ac:dyDescent="0.2">
      <c r="A99">
        <f t="shared" si="13"/>
        <v>95</v>
      </c>
      <c r="B99">
        <v>3.2714008777980474E-2</v>
      </c>
      <c r="C99">
        <v>4.3891487233552073E-2</v>
      </c>
      <c r="D99">
        <v>3.9601598712717623E-2</v>
      </c>
      <c r="E99">
        <v>6.8253473644437129E-3</v>
      </c>
      <c r="F99">
        <v>3.3110259321594859E-3</v>
      </c>
      <c r="G99">
        <v>3.0363121058333387E-2</v>
      </c>
      <c r="H99">
        <v>2.8835482378153476E-2</v>
      </c>
      <c r="I99">
        <v>0.11898427245407024</v>
      </c>
      <c r="J99">
        <v>0</v>
      </c>
      <c r="K99">
        <v>0.40597299817060556</v>
      </c>
      <c r="L99">
        <v>0.20960242681570673</v>
      </c>
      <c r="M99">
        <v>0.79039757318429327</v>
      </c>
      <c r="N99">
        <v>5.8590409505543839E-2</v>
      </c>
      <c r="O99" s="72">
        <v>0.99999724339277041</v>
      </c>
      <c r="P99">
        <v>0.9996591612612078</v>
      </c>
      <c r="Q99">
        <v>0.9580785388130616</v>
      </c>
      <c r="R99">
        <v>0.43848353754384228</v>
      </c>
      <c r="S99">
        <v>0.47784474701606738</v>
      </c>
      <c r="T99">
        <v>0.15660328381170252</v>
      </c>
      <c r="U99">
        <v>0.77785388114103271</v>
      </c>
      <c r="V99">
        <v>0.66356569197399962</v>
      </c>
      <c r="W99">
        <v>0.44546365353637724</v>
      </c>
      <c r="X99">
        <v>0.42521357999784648</v>
      </c>
      <c r="Y99">
        <v>0.47756280929489425</v>
      </c>
      <c r="Z99">
        <v>0.43670640473290656</v>
      </c>
      <c r="AA99">
        <v>0.64963646007709441</v>
      </c>
      <c r="AB99">
        <v>0.84458336571935333</v>
      </c>
      <c r="AC99">
        <v>0.74043678384682887</v>
      </c>
      <c r="AD99">
        <v>0.63444628775684597</v>
      </c>
      <c r="AE99">
        <v>217.91616704530492</v>
      </c>
      <c r="AF99">
        <v>979.18036962267888</v>
      </c>
      <c r="AG99">
        <v>1962.6280529092758</v>
      </c>
      <c r="AH99">
        <v>17126.450027070139</v>
      </c>
      <c r="AI99">
        <v>14102.194070745036</v>
      </c>
      <c r="AJ99">
        <v>39544.66929257461</v>
      </c>
      <c r="AK99">
        <v>13340.591056920017</v>
      </c>
      <c r="AL99">
        <v>2674.0323063163896</v>
      </c>
      <c r="AM99">
        <v>407.88869121550272</v>
      </c>
      <c r="AO99">
        <v>47889.384259844308</v>
      </c>
      <c r="AP99">
        <v>13.631165171516784</v>
      </c>
      <c r="AQ99">
        <v>47021.632431310027</v>
      </c>
      <c r="AR99">
        <v>13.929746417679407</v>
      </c>
      <c r="AS99" s="2">
        <f t="shared" si="7"/>
        <v>-867.75182853428123</v>
      </c>
      <c r="AT99" s="2">
        <f t="shared" si="8"/>
        <v>0.29858124616262316</v>
      </c>
      <c r="AV99">
        <f t="shared" si="9"/>
        <v>1315227.1328918342</v>
      </c>
      <c r="AW99">
        <f t="shared" si="10"/>
        <v>1345953.0093366306</v>
      </c>
      <c r="AY99">
        <f t="shared" si="11"/>
        <v>0</v>
      </c>
      <c r="AZ99">
        <f t="shared" si="12"/>
        <v>1</v>
      </c>
    </row>
    <row r="100" spans="1:52" x14ac:dyDescent="0.2">
      <c r="A100">
        <f t="shared" si="13"/>
        <v>96</v>
      </c>
      <c r="B100">
        <v>2.0993701815030612E-2</v>
      </c>
      <c r="C100">
        <v>5.5060490224317915E-2</v>
      </c>
      <c r="D100">
        <v>5.5878386867019292E-2</v>
      </c>
      <c r="E100">
        <v>1.7772787789064548E-2</v>
      </c>
      <c r="F100">
        <v>3.419670923649476E-3</v>
      </c>
      <c r="G100">
        <v>1.512061805123277E-2</v>
      </c>
      <c r="H100">
        <v>2.522214418558056E-2</v>
      </c>
      <c r="I100">
        <v>0.11865151125071267</v>
      </c>
      <c r="J100">
        <v>0</v>
      </c>
      <c r="K100">
        <v>0.41288107725834977</v>
      </c>
      <c r="L100">
        <v>0.19747866143620596</v>
      </c>
      <c r="M100">
        <v>0.80252133856379404</v>
      </c>
      <c r="N100">
        <v>6.3347905240045743E-2</v>
      </c>
      <c r="O100" s="72">
        <v>0.99959350025843174</v>
      </c>
      <c r="P100">
        <v>0.99999989795838096</v>
      </c>
      <c r="Q100">
        <v>0.95759359380288445</v>
      </c>
      <c r="R100">
        <v>0.49856600454603028</v>
      </c>
      <c r="S100">
        <v>0.37170128128126545</v>
      </c>
      <c r="T100">
        <v>0.25874274095146121</v>
      </c>
      <c r="U100">
        <v>0.76327625980058356</v>
      </c>
      <c r="V100">
        <v>0.57811778089708987</v>
      </c>
      <c r="W100">
        <v>0.49976366146236523</v>
      </c>
      <c r="X100">
        <v>0.47426061487889848</v>
      </c>
      <c r="Y100">
        <v>0.45430058627387948</v>
      </c>
      <c r="Z100">
        <v>0.39396536761857942</v>
      </c>
      <c r="AA100">
        <v>0.73931130731389527</v>
      </c>
      <c r="AB100">
        <v>0.86320268680257206</v>
      </c>
      <c r="AC100">
        <v>0.68099811677736033</v>
      </c>
      <c r="AD100">
        <v>0.58991166124518646</v>
      </c>
      <c r="AE100">
        <v>184.081070732201</v>
      </c>
      <c r="AF100">
        <v>1031.0805144864564</v>
      </c>
      <c r="AG100">
        <v>1091.4790935990152</v>
      </c>
      <c r="AH100">
        <v>15350.988489553336</v>
      </c>
      <c r="AI100">
        <v>8472.2425931888156</v>
      </c>
      <c r="AJ100">
        <v>40220.641179096856</v>
      </c>
      <c r="AK100">
        <v>12267.975112426488</v>
      </c>
      <c r="AL100">
        <v>1944.0254811003865</v>
      </c>
      <c r="AM100">
        <v>223.66018725818631</v>
      </c>
      <c r="AO100">
        <v>40188.164518856327</v>
      </c>
      <c r="AP100">
        <v>13.75164654589666</v>
      </c>
      <c r="AQ100">
        <v>44014.927669778175</v>
      </c>
      <c r="AR100">
        <v>14.020156194907409</v>
      </c>
      <c r="AS100" s="2">
        <f t="shared" si="7"/>
        <v>3826.7631509218481</v>
      </c>
      <c r="AT100" s="2">
        <f t="shared" si="8"/>
        <v>0.26850964901074903</v>
      </c>
      <c r="AV100">
        <f t="shared" si="9"/>
        <v>1334976.4900708096</v>
      </c>
      <c r="AW100">
        <f t="shared" si="10"/>
        <v>1358000.6918209628</v>
      </c>
      <c r="AY100">
        <f t="shared" si="11"/>
        <v>0</v>
      </c>
      <c r="AZ100">
        <f t="shared" si="12"/>
        <v>1</v>
      </c>
    </row>
    <row r="101" spans="1:52" x14ac:dyDescent="0.2">
      <c r="A101">
        <f t="shared" si="13"/>
        <v>97</v>
      </c>
      <c r="B101">
        <v>2.4006925840464183E-2</v>
      </c>
      <c r="C101">
        <v>4.2154322680500789E-2</v>
      </c>
      <c r="D101">
        <v>3.5896928223471493E-2</v>
      </c>
      <c r="E101">
        <v>1.2884884300337074E-2</v>
      </c>
      <c r="F101">
        <v>3.3874412769481221E-3</v>
      </c>
      <c r="G101">
        <v>1.2228127662295418E-2</v>
      </c>
      <c r="H101">
        <v>1.8397565681182521E-2</v>
      </c>
      <c r="I101">
        <v>0.13290222999999057</v>
      </c>
      <c r="J101">
        <v>0</v>
      </c>
      <c r="K101">
        <v>0.43533953266858549</v>
      </c>
      <c r="L101">
        <v>0.22566041759444577</v>
      </c>
      <c r="M101">
        <v>0.77433958240555423</v>
      </c>
      <c r="N101">
        <v>7.6181107147856086E-2</v>
      </c>
      <c r="O101" s="72">
        <v>0.99856012911697822</v>
      </c>
      <c r="P101">
        <v>0.98039945525609917</v>
      </c>
      <c r="Q101">
        <v>0.98568006471529102</v>
      </c>
      <c r="R101">
        <v>0.49758254698455318</v>
      </c>
      <c r="S101">
        <v>0.40706423889436993</v>
      </c>
      <c r="T101">
        <v>0.27978770297216826</v>
      </c>
      <c r="U101">
        <v>0.77131570682333761</v>
      </c>
      <c r="V101">
        <v>0.64772812941435931</v>
      </c>
      <c r="W101">
        <v>0.45964459111705835</v>
      </c>
      <c r="X101">
        <v>0.46477870865256976</v>
      </c>
      <c r="Y101">
        <v>0.3875789280786342</v>
      </c>
      <c r="Z101">
        <v>0.46749559743287938</v>
      </c>
      <c r="AA101">
        <v>0.67124327061225875</v>
      </c>
      <c r="AB101">
        <v>0.74892449039929987</v>
      </c>
      <c r="AC101">
        <v>0.68051622100371023</v>
      </c>
      <c r="AD101">
        <v>0.53465752527089538</v>
      </c>
      <c r="AE101">
        <v>224.2130297473507</v>
      </c>
      <c r="AF101">
        <v>896.03344618191045</v>
      </c>
      <c r="AG101">
        <v>1746.5815778326196</v>
      </c>
      <c r="AH101">
        <v>14345.446852928066</v>
      </c>
      <c r="AI101">
        <v>10089.455558071406</v>
      </c>
      <c r="AJ101">
        <v>37296.044347299503</v>
      </c>
      <c r="AK101">
        <v>19032.533025195269</v>
      </c>
      <c r="AL101">
        <v>1835.9247496709311</v>
      </c>
      <c r="AM101">
        <v>493.23650923736454</v>
      </c>
      <c r="AO101">
        <v>43476.332510330452</v>
      </c>
      <c r="AP101">
        <v>12.263693918018792</v>
      </c>
      <c r="AQ101">
        <v>48791.598809022871</v>
      </c>
      <c r="AR101">
        <v>12.359230143462035</v>
      </c>
      <c r="AS101" s="2">
        <f t="shared" si="7"/>
        <v>5315.2662986924188</v>
      </c>
      <c r="AT101" s="2">
        <f t="shared" si="8"/>
        <v>9.5536225443243694E-2</v>
      </c>
      <c r="AV101">
        <f t="shared" si="9"/>
        <v>1182893.0592915488</v>
      </c>
      <c r="AW101">
        <f t="shared" si="10"/>
        <v>1187131.4155371806</v>
      </c>
      <c r="AY101">
        <f t="shared" si="11"/>
        <v>0</v>
      </c>
      <c r="AZ101">
        <f t="shared" si="12"/>
        <v>1</v>
      </c>
    </row>
    <row r="102" spans="1:52" x14ac:dyDescent="0.2">
      <c r="A102">
        <f t="shared" si="13"/>
        <v>98</v>
      </c>
      <c r="B102">
        <v>2.4796812938245649E-2</v>
      </c>
      <c r="C102">
        <v>3.6125441702531361E-2</v>
      </c>
      <c r="D102">
        <v>5.6754408186948324E-2</v>
      </c>
      <c r="E102">
        <v>6.2279160100168129E-3</v>
      </c>
      <c r="F102">
        <v>3.3700863755242727E-3</v>
      </c>
      <c r="G102">
        <v>2.6717372210182111E-2</v>
      </c>
      <c r="H102">
        <v>3.0232872356109386E-2</v>
      </c>
      <c r="I102">
        <v>0.110975679745712</v>
      </c>
      <c r="J102">
        <v>0</v>
      </c>
      <c r="K102">
        <v>0.45270536555659424</v>
      </c>
      <c r="L102">
        <v>0.22594871349996104</v>
      </c>
      <c r="M102">
        <v>0.77405128650003896</v>
      </c>
      <c r="N102">
        <v>6.2863307621841114E-2</v>
      </c>
      <c r="O102" s="72">
        <v>0.98940474281037827</v>
      </c>
      <c r="P102">
        <v>0.99996673841001438</v>
      </c>
      <c r="Q102">
        <v>0.95422585609776844</v>
      </c>
      <c r="R102">
        <v>0.47438052857650115</v>
      </c>
      <c r="S102">
        <v>0.37281345306718916</v>
      </c>
      <c r="T102">
        <v>0.30700616678442461</v>
      </c>
      <c r="U102">
        <v>0.76836904660748295</v>
      </c>
      <c r="V102">
        <v>0.70530274196762988</v>
      </c>
      <c r="W102">
        <v>0.53707263406368078</v>
      </c>
      <c r="X102">
        <v>0.43754505096441226</v>
      </c>
      <c r="Y102">
        <v>0.46578399114054914</v>
      </c>
      <c r="Z102">
        <v>0.47314065375844638</v>
      </c>
      <c r="AA102">
        <v>0.71344845911279264</v>
      </c>
      <c r="AB102">
        <v>0.88248242187336701</v>
      </c>
      <c r="AC102">
        <v>0.73985531003229532</v>
      </c>
      <c r="AD102">
        <v>0.61982960610799265</v>
      </c>
      <c r="AE102">
        <v>223.66557227253014</v>
      </c>
      <c r="AF102">
        <v>950.95519261237257</v>
      </c>
      <c r="AG102">
        <v>1576.5155851953637</v>
      </c>
      <c r="AH102">
        <v>15056.871062729626</v>
      </c>
      <c r="AI102">
        <v>8229.3949236925309</v>
      </c>
      <c r="AJ102">
        <v>40058.027517388437</v>
      </c>
      <c r="AK102">
        <v>15166.665227272868</v>
      </c>
      <c r="AL102">
        <v>2139.3649720507519</v>
      </c>
      <c r="AM102">
        <v>414.89782418340349</v>
      </c>
      <c r="AO102">
        <v>43669.401040977558</v>
      </c>
      <c r="AP102">
        <v>14.191285062288326</v>
      </c>
      <c r="AQ102">
        <v>47122.200075439352</v>
      </c>
      <c r="AR102">
        <v>14.434433320101142</v>
      </c>
      <c r="AS102" s="2">
        <f t="shared" si="7"/>
        <v>3452.7990344617938</v>
      </c>
      <c r="AT102" s="2">
        <f t="shared" si="8"/>
        <v>0.24314825781281613</v>
      </c>
      <c r="AV102">
        <f t="shared" si="9"/>
        <v>1375459.105187855</v>
      </c>
      <c r="AW102">
        <f t="shared" si="10"/>
        <v>1396321.1319346749</v>
      </c>
      <c r="AY102">
        <f t="shared" si="11"/>
        <v>0</v>
      </c>
      <c r="AZ102">
        <f t="shared" si="12"/>
        <v>1</v>
      </c>
    </row>
    <row r="103" spans="1:52" x14ac:dyDescent="0.2">
      <c r="A103">
        <f t="shared" si="13"/>
        <v>99</v>
      </c>
      <c r="B103">
        <v>2.667423887202347E-2</v>
      </c>
      <c r="C103">
        <v>4.4796400776957124E-2</v>
      </c>
      <c r="D103">
        <v>3.7673596196399532E-2</v>
      </c>
      <c r="E103">
        <v>1.3386498852023365E-2</v>
      </c>
      <c r="F103">
        <v>3.4574780324811982E-3</v>
      </c>
      <c r="G103">
        <v>4.3513992384526454E-3</v>
      </c>
      <c r="H103">
        <v>2.8203293264229493E-2</v>
      </c>
      <c r="I103">
        <v>0.14415004040542811</v>
      </c>
      <c r="J103">
        <v>0</v>
      </c>
      <c r="K103">
        <v>0.41407833816900647</v>
      </c>
      <c r="L103">
        <v>0.28412914202089701</v>
      </c>
      <c r="M103">
        <v>0.71587085797910299</v>
      </c>
      <c r="N103">
        <v>4.8857098723856761E-2</v>
      </c>
      <c r="O103" s="72">
        <v>0.99996998965901607</v>
      </c>
      <c r="P103">
        <v>0.9977152946529253</v>
      </c>
      <c r="Q103">
        <v>0.9901696359472193</v>
      </c>
      <c r="R103">
        <v>0.50005556113388983</v>
      </c>
      <c r="S103">
        <v>0.33460047623442102</v>
      </c>
      <c r="T103">
        <v>0.28231430354354448</v>
      </c>
      <c r="U103">
        <v>0.77495725394538395</v>
      </c>
      <c r="V103">
        <v>0.6471696171683643</v>
      </c>
      <c r="W103">
        <v>0.51434005923734072</v>
      </c>
      <c r="X103">
        <v>0.45935739967887246</v>
      </c>
      <c r="Y103">
        <v>0.46848304198552637</v>
      </c>
      <c r="Z103">
        <v>0.46184611254572838</v>
      </c>
      <c r="AA103">
        <v>0.63664942350829778</v>
      </c>
      <c r="AB103">
        <v>0.8423856600128623</v>
      </c>
      <c r="AC103">
        <v>0.61009240306341783</v>
      </c>
      <c r="AD103">
        <v>0.57174722122428479</v>
      </c>
      <c r="AE103">
        <v>215.71011345938706</v>
      </c>
      <c r="AF103">
        <v>1094.9454528367717</v>
      </c>
      <c r="AG103">
        <v>1770.7264026559467</v>
      </c>
      <c r="AH103">
        <v>16702.641250944671</v>
      </c>
      <c r="AI103">
        <v>6877.4910689944645</v>
      </c>
      <c r="AJ103">
        <v>41056.578463373313</v>
      </c>
      <c r="AK103">
        <v>15819.544523851142</v>
      </c>
      <c r="AL103">
        <v>2191.4002573684261</v>
      </c>
      <c r="AM103">
        <v>255.54488987228984</v>
      </c>
      <c r="AO103">
        <v>40952.821113695471</v>
      </c>
      <c r="AP103">
        <v>13.378240716456441</v>
      </c>
      <c r="AQ103">
        <v>44562.991712153424</v>
      </c>
      <c r="AR103">
        <v>13.578191757908538</v>
      </c>
      <c r="AS103" s="2">
        <f t="shared" si="7"/>
        <v>3610.170598457953</v>
      </c>
      <c r="AT103" s="2">
        <f t="shared" si="8"/>
        <v>0.1999510414520973</v>
      </c>
      <c r="AV103">
        <f t="shared" si="9"/>
        <v>1296871.2505319486</v>
      </c>
      <c r="AW103">
        <f t="shared" si="10"/>
        <v>1313256.1840787004</v>
      </c>
      <c r="AY103">
        <f t="shared" si="11"/>
        <v>0</v>
      </c>
      <c r="AZ103">
        <f t="shared" si="12"/>
        <v>1</v>
      </c>
    </row>
    <row r="104" spans="1:52" x14ac:dyDescent="0.2">
      <c r="A104">
        <f t="shared" si="13"/>
        <v>100</v>
      </c>
      <c r="B104">
        <v>2.5879387957636113E-2</v>
      </c>
      <c r="C104">
        <v>3.2699674002936815E-2</v>
      </c>
      <c r="D104">
        <v>4.1675539008731888E-2</v>
      </c>
      <c r="E104">
        <v>4.1455032856518303E-2</v>
      </c>
      <c r="F104">
        <v>3.4001666788222584E-3</v>
      </c>
      <c r="G104">
        <v>1.9136797412162676E-2</v>
      </c>
      <c r="H104">
        <v>1.7372268750684053E-2</v>
      </c>
      <c r="I104">
        <v>0.12693686344923183</v>
      </c>
      <c r="J104">
        <v>0</v>
      </c>
      <c r="K104">
        <v>0.41093656386653687</v>
      </c>
      <c r="L104">
        <v>0.19011604445759431</v>
      </c>
      <c r="M104">
        <v>0.80988395554240566</v>
      </c>
      <c r="N104">
        <v>4.3912159364246604E-2</v>
      </c>
      <c r="O104" s="72">
        <v>0.99321307969229389</v>
      </c>
      <c r="P104">
        <v>0.99851155248717838</v>
      </c>
      <c r="Q104">
        <v>0.87020061442550822</v>
      </c>
      <c r="R104">
        <v>0.49500666431839346</v>
      </c>
      <c r="S104">
        <v>0.34879247484133369</v>
      </c>
      <c r="T104">
        <v>0.22226231534740615</v>
      </c>
      <c r="U104">
        <v>0.78636992765341929</v>
      </c>
      <c r="V104">
        <v>0.61539322847967814</v>
      </c>
      <c r="W104">
        <v>0.53482398751268789</v>
      </c>
      <c r="X104">
        <v>0.41566232344472609</v>
      </c>
      <c r="Y104">
        <v>0.41794544858573107</v>
      </c>
      <c r="Z104">
        <v>0.47175610767090437</v>
      </c>
      <c r="AA104">
        <v>0.61671613899861977</v>
      </c>
      <c r="AB104">
        <v>0.82346158362867949</v>
      </c>
      <c r="AC104">
        <v>0.81468118172952286</v>
      </c>
      <c r="AD104">
        <v>0.74460768599082261</v>
      </c>
      <c r="AE104">
        <v>127.55238922854907</v>
      </c>
      <c r="AF104">
        <v>1047.8555146706851</v>
      </c>
      <c r="AG104">
        <v>1484.753723166888</v>
      </c>
      <c r="AH104">
        <v>12589.870569477405</v>
      </c>
      <c r="AI104">
        <v>7413.8873547989269</v>
      </c>
      <c r="AJ104">
        <v>35369.768574339068</v>
      </c>
      <c r="AK104">
        <v>15588.111852431906</v>
      </c>
      <c r="AL104">
        <v>1479.0706624128331</v>
      </c>
      <c r="AM104">
        <v>428.8996642694745</v>
      </c>
      <c r="AO104">
        <v>43755.855753344644</v>
      </c>
      <c r="AP104">
        <v>13.61944825371925</v>
      </c>
      <c r="AQ104">
        <v>47546.312568978836</v>
      </c>
      <c r="AR104">
        <v>13.909649198023157</v>
      </c>
      <c r="AS104" s="2">
        <f t="shared" si="7"/>
        <v>3790.456815634192</v>
      </c>
      <c r="AT104" s="2">
        <f t="shared" si="8"/>
        <v>0.29020094430390664</v>
      </c>
      <c r="AV104">
        <f t="shared" si="9"/>
        <v>1318188.9696185803</v>
      </c>
      <c r="AW104">
        <f t="shared" si="10"/>
        <v>1343418.6072333369</v>
      </c>
      <c r="AY104">
        <f t="shared" si="11"/>
        <v>0</v>
      </c>
      <c r="AZ104">
        <f t="shared" si="12"/>
        <v>1</v>
      </c>
    </row>
    <row r="105" spans="1:52" x14ac:dyDescent="0.2">
      <c r="A105">
        <f t="shared" si="13"/>
        <v>101</v>
      </c>
      <c r="B105">
        <v>1.8879901248383676E-2</v>
      </c>
      <c r="C105">
        <v>3.5752532737577426E-2</v>
      </c>
      <c r="D105">
        <v>2.4559183272958068E-2</v>
      </c>
      <c r="E105">
        <v>7.3393217730067292E-3</v>
      </c>
      <c r="F105">
        <v>3.4185374423634229E-3</v>
      </c>
      <c r="G105">
        <v>1.2126228116033366E-2</v>
      </c>
      <c r="H105">
        <v>1.8301193316429341E-2</v>
      </c>
      <c r="I105">
        <v>0.1280787115883506</v>
      </c>
      <c r="J105">
        <v>0</v>
      </c>
      <c r="K105">
        <v>0.40266460463757547</v>
      </c>
      <c r="L105">
        <v>0.31342562213777081</v>
      </c>
      <c r="M105">
        <v>0.68657437786222919</v>
      </c>
      <c r="N105">
        <v>6.3346248292891483E-2</v>
      </c>
      <c r="O105" s="72">
        <v>0.99936507125156837</v>
      </c>
      <c r="P105">
        <v>0.99801515048938305</v>
      </c>
      <c r="Q105">
        <v>0.94689761451918664</v>
      </c>
      <c r="R105">
        <v>0.51661327508129484</v>
      </c>
      <c r="S105">
        <v>0.35460482050390452</v>
      </c>
      <c r="T105">
        <v>0.23326464798912916</v>
      </c>
      <c r="U105">
        <v>0.75140791046682309</v>
      </c>
      <c r="V105">
        <v>0.66058256947911242</v>
      </c>
      <c r="W105">
        <v>0.56789788695508114</v>
      </c>
      <c r="X105">
        <v>0.44917382687217805</v>
      </c>
      <c r="Y105">
        <v>0.40679498088423721</v>
      </c>
      <c r="Z105">
        <v>0.44997185064362</v>
      </c>
      <c r="AA105">
        <v>0.76990854550659005</v>
      </c>
      <c r="AB105">
        <v>0.78278099779038168</v>
      </c>
      <c r="AC105">
        <v>0.6814100646747322</v>
      </c>
      <c r="AD105">
        <v>0.64729970945468129</v>
      </c>
      <c r="AE105">
        <v>154.0352777215773</v>
      </c>
      <c r="AF105">
        <v>1147.2627483737233</v>
      </c>
      <c r="AG105">
        <v>2165.8666670736125</v>
      </c>
      <c r="AH105">
        <v>13644.22092402596</v>
      </c>
      <c r="AI105">
        <v>10095.125677349717</v>
      </c>
      <c r="AJ105">
        <v>36619.833868790774</v>
      </c>
      <c r="AK105">
        <v>11921.298055679354</v>
      </c>
      <c r="AL105">
        <v>1195.8585713634673</v>
      </c>
      <c r="AM105">
        <v>330.35850650624218</v>
      </c>
      <c r="AO105">
        <v>41693.703537354479</v>
      </c>
      <c r="AP105">
        <v>12.858444498646747</v>
      </c>
      <c r="AQ105">
        <v>45816.806754282705</v>
      </c>
      <c r="AR105">
        <v>12.983292912342153</v>
      </c>
      <c r="AS105" s="2">
        <f t="shared" si="7"/>
        <v>4123.1032169282262</v>
      </c>
      <c r="AT105" s="2">
        <f t="shared" si="8"/>
        <v>0.12484841369540511</v>
      </c>
      <c r="AV105">
        <f t="shared" si="9"/>
        <v>1244150.7463273203</v>
      </c>
      <c r="AW105">
        <f t="shared" si="10"/>
        <v>1252512.4844799326</v>
      </c>
      <c r="AY105">
        <f t="shared" si="11"/>
        <v>0</v>
      </c>
      <c r="AZ105">
        <f t="shared" si="12"/>
        <v>1</v>
      </c>
    </row>
    <row r="106" spans="1:52" x14ac:dyDescent="0.2">
      <c r="A106">
        <f t="shared" si="13"/>
        <v>102</v>
      </c>
      <c r="B106">
        <v>2.2003105484064325E-2</v>
      </c>
      <c r="C106">
        <v>4.6298303782754235E-2</v>
      </c>
      <c r="D106">
        <v>4.6049176052589735E-2</v>
      </c>
      <c r="E106">
        <v>1.5956888205060731E-3</v>
      </c>
      <c r="F106">
        <v>3.3648795705448764E-3</v>
      </c>
      <c r="G106">
        <v>1.4799162627874174E-2</v>
      </c>
      <c r="H106">
        <v>2.0985864311256396E-2</v>
      </c>
      <c r="I106">
        <v>0.1339024046783992</v>
      </c>
      <c r="J106">
        <v>0</v>
      </c>
      <c r="K106">
        <v>0.46956253626153632</v>
      </c>
      <c r="L106">
        <v>0.18029757061184878</v>
      </c>
      <c r="M106">
        <v>0.81970242938815119</v>
      </c>
      <c r="N106">
        <v>4.9678226577858212E-2</v>
      </c>
      <c r="O106" s="72">
        <v>0.99984105177857674</v>
      </c>
      <c r="P106">
        <v>0.99985922705495434</v>
      </c>
      <c r="Q106">
        <v>0.94237434988858926</v>
      </c>
      <c r="R106">
        <v>0.41176354484416666</v>
      </c>
      <c r="S106">
        <v>0.47220949758167585</v>
      </c>
      <c r="T106">
        <v>0.19876979268548434</v>
      </c>
      <c r="U106">
        <v>0.76700513578478446</v>
      </c>
      <c r="V106">
        <v>0.61211518157946032</v>
      </c>
      <c r="W106">
        <v>0.61529352453560371</v>
      </c>
      <c r="X106">
        <v>0.4249773762787849</v>
      </c>
      <c r="Y106">
        <v>0.45805894394114366</v>
      </c>
      <c r="Z106">
        <v>0.41893566213129685</v>
      </c>
      <c r="AA106">
        <v>0.78992298340184153</v>
      </c>
      <c r="AB106">
        <v>0.82404021246565307</v>
      </c>
      <c r="AC106">
        <v>0.80655749506854202</v>
      </c>
      <c r="AD106">
        <v>0.63112836633221159</v>
      </c>
      <c r="AE106">
        <v>218.92500257127631</v>
      </c>
      <c r="AF106">
        <v>1043.4435199199547</v>
      </c>
      <c r="AG106">
        <v>1619.4619257361271</v>
      </c>
      <c r="AH106">
        <v>13251.605466562398</v>
      </c>
      <c r="AI106">
        <v>8845.3560026186515</v>
      </c>
      <c r="AJ106">
        <v>35617.70875555071</v>
      </c>
      <c r="AK106">
        <v>18642.985716620369</v>
      </c>
      <c r="AL106">
        <v>1826.7301041546748</v>
      </c>
      <c r="AM106">
        <v>437.79483686113957</v>
      </c>
      <c r="AO106">
        <v>48431.361595325237</v>
      </c>
      <c r="AP106">
        <v>13.560649359365039</v>
      </c>
      <c r="AQ106">
        <v>47435.677577594754</v>
      </c>
      <c r="AR106">
        <v>13.759529634732669</v>
      </c>
      <c r="AS106" s="2">
        <f t="shared" si="7"/>
        <v>-995.6840177304839</v>
      </c>
      <c r="AT106" s="2">
        <f t="shared" si="8"/>
        <v>0.19888027536762998</v>
      </c>
      <c r="AV106">
        <f t="shared" si="9"/>
        <v>1307633.5743411786</v>
      </c>
      <c r="AW106">
        <f t="shared" si="10"/>
        <v>1328517.2858956722</v>
      </c>
      <c r="AY106">
        <f t="shared" si="11"/>
        <v>0</v>
      </c>
      <c r="AZ106">
        <f t="shared" si="12"/>
        <v>1</v>
      </c>
    </row>
    <row r="107" spans="1:52" x14ac:dyDescent="0.2">
      <c r="A107">
        <f t="shared" si="13"/>
        <v>103</v>
      </c>
      <c r="B107">
        <v>2.806446404499785E-2</v>
      </c>
      <c r="C107">
        <v>3.2396794002751937E-2</v>
      </c>
      <c r="D107">
        <v>3.6248871660966388E-2</v>
      </c>
      <c r="E107">
        <v>5.4368836748271959E-3</v>
      </c>
      <c r="F107">
        <v>3.2173090798936327E-3</v>
      </c>
      <c r="G107">
        <v>8.5115849775173891E-3</v>
      </c>
      <c r="H107">
        <v>2.3217432141317256E-2</v>
      </c>
      <c r="I107">
        <v>0.13590844963629523</v>
      </c>
      <c r="J107">
        <v>0</v>
      </c>
      <c r="K107">
        <v>0.47775997682429006</v>
      </c>
      <c r="L107">
        <v>0.28683032047982582</v>
      </c>
      <c r="M107">
        <v>0.71316967952017418</v>
      </c>
      <c r="N107">
        <v>5.697286051333128E-2</v>
      </c>
      <c r="O107" s="72">
        <v>0.99990973120925775</v>
      </c>
      <c r="P107">
        <v>0.9997058264377815</v>
      </c>
      <c r="Q107">
        <v>0.95087094930345284</v>
      </c>
      <c r="R107">
        <v>0.47174231409742184</v>
      </c>
      <c r="S107">
        <v>0.36049883127211224</v>
      </c>
      <c r="T107">
        <v>0.22118562321107582</v>
      </c>
      <c r="U107">
        <v>0.72955812392114394</v>
      </c>
      <c r="V107">
        <v>0.68174889367857916</v>
      </c>
      <c r="W107">
        <v>0.53712106920880731</v>
      </c>
      <c r="X107">
        <v>0.42986214924721999</v>
      </c>
      <c r="Y107">
        <v>0.42953519631377612</v>
      </c>
      <c r="Z107">
        <v>0.47441354943202951</v>
      </c>
      <c r="AA107">
        <v>0.68986807926145244</v>
      </c>
      <c r="AB107">
        <v>0.81157497628036024</v>
      </c>
      <c r="AC107">
        <v>0.69944750601157946</v>
      </c>
      <c r="AD107">
        <v>0.54251509351492966</v>
      </c>
      <c r="AE107">
        <v>257.52937492060943</v>
      </c>
      <c r="AF107">
        <v>1020.7780678431527</v>
      </c>
      <c r="AG107">
        <v>1430.9113702509474</v>
      </c>
      <c r="AH107">
        <v>14319.308923332312</v>
      </c>
      <c r="AI107">
        <v>13808.67554112057</v>
      </c>
      <c r="AJ107">
        <v>40011.274734742023</v>
      </c>
      <c r="AK107">
        <v>24041.041795429595</v>
      </c>
      <c r="AL107">
        <v>2061.0119239844917</v>
      </c>
      <c r="AM107">
        <v>382.49303474981929</v>
      </c>
      <c r="AO107">
        <v>44862.265301191976</v>
      </c>
      <c r="AP107">
        <v>13.082737167776862</v>
      </c>
      <c r="AQ107">
        <v>46569.996247658077</v>
      </c>
      <c r="AR107">
        <v>13.272863025704593</v>
      </c>
      <c r="AS107" s="2">
        <f t="shared" si="7"/>
        <v>1707.7309464661012</v>
      </c>
      <c r="AT107" s="2">
        <f t="shared" si="8"/>
        <v>0.19012585792773073</v>
      </c>
      <c r="AV107">
        <f t="shared" si="9"/>
        <v>1263411.4514764943</v>
      </c>
      <c r="AW107">
        <f t="shared" si="10"/>
        <v>1280716.3063228014</v>
      </c>
      <c r="AY107">
        <f t="shared" si="11"/>
        <v>0</v>
      </c>
      <c r="AZ107">
        <f t="shared" si="12"/>
        <v>1</v>
      </c>
    </row>
    <row r="108" spans="1:52" x14ac:dyDescent="0.2">
      <c r="A108">
        <f t="shared" si="13"/>
        <v>104</v>
      </c>
      <c r="B108">
        <v>3.4183141803058703E-2</v>
      </c>
      <c r="C108">
        <v>3.8151248976060814E-2</v>
      </c>
      <c r="D108">
        <v>4.9071920517211542E-2</v>
      </c>
      <c r="E108">
        <v>1.0088937005400924E-2</v>
      </c>
      <c r="F108">
        <v>3.3457865255533958E-3</v>
      </c>
      <c r="G108">
        <v>2.2252457666172001E-3</v>
      </c>
      <c r="H108">
        <v>4.2585374306785995E-2</v>
      </c>
      <c r="I108">
        <v>0.13161563249156838</v>
      </c>
      <c r="J108">
        <v>0</v>
      </c>
      <c r="K108">
        <v>0.46852271911462395</v>
      </c>
      <c r="L108">
        <v>0.17030718365619635</v>
      </c>
      <c r="M108">
        <v>0.82969281634380365</v>
      </c>
      <c r="N108">
        <v>7.0819285353569184E-2</v>
      </c>
      <c r="O108" s="72">
        <v>0.99654988739386607</v>
      </c>
      <c r="P108">
        <v>0.99558767367993672</v>
      </c>
      <c r="Q108">
        <v>0.93673205031959483</v>
      </c>
      <c r="R108">
        <v>0.48445729122739767</v>
      </c>
      <c r="S108">
        <v>0.40471019126284302</v>
      </c>
      <c r="T108">
        <v>0.27596745123586153</v>
      </c>
      <c r="U108">
        <v>0.74104151255669271</v>
      </c>
      <c r="V108">
        <v>0.69369357647358931</v>
      </c>
      <c r="W108">
        <v>0.49602279256486254</v>
      </c>
      <c r="X108">
        <v>0.38602381742063818</v>
      </c>
      <c r="Y108">
        <v>0.38441451506432933</v>
      </c>
      <c r="Z108">
        <v>0.42256391785588682</v>
      </c>
      <c r="AA108">
        <v>0.64921129952639822</v>
      </c>
      <c r="AB108">
        <v>0.71513555981457211</v>
      </c>
      <c r="AC108">
        <v>0.77196966369902897</v>
      </c>
      <c r="AD108">
        <v>0.6510532934044968</v>
      </c>
      <c r="AE108">
        <v>220.41150042311966</v>
      </c>
      <c r="AF108">
        <v>945.24448051318279</v>
      </c>
      <c r="AG108">
        <v>1369.8835165861669</v>
      </c>
      <c r="AH108">
        <v>13795.271076698697</v>
      </c>
      <c r="AI108">
        <v>14457.887919053535</v>
      </c>
      <c r="AJ108">
        <v>36311.942468863759</v>
      </c>
      <c r="AK108">
        <v>12862.078237419615</v>
      </c>
      <c r="AL108">
        <v>1617.5972605623977</v>
      </c>
      <c r="AM108">
        <v>437.37779080568959</v>
      </c>
      <c r="AO108">
        <v>43396.071572933179</v>
      </c>
      <c r="AP108">
        <v>12.120138121120712</v>
      </c>
      <c r="AQ108">
        <v>47584.525157961194</v>
      </c>
      <c r="AR108">
        <v>12.21243773347148</v>
      </c>
      <c r="AS108" s="2">
        <f t="shared" si="7"/>
        <v>4188.4535850280154</v>
      </c>
      <c r="AT108" s="2">
        <f t="shared" si="8"/>
        <v>9.2299612350768001E-2</v>
      </c>
      <c r="AV108">
        <f t="shared" si="9"/>
        <v>1168617.7405391382</v>
      </c>
      <c r="AW108">
        <f t="shared" si="10"/>
        <v>1173659.2481891867</v>
      </c>
      <c r="AY108">
        <f t="shared" si="11"/>
        <v>0</v>
      </c>
      <c r="AZ108">
        <f t="shared" si="12"/>
        <v>1</v>
      </c>
    </row>
    <row r="109" spans="1:52" x14ac:dyDescent="0.2">
      <c r="A109">
        <f t="shared" si="13"/>
        <v>105</v>
      </c>
      <c r="B109">
        <v>2.0988804487919857E-2</v>
      </c>
      <c r="C109">
        <v>4.2629508488669976E-2</v>
      </c>
      <c r="D109">
        <v>6.221125952606632E-2</v>
      </c>
      <c r="E109">
        <v>4.5980746281077192E-3</v>
      </c>
      <c r="F109">
        <v>3.3079219052067356E-3</v>
      </c>
      <c r="G109">
        <v>3.784521453814893E-2</v>
      </c>
      <c r="H109">
        <v>5.094683234543862E-2</v>
      </c>
      <c r="I109">
        <v>0.13329656254403643</v>
      </c>
      <c r="J109">
        <v>0</v>
      </c>
      <c r="K109">
        <v>0.39052936831132695</v>
      </c>
      <c r="L109">
        <v>0.15192366896676893</v>
      </c>
      <c r="M109">
        <v>0.8480763310332311</v>
      </c>
      <c r="N109">
        <v>5.5397885852715975E-2</v>
      </c>
      <c r="O109" s="72">
        <v>0.99879764204869748</v>
      </c>
      <c r="P109">
        <v>0.99988544562927828</v>
      </c>
      <c r="Q109">
        <v>0.98513239435856603</v>
      </c>
      <c r="R109">
        <v>0.46958706843520837</v>
      </c>
      <c r="S109">
        <v>0.49579933187213698</v>
      </c>
      <c r="T109">
        <v>0.22181094318812156</v>
      </c>
      <c r="U109">
        <v>0.75999252031786624</v>
      </c>
      <c r="V109">
        <v>0.65686604765256107</v>
      </c>
      <c r="W109">
        <v>0.53760571498663901</v>
      </c>
      <c r="X109">
        <v>0.43145697215291545</v>
      </c>
      <c r="Y109">
        <v>0.52706904834906021</v>
      </c>
      <c r="Z109">
        <v>0.44634003182650656</v>
      </c>
      <c r="AA109">
        <v>0.6717856897394725</v>
      </c>
      <c r="AB109">
        <v>0.85662535486496449</v>
      </c>
      <c r="AC109">
        <v>0.71080141155068699</v>
      </c>
      <c r="AD109">
        <v>0.56642930622502996</v>
      </c>
      <c r="AE109">
        <v>283.04634795515562</v>
      </c>
      <c r="AF109">
        <v>1178.5915758600781</v>
      </c>
      <c r="AG109">
        <v>1505.9461437652128</v>
      </c>
      <c r="AH109">
        <v>14654.743299746677</v>
      </c>
      <c r="AI109">
        <v>10947.16996708363</v>
      </c>
      <c r="AJ109">
        <v>39166.524989034471</v>
      </c>
      <c r="AK109">
        <v>12286.274225106738</v>
      </c>
      <c r="AL109">
        <v>2545.1680649689115</v>
      </c>
      <c r="AM109">
        <v>405.21323401321206</v>
      </c>
      <c r="AO109">
        <v>43928.619919208279</v>
      </c>
      <c r="AP109">
        <v>13.71549401173438</v>
      </c>
      <c r="AQ109">
        <v>46838.153506473413</v>
      </c>
      <c r="AR109">
        <v>13.951854357899823</v>
      </c>
      <c r="AS109" s="2">
        <f t="shared" si="7"/>
        <v>2909.533587265134</v>
      </c>
      <c r="AT109" s="2">
        <f t="shared" si="8"/>
        <v>0.23636034616544244</v>
      </c>
      <c r="AV109">
        <f t="shared" si="9"/>
        <v>1327620.7812542296</v>
      </c>
      <c r="AW109">
        <f t="shared" si="10"/>
        <v>1348347.2822835089</v>
      </c>
      <c r="AY109">
        <f t="shared" si="11"/>
        <v>0</v>
      </c>
      <c r="AZ109">
        <f t="shared" si="12"/>
        <v>1</v>
      </c>
    </row>
    <row r="110" spans="1:52" x14ac:dyDescent="0.2">
      <c r="A110">
        <f t="shared" si="13"/>
        <v>106</v>
      </c>
      <c r="B110">
        <v>2.7785081726062422E-2</v>
      </c>
      <c r="C110">
        <v>3.6294752371639573E-2</v>
      </c>
      <c r="D110">
        <v>4.1866315154169942E-2</v>
      </c>
      <c r="E110">
        <v>9.4438145437644328E-3</v>
      </c>
      <c r="F110">
        <v>3.3372403828832897E-3</v>
      </c>
      <c r="G110">
        <v>2.2485248689805726E-2</v>
      </c>
      <c r="H110">
        <v>3.2274317221724247E-2</v>
      </c>
      <c r="I110">
        <v>0.14180744102530851</v>
      </c>
      <c r="J110">
        <v>0</v>
      </c>
      <c r="K110">
        <v>0.4295154411732216</v>
      </c>
      <c r="L110">
        <v>0.20916486598140316</v>
      </c>
      <c r="M110">
        <v>0.79083513401859684</v>
      </c>
      <c r="N110">
        <v>8.3269914803834943E-2</v>
      </c>
      <c r="O110" s="72">
        <v>0.99892182821655939</v>
      </c>
      <c r="P110">
        <v>0.99998219065625826</v>
      </c>
      <c r="Q110">
        <v>0.98155980535533971</v>
      </c>
      <c r="R110">
        <v>0.4442147210615357</v>
      </c>
      <c r="S110">
        <v>0.42555356115083531</v>
      </c>
      <c r="T110">
        <v>0.10326374043254993</v>
      </c>
      <c r="U110">
        <v>0.78095508312103878</v>
      </c>
      <c r="V110">
        <v>0.66277976281274187</v>
      </c>
      <c r="W110">
        <v>0.617292487604852</v>
      </c>
      <c r="X110">
        <v>0.45951623331193892</v>
      </c>
      <c r="Y110">
        <v>0.47542430245943157</v>
      </c>
      <c r="Z110">
        <v>0.38981234088319755</v>
      </c>
      <c r="AA110">
        <v>0.72534686301339379</v>
      </c>
      <c r="AB110">
        <v>0.82128561065586181</v>
      </c>
      <c r="AC110">
        <v>0.70519182748179277</v>
      </c>
      <c r="AD110">
        <v>0.62278272722440953</v>
      </c>
      <c r="AE110">
        <v>146.77923510930827</v>
      </c>
      <c r="AF110">
        <v>1088.803965479435</v>
      </c>
      <c r="AG110">
        <v>2458.1821085463489</v>
      </c>
      <c r="AH110">
        <v>16376.920615632811</v>
      </c>
      <c r="AI110">
        <v>12282.7582557076</v>
      </c>
      <c r="AJ110">
        <v>45342.288690077454</v>
      </c>
      <c r="AK110">
        <v>14355.045820416783</v>
      </c>
      <c r="AL110">
        <v>1958.2683704710485</v>
      </c>
      <c r="AM110">
        <v>397.41332585941382</v>
      </c>
      <c r="AO110">
        <v>50049.5295044542</v>
      </c>
      <c r="AP110">
        <v>13.276535796063243</v>
      </c>
      <c r="AQ110">
        <v>46721.325937582296</v>
      </c>
      <c r="AR110">
        <v>13.527922727783114</v>
      </c>
      <c r="AS110" s="2">
        <f t="shared" si="7"/>
        <v>-3328.2035668719036</v>
      </c>
      <c r="AT110" s="2">
        <f t="shared" si="8"/>
        <v>0.25138693171987114</v>
      </c>
      <c r="AV110">
        <f t="shared" si="9"/>
        <v>1277604.05010187</v>
      </c>
      <c r="AW110">
        <f t="shared" si="10"/>
        <v>1306070.9468407291</v>
      </c>
      <c r="AY110">
        <f t="shared" si="11"/>
        <v>0</v>
      </c>
      <c r="AZ110">
        <f t="shared" si="12"/>
        <v>1</v>
      </c>
    </row>
    <row r="111" spans="1:52" x14ac:dyDescent="0.2">
      <c r="A111">
        <f t="shared" si="13"/>
        <v>107</v>
      </c>
      <c r="B111">
        <v>2.3891487898604985E-2</v>
      </c>
      <c r="C111">
        <v>4.4580911391817524E-2</v>
      </c>
      <c r="D111">
        <v>5.2710788419860766E-2</v>
      </c>
      <c r="E111">
        <v>5.8476740782456736E-3</v>
      </c>
      <c r="F111">
        <v>3.490488481334042E-3</v>
      </c>
      <c r="G111">
        <v>1.5102784791607426E-2</v>
      </c>
      <c r="H111">
        <v>6.2986082007556399E-2</v>
      </c>
      <c r="I111">
        <v>0.12923811379608227</v>
      </c>
      <c r="J111">
        <v>0</v>
      </c>
      <c r="K111">
        <v>0.43165992147972931</v>
      </c>
      <c r="L111">
        <v>0.17068870211437825</v>
      </c>
      <c r="M111">
        <v>0.82931129788562175</v>
      </c>
      <c r="N111">
        <v>5.9749196097886093E-2</v>
      </c>
      <c r="O111" s="72">
        <v>0.99999725985774002</v>
      </c>
      <c r="P111">
        <v>0.99035624036301728</v>
      </c>
      <c r="Q111">
        <v>0.95423920087252156</v>
      </c>
      <c r="R111">
        <v>0.40910346662179686</v>
      </c>
      <c r="S111">
        <v>0.35952196972226946</v>
      </c>
      <c r="T111">
        <v>0.19541463808950699</v>
      </c>
      <c r="U111">
        <v>0.78765736688079457</v>
      </c>
      <c r="V111">
        <v>0.68001497667357702</v>
      </c>
      <c r="W111">
        <v>0.47873549234601431</v>
      </c>
      <c r="X111">
        <v>0.42784823976525505</v>
      </c>
      <c r="Y111">
        <v>0.48300060937258438</v>
      </c>
      <c r="Z111">
        <v>0.46738960810488395</v>
      </c>
      <c r="AA111">
        <v>0.71165193768351787</v>
      </c>
      <c r="AB111">
        <v>0.79813475097445175</v>
      </c>
      <c r="AC111">
        <v>0.74590012827685781</v>
      </c>
      <c r="AD111">
        <v>0.62949533326740004</v>
      </c>
      <c r="AE111">
        <v>206.7679094383256</v>
      </c>
      <c r="AF111">
        <v>1001.6408701213171</v>
      </c>
      <c r="AG111">
        <v>1461.7830128853941</v>
      </c>
      <c r="AH111">
        <v>15457.878755281381</v>
      </c>
      <c r="AI111">
        <v>16818.919453292299</v>
      </c>
      <c r="AJ111">
        <v>39587.580565403499</v>
      </c>
      <c r="AK111">
        <v>10346.320786258748</v>
      </c>
      <c r="AL111">
        <v>2440.5077333132749</v>
      </c>
      <c r="AM111">
        <v>476.64882174772441</v>
      </c>
      <c r="AO111">
        <v>50623.774237287005</v>
      </c>
      <c r="AP111">
        <v>13.083599806941438</v>
      </c>
      <c r="AQ111">
        <v>48330.783024926197</v>
      </c>
      <c r="AR111">
        <v>13.288612986105282</v>
      </c>
      <c r="AS111" s="2">
        <f t="shared" si="7"/>
        <v>-2292.9912123608083</v>
      </c>
      <c r="AT111" s="2">
        <f t="shared" si="8"/>
        <v>0.20501317916384387</v>
      </c>
      <c r="AV111">
        <f t="shared" si="9"/>
        <v>1257736.2064568568</v>
      </c>
      <c r="AW111">
        <f t="shared" si="10"/>
        <v>1280530.515585602</v>
      </c>
      <c r="AY111">
        <f t="shared" si="11"/>
        <v>0</v>
      </c>
      <c r="AZ111">
        <f t="shared" si="12"/>
        <v>1</v>
      </c>
    </row>
    <row r="112" spans="1:52" x14ac:dyDescent="0.2">
      <c r="A112">
        <f t="shared" si="13"/>
        <v>108</v>
      </c>
      <c r="B112">
        <v>2.2269616912116909E-2</v>
      </c>
      <c r="C112">
        <v>3.5481321242706636E-2</v>
      </c>
      <c r="D112">
        <v>5.3020833166871451E-2</v>
      </c>
      <c r="E112">
        <v>2.6283083293085929E-2</v>
      </c>
      <c r="F112">
        <v>3.2870390983042916E-3</v>
      </c>
      <c r="G112">
        <v>7.1191643429850023E-3</v>
      </c>
      <c r="H112">
        <v>2.7867523180928246E-2</v>
      </c>
      <c r="I112">
        <v>0.12406583691386955</v>
      </c>
      <c r="J112">
        <v>0</v>
      </c>
      <c r="K112">
        <v>0.46909005559263361</v>
      </c>
      <c r="L112">
        <v>0.22902835653077191</v>
      </c>
      <c r="M112">
        <v>0.77097164346922809</v>
      </c>
      <c r="N112">
        <v>6.0527170019965659E-2</v>
      </c>
      <c r="O112" s="72">
        <v>0.9988542525990437</v>
      </c>
      <c r="P112">
        <v>0.98466937489279271</v>
      </c>
      <c r="Q112">
        <v>0.98230966067086933</v>
      </c>
      <c r="R112">
        <v>0.47680547223200065</v>
      </c>
      <c r="S112">
        <v>0.38637454200382793</v>
      </c>
      <c r="T112">
        <v>0.27084099880449153</v>
      </c>
      <c r="U112">
        <v>0.78601654610667337</v>
      </c>
      <c r="V112">
        <v>0.68905080437387278</v>
      </c>
      <c r="W112">
        <v>0.55202383232691254</v>
      </c>
      <c r="X112">
        <v>0.43724364825086004</v>
      </c>
      <c r="Y112">
        <v>0.4742696872419444</v>
      </c>
      <c r="Z112">
        <v>0.44773444558980907</v>
      </c>
      <c r="AA112">
        <v>0.64235771350302495</v>
      </c>
      <c r="AB112">
        <v>0.87365877364498412</v>
      </c>
      <c r="AC112">
        <v>0.68469907661413942</v>
      </c>
      <c r="AD112">
        <v>0.57761148634424953</v>
      </c>
      <c r="AE112">
        <v>209.98826175930915</v>
      </c>
      <c r="AF112">
        <v>1065.9932357916209</v>
      </c>
      <c r="AG112">
        <v>1918.8536415809886</v>
      </c>
      <c r="AH112">
        <v>12585.073696733636</v>
      </c>
      <c r="AI112">
        <v>11888.456500222441</v>
      </c>
      <c r="AJ112">
        <v>35234.776195844941</v>
      </c>
      <c r="AK112">
        <v>21035.162107286964</v>
      </c>
      <c r="AL112">
        <v>2269.5903960438718</v>
      </c>
      <c r="AM112">
        <v>352.7085418978113</v>
      </c>
      <c r="AO112">
        <v>42763.923116539343</v>
      </c>
      <c r="AP112">
        <v>13.915007835477562</v>
      </c>
      <c r="AQ112">
        <v>46458.386131456587</v>
      </c>
      <c r="AR112">
        <v>14.15404634781849</v>
      </c>
      <c r="AS112" s="2">
        <f t="shared" si="7"/>
        <v>3694.4630149172444</v>
      </c>
      <c r="AT112" s="2">
        <f t="shared" si="8"/>
        <v>0.23903851234092777</v>
      </c>
      <c r="AV112">
        <f t="shared" si="9"/>
        <v>1348736.8604312169</v>
      </c>
      <c r="AW112">
        <f t="shared" si="10"/>
        <v>1368946.2486503923</v>
      </c>
      <c r="AY112">
        <f t="shared" si="11"/>
        <v>0</v>
      </c>
      <c r="AZ112">
        <f t="shared" si="12"/>
        <v>1</v>
      </c>
    </row>
    <row r="113" spans="1:52" x14ac:dyDescent="0.2">
      <c r="A113">
        <f t="shared" si="13"/>
        <v>109</v>
      </c>
      <c r="B113">
        <v>2.0445107274725718E-2</v>
      </c>
      <c r="C113">
        <v>2.8439430911503173E-2</v>
      </c>
      <c r="D113">
        <v>3.6403494248768362E-2</v>
      </c>
      <c r="E113">
        <v>9.8410983495455778E-3</v>
      </c>
      <c r="F113">
        <v>3.3222487324865422E-3</v>
      </c>
      <c r="G113">
        <v>2.5968883618803988E-3</v>
      </c>
      <c r="H113">
        <v>4.9129979288315528E-2</v>
      </c>
      <c r="I113">
        <v>0.13020361883848131</v>
      </c>
      <c r="J113">
        <v>0</v>
      </c>
      <c r="K113">
        <v>0.43909512503115466</v>
      </c>
      <c r="L113">
        <v>0.16689818198915307</v>
      </c>
      <c r="M113">
        <v>0.83310181801084693</v>
      </c>
      <c r="N113">
        <v>4.9071103551399278E-2</v>
      </c>
      <c r="O113" s="72">
        <v>0.95907397249893345</v>
      </c>
      <c r="P113">
        <v>0.99999378551828999</v>
      </c>
      <c r="Q113">
        <v>0.8961428040807109</v>
      </c>
      <c r="R113">
        <v>0.49745331141889637</v>
      </c>
      <c r="S113">
        <v>0.4456247516157823</v>
      </c>
      <c r="T113">
        <v>0.21754607846100849</v>
      </c>
      <c r="U113">
        <v>0.77431733853474238</v>
      </c>
      <c r="V113">
        <v>0.66362390986994924</v>
      </c>
      <c r="W113">
        <v>0.65933762557655229</v>
      </c>
      <c r="X113">
        <v>0.4314419187805581</v>
      </c>
      <c r="Y113">
        <v>0.40347672379667465</v>
      </c>
      <c r="Z113">
        <v>0.41973298822077476</v>
      </c>
      <c r="AA113">
        <v>0.65768317161398515</v>
      </c>
      <c r="AB113">
        <v>0.79053029417366705</v>
      </c>
      <c r="AC113">
        <v>0.69199040639918441</v>
      </c>
      <c r="AD113">
        <v>0.72725197791365603</v>
      </c>
      <c r="AE113">
        <v>244.56517390824317</v>
      </c>
      <c r="AF113">
        <v>1010.8493108693126</v>
      </c>
      <c r="AG113">
        <v>1881.87023581981</v>
      </c>
      <c r="AH113">
        <v>12768.689473941169</v>
      </c>
      <c r="AI113">
        <v>7602.482383527059</v>
      </c>
      <c r="AJ113">
        <v>36216.671792210218</v>
      </c>
      <c r="AK113">
        <v>9940.0333058073102</v>
      </c>
      <c r="AL113">
        <v>3144.3382876191631</v>
      </c>
      <c r="AM113">
        <v>379.30750404576838</v>
      </c>
      <c r="AO113">
        <v>42532.704503873618</v>
      </c>
      <c r="AP113">
        <v>13.075364794987188</v>
      </c>
      <c r="AQ113">
        <v>46912.968072408352</v>
      </c>
      <c r="AR113">
        <v>13.218148042307501</v>
      </c>
      <c r="AS113" s="2">
        <f t="shared" si="7"/>
        <v>4380.2635685347341</v>
      </c>
      <c r="AT113" s="2">
        <f t="shared" si="8"/>
        <v>0.14278324732031322</v>
      </c>
      <c r="AV113">
        <f t="shared" si="9"/>
        <v>1265003.7749948453</v>
      </c>
      <c r="AW113">
        <f t="shared" si="10"/>
        <v>1274901.8361583417</v>
      </c>
      <c r="AY113">
        <f t="shared" si="11"/>
        <v>0</v>
      </c>
      <c r="AZ113">
        <f t="shared" si="12"/>
        <v>1</v>
      </c>
    </row>
    <row r="114" spans="1:52" x14ac:dyDescent="0.2">
      <c r="A114">
        <f t="shared" si="13"/>
        <v>110</v>
      </c>
      <c r="B114">
        <v>2.162328591632846E-2</v>
      </c>
      <c r="C114">
        <v>4.754635048750766E-2</v>
      </c>
      <c r="D114">
        <v>3.3998189851055204E-2</v>
      </c>
      <c r="E114">
        <v>1.1408162684929948E-3</v>
      </c>
      <c r="F114">
        <v>3.3050161918736455E-3</v>
      </c>
      <c r="G114">
        <v>8.6899828070888443E-3</v>
      </c>
      <c r="H114">
        <v>2.6836296938023606E-2</v>
      </c>
      <c r="I114">
        <v>0.11666188316083137</v>
      </c>
      <c r="J114">
        <v>0</v>
      </c>
      <c r="K114">
        <v>0.49950486078578138</v>
      </c>
      <c r="L114">
        <v>0.21598629181169759</v>
      </c>
      <c r="M114">
        <v>0.78401370818830241</v>
      </c>
      <c r="N114">
        <v>5.4872937874791979E-2</v>
      </c>
      <c r="O114" s="72">
        <v>0.99997051394426995</v>
      </c>
      <c r="P114">
        <v>0.99957698855357868</v>
      </c>
      <c r="Q114">
        <v>0.97041756218215613</v>
      </c>
      <c r="R114">
        <v>0.52248305277527007</v>
      </c>
      <c r="S114">
        <v>0.49149146875402006</v>
      </c>
      <c r="T114">
        <v>0.24845067398864851</v>
      </c>
      <c r="U114">
        <v>0.72829971696465057</v>
      </c>
      <c r="V114">
        <v>0.66696585535199993</v>
      </c>
      <c r="W114">
        <v>0.6256106638905482</v>
      </c>
      <c r="X114">
        <v>0.39195160454525507</v>
      </c>
      <c r="Y114">
        <v>0.47907402908282526</v>
      </c>
      <c r="Z114">
        <v>0.51889981064288038</v>
      </c>
      <c r="AA114">
        <v>0.72533104326822206</v>
      </c>
      <c r="AB114">
        <v>0.82573846265353934</v>
      </c>
      <c r="AC114">
        <v>0.70364539820971927</v>
      </c>
      <c r="AD114">
        <v>0.60914391353746344</v>
      </c>
      <c r="AE114">
        <v>181.39340012506938</v>
      </c>
      <c r="AF114">
        <v>1075.0239908535259</v>
      </c>
      <c r="AG114">
        <v>2445.9046554366705</v>
      </c>
      <c r="AH114">
        <v>11726.63078845235</v>
      </c>
      <c r="AI114">
        <v>15669.266094822444</v>
      </c>
      <c r="AJ114">
        <v>40599.846877856966</v>
      </c>
      <c r="AK114">
        <v>20030.091949983882</v>
      </c>
      <c r="AL114">
        <v>1467.4053364661713</v>
      </c>
      <c r="AM114">
        <v>317.91355493399027</v>
      </c>
      <c r="AO114">
        <v>39724.163037535945</v>
      </c>
      <c r="AP114">
        <v>13.414876891459995</v>
      </c>
      <c r="AQ114">
        <v>45498.771471235646</v>
      </c>
      <c r="AR114">
        <v>13.568752472200712</v>
      </c>
      <c r="AS114" s="2">
        <f t="shared" si="7"/>
        <v>5774.608433699701</v>
      </c>
      <c r="AT114" s="2">
        <f t="shared" si="8"/>
        <v>0.15387558074071706</v>
      </c>
      <c r="AV114">
        <f t="shared" si="9"/>
        <v>1301763.5261084635</v>
      </c>
      <c r="AW114">
        <f t="shared" si="10"/>
        <v>1311376.4757488356</v>
      </c>
      <c r="AY114">
        <f t="shared" si="11"/>
        <v>0</v>
      </c>
      <c r="AZ114">
        <f t="shared" si="12"/>
        <v>1</v>
      </c>
    </row>
    <row r="115" spans="1:52" x14ac:dyDescent="0.2">
      <c r="A115">
        <f t="shared" si="13"/>
        <v>111</v>
      </c>
      <c r="B115">
        <v>2.6859275466338706E-2</v>
      </c>
      <c r="C115">
        <v>3.6927865585103414E-2</v>
      </c>
      <c r="D115">
        <v>5.5061175980349208E-2</v>
      </c>
      <c r="E115">
        <v>9.2802022467451759E-3</v>
      </c>
      <c r="F115">
        <v>3.2774007519157781E-3</v>
      </c>
      <c r="G115">
        <v>7.9137319973740829E-3</v>
      </c>
      <c r="H115">
        <v>2.8568055842553182E-2</v>
      </c>
      <c r="I115">
        <v>0.12480500890885819</v>
      </c>
      <c r="J115">
        <v>0</v>
      </c>
      <c r="K115">
        <v>0.4238509302587008</v>
      </c>
      <c r="L115">
        <v>0.14997837346550996</v>
      </c>
      <c r="M115">
        <v>0.85002162653448998</v>
      </c>
      <c r="N115">
        <v>5.2886090121168156E-2</v>
      </c>
      <c r="O115" s="72">
        <v>0.99940291779322632</v>
      </c>
      <c r="P115">
        <v>0.96985273352993251</v>
      </c>
      <c r="Q115">
        <v>0.9795828918994518</v>
      </c>
      <c r="R115">
        <v>0.48363615327868692</v>
      </c>
      <c r="S115">
        <v>0.40920937560167892</v>
      </c>
      <c r="T115">
        <v>0.15469238575815414</v>
      </c>
      <c r="U115">
        <v>0.78166256868798623</v>
      </c>
      <c r="V115">
        <v>0.58370487602177878</v>
      </c>
      <c r="W115">
        <v>0.66757906679867096</v>
      </c>
      <c r="X115">
        <v>0.46407663140273403</v>
      </c>
      <c r="Y115">
        <v>0.49753723171627462</v>
      </c>
      <c r="Z115">
        <v>0.43906397760819749</v>
      </c>
      <c r="AA115">
        <v>0.67566764666532197</v>
      </c>
      <c r="AB115">
        <v>0.78380068700750327</v>
      </c>
      <c r="AC115">
        <v>0.70070049443885152</v>
      </c>
      <c r="AD115">
        <v>0.67242903790836195</v>
      </c>
      <c r="AE115">
        <v>228.72814354239031</v>
      </c>
      <c r="AF115">
        <v>931.5716488103152</v>
      </c>
      <c r="AG115">
        <v>2081.6199725583556</v>
      </c>
      <c r="AH115">
        <v>12370.296314550058</v>
      </c>
      <c r="AI115">
        <v>14516.804076123419</v>
      </c>
      <c r="AJ115">
        <v>44660.715214240976</v>
      </c>
      <c r="AK115">
        <v>18514.806874773392</v>
      </c>
      <c r="AL115">
        <v>1763.5036396598794</v>
      </c>
      <c r="AM115">
        <v>416.02721350229257</v>
      </c>
      <c r="AO115">
        <v>45902.553360747159</v>
      </c>
      <c r="AP115">
        <v>12.866509395330539</v>
      </c>
      <c r="AQ115">
        <v>47948.500875868194</v>
      </c>
      <c r="AR115">
        <v>13.068533024874466</v>
      </c>
      <c r="AS115" s="2">
        <f t="shared" si="7"/>
        <v>2045.9475151210354</v>
      </c>
      <c r="AT115" s="2">
        <f t="shared" si="8"/>
        <v>0.20202362954392683</v>
      </c>
      <c r="AV115">
        <f t="shared" si="9"/>
        <v>1240748.3861723067</v>
      </c>
      <c r="AW115">
        <f t="shared" si="10"/>
        <v>1258904.8016115783</v>
      </c>
      <c r="AY115">
        <f t="shared" si="11"/>
        <v>0</v>
      </c>
      <c r="AZ115">
        <f t="shared" si="12"/>
        <v>1</v>
      </c>
    </row>
    <row r="116" spans="1:52" x14ac:dyDescent="0.2">
      <c r="A116">
        <f t="shared" si="13"/>
        <v>112</v>
      </c>
      <c r="B116">
        <v>1.7148565407511477E-2</v>
      </c>
      <c r="C116">
        <v>5.1468462416631278E-2</v>
      </c>
      <c r="D116">
        <v>4.6182024211453232E-2</v>
      </c>
      <c r="E116">
        <v>1.1365998769198835E-2</v>
      </c>
      <c r="F116">
        <v>3.2913027949225812E-3</v>
      </c>
      <c r="G116">
        <v>3.5447425778244949E-3</v>
      </c>
      <c r="H116">
        <v>2.2097334916171486E-2</v>
      </c>
      <c r="I116">
        <v>0.11661608448477473</v>
      </c>
      <c r="J116">
        <v>0</v>
      </c>
      <c r="K116">
        <v>0.4142488453477749</v>
      </c>
      <c r="L116">
        <v>0.22257422129021909</v>
      </c>
      <c r="M116">
        <v>0.77742577870978091</v>
      </c>
      <c r="N116">
        <v>4.4711106569597966E-2</v>
      </c>
      <c r="O116" s="72">
        <v>0.99980668104387205</v>
      </c>
      <c r="P116">
        <v>0.99948250096262425</v>
      </c>
      <c r="Q116">
        <v>0.96506966705637043</v>
      </c>
      <c r="R116">
        <v>0.51260014825225153</v>
      </c>
      <c r="S116">
        <v>0.42890882521002471</v>
      </c>
      <c r="T116">
        <v>0.25931785525249518</v>
      </c>
      <c r="U116">
        <v>0.77583736925147284</v>
      </c>
      <c r="V116">
        <v>0.61535913490249838</v>
      </c>
      <c r="W116">
        <v>0.63580630618231204</v>
      </c>
      <c r="X116">
        <v>0.48783151262706514</v>
      </c>
      <c r="Y116">
        <v>0.4712963423359523</v>
      </c>
      <c r="Z116">
        <v>0.48152722675638504</v>
      </c>
      <c r="AA116">
        <v>0.65107532598054318</v>
      </c>
      <c r="AB116">
        <v>0.82334950621816394</v>
      </c>
      <c r="AC116">
        <v>0.78989265501148209</v>
      </c>
      <c r="AD116">
        <v>0.66444420739347931</v>
      </c>
      <c r="AE116">
        <v>205.60085407596759</v>
      </c>
      <c r="AF116">
        <v>1001.7206642917128</v>
      </c>
      <c r="AG116">
        <v>1956.4857853726696</v>
      </c>
      <c r="AH116">
        <v>15534.356285574651</v>
      </c>
      <c r="AI116">
        <v>13016.931034608564</v>
      </c>
      <c r="AJ116">
        <v>44238.190238136289</v>
      </c>
      <c r="AK116">
        <v>11890.090883395909</v>
      </c>
      <c r="AL116">
        <v>2162.5575778848442</v>
      </c>
      <c r="AM116">
        <v>359.69594678186871</v>
      </c>
      <c r="AO116">
        <v>41227.095910493357</v>
      </c>
      <c r="AP116">
        <v>13.598164799188398</v>
      </c>
      <c r="AQ116">
        <v>46238.246685398844</v>
      </c>
      <c r="AR116">
        <v>13.768588107927201</v>
      </c>
      <c r="AS116" s="2">
        <f t="shared" si="7"/>
        <v>5011.1507749054872</v>
      </c>
      <c r="AT116" s="2">
        <f t="shared" si="8"/>
        <v>0.17042330873880296</v>
      </c>
      <c r="AV116">
        <f t="shared" si="9"/>
        <v>1318589.3840083466</v>
      </c>
      <c r="AW116">
        <f t="shared" si="10"/>
        <v>1330620.5641073214</v>
      </c>
      <c r="AY116">
        <f t="shared" si="11"/>
        <v>0</v>
      </c>
      <c r="AZ116">
        <f t="shared" si="12"/>
        <v>1</v>
      </c>
    </row>
    <row r="117" spans="1:52" x14ac:dyDescent="0.2">
      <c r="A117">
        <f t="shared" si="13"/>
        <v>113</v>
      </c>
      <c r="B117">
        <v>2.2933602812539068E-2</v>
      </c>
      <c r="C117">
        <v>3.662561612179005E-2</v>
      </c>
      <c r="D117">
        <v>3.2333689405255009E-2</v>
      </c>
      <c r="E117">
        <v>1.0820437050410291E-2</v>
      </c>
      <c r="F117">
        <v>3.5023262134841193E-3</v>
      </c>
      <c r="G117">
        <v>1.0636196059614095E-2</v>
      </c>
      <c r="H117">
        <v>4.8917998980938737E-2</v>
      </c>
      <c r="I117">
        <v>0.13510053082719209</v>
      </c>
      <c r="J117">
        <v>0</v>
      </c>
      <c r="K117">
        <v>0.39875282211482127</v>
      </c>
      <c r="L117">
        <v>0.2138819985662711</v>
      </c>
      <c r="M117">
        <v>0.7861180014337289</v>
      </c>
      <c r="N117">
        <v>7.6334125160464228E-2</v>
      </c>
      <c r="O117" s="72">
        <v>0.99985908872158635</v>
      </c>
      <c r="P117">
        <v>0.99995864840301052</v>
      </c>
      <c r="Q117">
        <v>0.94788764747156651</v>
      </c>
      <c r="R117">
        <v>0.46502814950198978</v>
      </c>
      <c r="S117">
        <v>0.44229944603227278</v>
      </c>
      <c r="T117">
        <v>0.26594453464950474</v>
      </c>
      <c r="U117">
        <v>0.79743777247469438</v>
      </c>
      <c r="V117">
        <v>0.62148239597174049</v>
      </c>
      <c r="W117">
        <v>0.4889227422505924</v>
      </c>
      <c r="X117">
        <v>0.46389768564462242</v>
      </c>
      <c r="Y117">
        <v>0.44346895830719357</v>
      </c>
      <c r="Z117">
        <v>0.38333717433761683</v>
      </c>
      <c r="AA117">
        <v>0.5952167415476487</v>
      </c>
      <c r="AB117">
        <v>0.82462711667573951</v>
      </c>
      <c r="AC117">
        <v>0.77799886102453431</v>
      </c>
      <c r="AD117">
        <v>0.65783001744580027</v>
      </c>
      <c r="AE117">
        <v>215.19840309929694</v>
      </c>
      <c r="AF117">
        <v>948.67510215743482</v>
      </c>
      <c r="AG117">
        <v>2004.8336773495787</v>
      </c>
      <c r="AH117">
        <v>14057.459124513691</v>
      </c>
      <c r="AI117">
        <v>11322.667716497717</v>
      </c>
      <c r="AJ117">
        <v>42739.519850167599</v>
      </c>
      <c r="AK117">
        <v>12580.165031329352</v>
      </c>
      <c r="AL117">
        <v>1517.7339339301607</v>
      </c>
      <c r="AM117">
        <v>358.54813660092805</v>
      </c>
      <c r="AO117">
        <v>43041.52811161834</v>
      </c>
      <c r="AP117">
        <v>13.584168655572979</v>
      </c>
      <c r="AQ117">
        <v>46216.993927819793</v>
      </c>
      <c r="AR117">
        <v>13.75179206455284</v>
      </c>
      <c r="AS117" s="2">
        <f t="shared" si="7"/>
        <v>3175.465816201453</v>
      </c>
      <c r="AT117" s="2">
        <f t="shared" si="8"/>
        <v>0.1676234089798605</v>
      </c>
      <c r="AV117">
        <f t="shared" si="9"/>
        <v>1315375.3374456796</v>
      </c>
      <c r="AW117">
        <f t="shared" si="10"/>
        <v>1328962.2125274641</v>
      </c>
      <c r="AY117">
        <f t="shared" si="11"/>
        <v>0</v>
      </c>
      <c r="AZ117">
        <f t="shared" si="12"/>
        <v>1</v>
      </c>
    </row>
    <row r="118" spans="1:52" x14ac:dyDescent="0.2">
      <c r="A118">
        <f t="shared" si="13"/>
        <v>114</v>
      </c>
      <c r="B118">
        <v>2.2957150977203765E-2</v>
      </c>
      <c r="C118">
        <v>3.5645790003833694E-2</v>
      </c>
      <c r="D118">
        <v>3.5122122446500363E-2</v>
      </c>
      <c r="E118">
        <v>1.2251669476835869E-2</v>
      </c>
      <c r="F118">
        <v>3.3636851809615287E-3</v>
      </c>
      <c r="G118">
        <v>6.2960541073739688E-3</v>
      </c>
      <c r="H118">
        <v>2.0017518296916652E-2</v>
      </c>
      <c r="I118">
        <v>0.12790892204491083</v>
      </c>
      <c r="J118">
        <v>0</v>
      </c>
      <c r="K118">
        <v>0.44812467675363732</v>
      </c>
      <c r="L118">
        <v>0.19089727845717053</v>
      </c>
      <c r="M118">
        <v>0.80910272154282947</v>
      </c>
      <c r="N118">
        <v>5.1482435855206315E-2</v>
      </c>
      <c r="O118" s="72">
        <v>0.99965219080934664</v>
      </c>
      <c r="P118">
        <v>0.99235110885809086</v>
      </c>
      <c r="Q118">
        <v>0.97714916861008749</v>
      </c>
      <c r="R118">
        <v>0.4577772110035101</v>
      </c>
      <c r="S118">
        <v>0.44009080609749551</v>
      </c>
      <c r="T118">
        <v>0.16398266003607598</v>
      </c>
      <c r="U118">
        <v>0.76100469546922789</v>
      </c>
      <c r="V118">
        <v>0.67687000216103343</v>
      </c>
      <c r="W118">
        <v>0.6113558595042986</v>
      </c>
      <c r="X118">
        <v>0.46648511189079278</v>
      </c>
      <c r="Y118">
        <v>0.4250710270537304</v>
      </c>
      <c r="Z118">
        <v>0.46406930069846886</v>
      </c>
      <c r="AA118">
        <v>0.71690204034036575</v>
      </c>
      <c r="AB118">
        <v>0.82857947251213693</v>
      </c>
      <c r="AC118">
        <v>0.77235869557808867</v>
      </c>
      <c r="AD118">
        <v>0.65315874227213278</v>
      </c>
      <c r="AE118">
        <v>135.10709900200823</v>
      </c>
      <c r="AF118">
        <v>898.53871670411343</v>
      </c>
      <c r="AG118">
        <v>2049.5769564140273</v>
      </c>
      <c r="AH118">
        <v>14004.063169675424</v>
      </c>
      <c r="AI118">
        <v>10647.72956095293</v>
      </c>
      <c r="AJ118">
        <v>37386.459556697395</v>
      </c>
      <c r="AK118">
        <v>13146.091478087321</v>
      </c>
      <c r="AL118">
        <v>2877.5031516531885</v>
      </c>
      <c r="AM118">
        <v>478.51164759285695</v>
      </c>
      <c r="AO118">
        <v>47427.371974658221</v>
      </c>
      <c r="AP118">
        <v>13.5719553828924</v>
      </c>
      <c r="AQ118">
        <v>48166.822321743253</v>
      </c>
      <c r="AR118">
        <v>13.792437722039303</v>
      </c>
      <c r="AS118" s="2">
        <f t="shared" si="7"/>
        <v>739.45034708503226</v>
      </c>
      <c r="AT118" s="2">
        <f t="shared" si="8"/>
        <v>0.22048233914690307</v>
      </c>
      <c r="AV118">
        <f t="shared" si="9"/>
        <v>1309768.1663145816</v>
      </c>
      <c r="AW118">
        <f t="shared" si="10"/>
        <v>1331076.9498821869</v>
      </c>
      <c r="AY118">
        <f t="shared" si="11"/>
        <v>0</v>
      </c>
      <c r="AZ118">
        <f t="shared" si="12"/>
        <v>1</v>
      </c>
    </row>
    <row r="119" spans="1:52" x14ac:dyDescent="0.2">
      <c r="A119">
        <f t="shared" si="13"/>
        <v>115</v>
      </c>
      <c r="B119">
        <v>2.7230045698675154E-2</v>
      </c>
      <c r="C119">
        <v>4.8968198033570554E-2</v>
      </c>
      <c r="D119">
        <v>5.8919062858959981E-2</v>
      </c>
      <c r="E119">
        <v>1.1401689386529206E-2</v>
      </c>
      <c r="F119">
        <v>3.2966160733670165E-3</v>
      </c>
      <c r="G119">
        <v>1.6417984176219091E-2</v>
      </c>
      <c r="H119">
        <v>4.9405314452368065E-2</v>
      </c>
      <c r="I119">
        <v>0.12391233151075864</v>
      </c>
      <c r="J119">
        <v>0</v>
      </c>
      <c r="K119">
        <v>0.4225511444322077</v>
      </c>
      <c r="L119">
        <v>0.26096153088505114</v>
      </c>
      <c r="M119">
        <v>0.73903846911494886</v>
      </c>
      <c r="N119">
        <v>7.1193191184497073E-2</v>
      </c>
      <c r="O119" s="72">
        <v>0.99738492192229244</v>
      </c>
      <c r="P119">
        <v>0.9976877017853466</v>
      </c>
      <c r="Q119">
        <v>0.93793210756289047</v>
      </c>
      <c r="R119">
        <v>0.45547175741550916</v>
      </c>
      <c r="S119">
        <v>0.48340512867936225</v>
      </c>
      <c r="T119">
        <v>0.13992809399621198</v>
      </c>
      <c r="U119">
        <v>0.77689640748640754</v>
      </c>
      <c r="V119">
        <v>0.65180668672894715</v>
      </c>
      <c r="W119">
        <v>0.69749989413255742</v>
      </c>
      <c r="X119">
        <v>0.43604895679709621</v>
      </c>
      <c r="Y119">
        <v>0.45447107280566279</v>
      </c>
      <c r="Z119">
        <v>0.50543701215791903</v>
      </c>
      <c r="AA119">
        <v>0.73131175945506199</v>
      </c>
      <c r="AB119">
        <v>0.86202015961249634</v>
      </c>
      <c r="AC119">
        <v>0.73902421998083456</v>
      </c>
      <c r="AD119">
        <v>0.59636658101911777</v>
      </c>
      <c r="AE119">
        <v>193.88802741181121</v>
      </c>
      <c r="AF119">
        <v>1005.1404582173793</v>
      </c>
      <c r="AG119">
        <v>1231.6212253302606</v>
      </c>
      <c r="AH119">
        <v>10349.552874063609</v>
      </c>
      <c r="AI119">
        <v>8156.4976706888328</v>
      </c>
      <c r="AJ119">
        <v>38072.762734708944</v>
      </c>
      <c r="AK119">
        <v>12601.83717338166</v>
      </c>
      <c r="AL119">
        <v>1245.9296027865064</v>
      </c>
      <c r="AM119">
        <v>397.2594693098485</v>
      </c>
      <c r="AO119">
        <v>46101.3330233007</v>
      </c>
      <c r="AP119">
        <v>13.85398694427486</v>
      </c>
      <c r="AQ119">
        <v>46776.240896225099</v>
      </c>
      <c r="AR119">
        <v>14.117297401869232</v>
      </c>
      <c r="AS119" s="2">
        <f t="shared" si="7"/>
        <v>674.90787292439927</v>
      </c>
      <c r="AT119" s="2">
        <f t="shared" si="8"/>
        <v>0.26331045759437188</v>
      </c>
      <c r="AV119">
        <f t="shared" si="9"/>
        <v>1339297.3614041854</v>
      </c>
      <c r="AW119">
        <f t="shared" si="10"/>
        <v>1364953.499290698</v>
      </c>
      <c r="AY119">
        <f t="shared" si="11"/>
        <v>0</v>
      </c>
      <c r="AZ119">
        <f t="shared" si="12"/>
        <v>1</v>
      </c>
    </row>
    <row r="120" spans="1:52" x14ac:dyDescent="0.2">
      <c r="A120">
        <f t="shared" si="13"/>
        <v>116</v>
      </c>
      <c r="B120">
        <v>2.7019177076351153E-2</v>
      </c>
      <c r="C120">
        <v>3.177333679300557E-2</v>
      </c>
      <c r="D120">
        <v>3.8707211596804569E-2</v>
      </c>
      <c r="E120">
        <v>1.4005434710848252E-2</v>
      </c>
      <c r="F120">
        <v>3.3726221538902257E-3</v>
      </c>
      <c r="G120">
        <v>1.7240936603442614E-2</v>
      </c>
      <c r="H120">
        <v>2.6451104826927935E-2</v>
      </c>
      <c r="I120">
        <v>0.14041920566967447</v>
      </c>
      <c r="J120">
        <v>0</v>
      </c>
      <c r="K120">
        <v>0.4204020260404206</v>
      </c>
      <c r="L120">
        <v>0.22457335144484292</v>
      </c>
      <c r="M120">
        <v>0.77542664855515708</v>
      </c>
      <c r="N120">
        <v>5.2474335570808071E-2</v>
      </c>
      <c r="O120" s="72">
        <v>0.99838212974607254</v>
      </c>
      <c r="P120">
        <v>0.95342029247908522</v>
      </c>
      <c r="Q120">
        <v>0.88757318197223567</v>
      </c>
      <c r="R120">
        <v>0.44363083918083335</v>
      </c>
      <c r="S120">
        <v>0.43068397971505779</v>
      </c>
      <c r="T120">
        <v>0.22167063072675608</v>
      </c>
      <c r="U120">
        <v>0.77044411170781346</v>
      </c>
      <c r="V120">
        <v>0.63861284774825866</v>
      </c>
      <c r="W120">
        <v>0.49391004855411003</v>
      </c>
      <c r="X120">
        <v>0.41149285287802068</v>
      </c>
      <c r="Y120">
        <v>0.39706521548714657</v>
      </c>
      <c r="Z120">
        <v>0.49525639696811841</v>
      </c>
      <c r="AA120">
        <v>0.61128576268777435</v>
      </c>
      <c r="AB120">
        <v>0.77106803023693937</v>
      </c>
      <c r="AC120">
        <v>0.6667203625270417</v>
      </c>
      <c r="AD120">
        <v>0.5341802643274407</v>
      </c>
      <c r="AE120">
        <v>173.1545026402766</v>
      </c>
      <c r="AF120">
        <v>1093.6193398187352</v>
      </c>
      <c r="AG120">
        <v>1732.6965535516279</v>
      </c>
      <c r="AH120">
        <v>12770.428550627663</v>
      </c>
      <c r="AI120">
        <v>22080.38810073632</v>
      </c>
      <c r="AJ120">
        <v>34709.394115671123</v>
      </c>
      <c r="AK120">
        <v>16457.014032013783</v>
      </c>
      <c r="AL120">
        <v>2069.8901876242767</v>
      </c>
      <c r="AM120">
        <v>311.13339275990961</v>
      </c>
      <c r="AO120">
        <v>44330.203625543349</v>
      </c>
      <c r="AP120">
        <v>12.49514595545873</v>
      </c>
      <c r="AQ120">
        <v>47141.679160627667</v>
      </c>
      <c r="AR120">
        <v>12.634298386340703</v>
      </c>
      <c r="AS120" s="2">
        <f t="shared" si="7"/>
        <v>2811.4755350843188</v>
      </c>
      <c r="AT120" s="2">
        <f t="shared" si="8"/>
        <v>0.13915243088197293</v>
      </c>
      <c r="AV120">
        <f t="shared" si="9"/>
        <v>1205184.3919203298</v>
      </c>
      <c r="AW120">
        <f t="shared" si="10"/>
        <v>1216288.1594734425</v>
      </c>
      <c r="AY120">
        <f t="shared" si="11"/>
        <v>0</v>
      </c>
      <c r="AZ120">
        <f t="shared" si="12"/>
        <v>1</v>
      </c>
    </row>
    <row r="121" spans="1:52" x14ac:dyDescent="0.2">
      <c r="A121">
        <f t="shared" si="13"/>
        <v>117</v>
      </c>
      <c r="B121">
        <v>2.5591515919079266E-2</v>
      </c>
      <c r="C121">
        <v>2.1398904462132631E-2</v>
      </c>
      <c r="D121">
        <v>3.1575960754618188E-2</v>
      </c>
      <c r="E121">
        <v>6.7821577841284137E-3</v>
      </c>
      <c r="F121">
        <v>3.2607246841094978E-3</v>
      </c>
      <c r="G121">
        <v>2.8483185442507941E-2</v>
      </c>
      <c r="H121">
        <v>2.116602635014023E-2</v>
      </c>
      <c r="I121">
        <v>0.13156680863010251</v>
      </c>
      <c r="J121">
        <v>0</v>
      </c>
      <c r="K121">
        <v>0.38141148199238128</v>
      </c>
      <c r="L121">
        <v>0.21664112261522561</v>
      </c>
      <c r="M121">
        <v>0.78335887738477439</v>
      </c>
      <c r="N121">
        <v>4.3171650975839054E-2</v>
      </c>
      <c r="O121" s="72">
        <v>0.99970702017669788</v>
      </c>
      <c r="P121">
        <v>0.99895869662038783</v>
      </c>
      <c r="Q121">
        <v>0.97904077426837643</v>
      </c>
      <c r="R121">
        <v>0.49851773892051954</v>
      </c>
      <c r="S121">
        <v>0.3270341020185592</v>
      </c>
      <c r="T121">
        <v>0.2766098692465031</v>
      </c>
      <c r="U121">
        <v>0.76980717348717898</v>
      </c>
      <c r="V121">
        <v>0.70078779173921824</v>
      </c>
      <c r="W121">
        <v>0.37719158736881353</v>
      </c>
      <c r="X121">
        <v>0.47299592241925903</v>
      </c>
      <c r="Y121">
        <v>0.47723658084299347</v>
      </c>
      <c r="Z121">
        <v>0.45332716770015069</v>
      </c>
      <c r="AA121">
        <v>0.70736091702745896</v>
      </c>
      <c r="AB121">
        <v>0.8434603623005078</v>
      </c>
      <c r="AC121">
        <v>0.70955783122925176</v>
      </c>
      <c r="AD121">
        <v>0.56663417643749459</v>
      </c>
      <c r="AE121">
        <v>178.22285709505888</v>
      </c>
      <c r="AF121">
        <v>1057.752425598926</v>
      </c>
      <c r="AG121">
        <v>1388.0102594950592</v>
      </c>
      <c r="AH121">
        <v>13096.17474014503</v>
      </c>
      <c r="AI121">
        <v>10795.542171466019</v>
      </c>
      <c r="AJ121">
        <v>38224.325602469318</v>
      </c>
      <c r="AK121">
        <v>10367.533300222782</v>
      </c>
      <c r="AL121">
        <v>962.70240946409797</v>
      </c>
      <c r="AM121">
        <v>375.77359703384235</v>
      </c>
      <c r="AO121">
        <v>42603.345803132004</v>
      </c>
      <c r="AP121">
        <v>13.578020918344624</v>
      </c>
      <c r="AQ121">
        <v>46284.241081867258</v>
      </c>
      <c r="AR121">
        <v>13.767293086363603</v>
      </c>
      <c r="AS121" s="2">
        <f t="shared" si="7"/>
        <v>3680.8952787352537</v>
      </c>
      <c r="AT121" s="2">
        <f t="shared" si="8"/>
        <v>0.18927216801897906</v>
      </c>
      <c r="AV121">
        <f t="shared" si="9"/>
        <v>1315198.7460313304</v>
      </c>
      <c r="AW121">
        <f t="shared" si="10"/>
        <v>1330445.067554493</v>
      </c>
      <c r="AY121">
        <f t="shared" si="11"/>
        <v>0</v>
      </c>
      <c r="AZ121">
        <f t="shared" si="12"/>
        <v>1</v>
      </c>
    </row>
    <row r="122" spans="1:52" x14ac:dyDescent="0.2">
      <c r="A122">
        <f t="shared" si="13"/>
        <v>118</v>
      </c>
      <c r="B122">
        <v>2.1744512804988514E-2</v>
      </c>
      <c r="C122">
        <v>3.0688879804240402E-2</v>
      </c>
      <c r="D122">
        <v>4.1057679553479165E-2</v>
      </c>
      <c r="E122">
        <v>8.7729786617230798E-3</v>
      </c>
      <c r="F122">
        <v>3.2246954719017448E-3</v>
      </c>
      <c r="G122">
        <v>8.1628818963459925E-3</v>
      </c>
      <c r="H122">
        <v>4.1417187570908731E-2</v>
      </c>
      <c r="I122">
        <v>0.1386537242935395</v>
      </c>
      <c r="J122">
        <v>0</v>
      </c>
      <c r="K122">
        <v>0.40241781754961437</v>
      </c>
      <c r="L122">
        <v>0.16322410507810231</v>
      </c>
      <c r="M122">
        <v>0.83677589492189774</v>
      </c>
      <c r="N122">
        <v>6.5726539339584278E-2</v>
      </c>
      <c r="O122" s="72">
        <v>0.98209183264552313</v>
      </c>
      <c r="P122">
        <v>0.99876041314388542</v>
      </c>
      <c r="Q122">
        <v>0.87737180183999619</v>
      </c>
      <c r="R122">
        <v>0.41678766734303563</v>
      </c>
      <c r="S122">
        <v>0.38040989411317105</v>
      </c>
      <c r="T122">
        <v>0.19369580129044406</v>
      </c>
      <c r="U122">
        <v>0.7644623726020644</v>
      </c>
      <c r="V122">
        <v>0.61565026580652082</v>
      </c>
      <c r="W122">
        <v>0.47954623108992583</v>
      </c>
      <c r="X122">
        <v>0.41892232717455852</v>
      </c>
      <c r="Y122">
        <v>0.41528412538848836</v>
      </c>
      <c r="Z122">
        <v>0.44119341791172573</v>
      </c>
      <c r="AA122">
        <v>0.65165674774999771</v>
      </c>
      <c r="AB122">
        <v>0.87199270673908458</v>
      </c>
      <c r="AC122">
        <v>0.71417233766245924</v>
      </c>
      <c r="AD122">
        <v>0.64380269875516738</v>
      </c>
      <c r="AE122">
        <v>209.4203230160328</v>
      </c>
      <c r="AF122">
        <v>1197.5513934062551</v>
      </c>
      <c r="AG122">
        <v>1368.5725428097101</v>
      </c>
      <c r="AH122">
        <v>8641.6491295123597</v>
      </c>
      <c r="AI122">
        <v>9837.345697989791</v>
      </c>
      <c r="AJ122">
        <v>43344.585315314238</v>
      </c>
      <c r="AK122">
        <v>14309.171036106492</v>
      </c>
      <c r="AL122">
        <v>2455.6657670623122</v>
      </c>
      <c r="AM122">
        <v>333.21259604947051</v>
      </c>
      <c r="AO122">
        <v>47211.4716347457</v>
      </c>
      <c r="AP122">
        <v>13.945253416946887</v>
      </c>
      <c r="AQ122">
        <v>46050.925887803634</v>
      </c>
      <c r="AR122">
        <v>14.271045801261261</v>
      </c>
      <c r="AS122" s="2">
        <f t="shared" si="7"/>
        <v>-1160.5457469420653</v>
      </c>
      <c r="AT122" s="2">
        <f t="shared" si="8"/>
        <v>0.32579238431437396</v>
      </c>
      <c r="AV122">
        <f t="shared" si="9"/>
        <v>1347313.8700599431</v>
      </c>
      <c r="AW122">
        <f t="shared" si="10"/>
        <v>1381053.6542383225</v>
      </c>
      <c r="AY122">
        <f t="shared" si="11"/>
        <v>0</v>
      </c>
      <c r="AZ122">
        <f t="shared" si="12"/>
        <v>1</v>
      </c>
    </row>
    <row r="123" spans="1:52" x14ac:dyDescent="0.2">
      <c r="A123">
        <f t="shared" si="13"/>
        <v>119</v>
      </c>
      <c r="B123">
        <v>2.5487641363701186E-2</v>
      </c>
      <c r="C123">
        <v>3.1115906124581021E-2</v>
      </c>
      <c r="D123">
        <v>5.8269452228852048E-2</v>
      </c>
      <c r="E123">
        <v>8.6119178076922848E-3</v>
      </c>
      <c r="F123">
        <v>3.249888797239928E-3</v>
      </c>
      <c r="G123">
        <v>2.1802084631897367E-2</v>
      </c>
      <c r="H123">
        <v>2.1950001944189126E-2</v>
      </c>
      <c r="I123">
        <v>0.11584740384602008</v>
      </c>
      <c r="J123">
        <v>0</v>
      </c>
      <c r="K123">
        <v>0.40746549165937057</v>
      </c>
      <c r="L123">
        <v>7.6172280422284189E-2</v>
      </c>
      <c r="M123">
        <v>0.92382771957771581</v>
      </c>
      <c r="N123">
        <v>3.9701058763166021E-2</v>
      </c>
      <c r="O123" s="72">
        <v>0.99887836506199834</v>
      </c>
      <c r="P123">
        <v>0.99786791943432296</v>
      </c>
      <c r="Q123">
        <v>0.91607268188765612</v>
      </c>
      <c r="R123">
        <v>0.4781896745674914</v>
      </c>
      <c r="S123">
        <v>0.38972389809037056</v>
      </c>
      <c r="T123">
        <v>0.1561943614385003</v>
      </c>
      <c r="U123">
        <v>0.75894988416562725</v>
      </c>
      <c r="V123">
        <v>0.69792291806553752</v>
      </c>
      <c r="W123">
        <v>0.54309085094356158</v>
      </c>
      <c r="X123">
        <v>0.42849321852062711</v>
      </c>
      <c r="Y123">
        <v>0.4314627847398439</v>
      </c>
      <c r="Z123">
        <v>0.45389285692603021</v>
      </c>
      <c r="AA123">
        <v>0.76923549179246431</v>
      </c>
      <c r="AB123">
        <v>0.84019210600273342</v>
      </c>
      <c r="AC123">
        <v>0.78718036877200803</v>
      </c>
      <c r="AD123">
        <v>0.62848471056035948</v>
      </c>
      <c r="AE123">
        <v>221.34031796795051</v>
      </c>
      <c r="AF123">
        <v>1112.0369469684961</v>
      </c>
      <c r="AG123">
        <v>1706.1411740854437</v>
      </c>
      <c r="AH123">
        <v>13960.29971683306</v>
      </c>
      <c r="AI123">
        <v>11880.084469593614</v>
      </c>
      <c r="AJ123">
        <v>42849.406350170735</v>
      </c>
      <c r="AK123">
        <v>19409.538621145959</v>
      </c>
      <c r="AL123">
        <v>2296.340934551105</v>
      </c>
      <c r="AM123">
        <v>410.38269545712564</v>
      </c>
      <c r="AO123">
        <v>46293.267940835714</v>
      </c>
      <c r="AP123">
        <v>13.673604991936051</v>
      </c>
      <c r="AQ123">
        <v>47227.736680331254</v>
      </c>
      <c r="AR123">
        <v>13.944130901014141</v>
      </c>
      <c r="AS123" s="2">
        <f t="shared" si="7"/>
        <v>934.46873949553992</v>
      </c>
      <c r="AT123" s="2">
        <f t="shared" si="8"/>
        <v>0.27052590907809027</v>
      </c>
      <c r="AV123">
        <f t="shared" si="9"/>
        <v>1321067.2312527692</v>
      </c>
      <c r="AW123">
        <f t="shared" si="10"/>
        <v>1347185.353421083</v>
      </c>
      <c r="AY123">
        <f t="shared" si="11"/>
        <v>0</v>
      </c>
      <c r="AZ123">
        <f t="shared" si="12"/>
        <v>1</v>
      </c>
    </row>
    <row r="124" spans="1:52" x14ac:dyDescent="0.2">
      <c r="A124">
        <f t="shared" si="13"/>
        <v>120</v>
      </c>
      <c r="B124">
        <v>1.9600832464808746E-2</v>
      </c>
      <c r="C124">
        <v>4.0324546922939297E-2</v>
      </c>
      <c r="D124">
        <v>3.5547729873352536E-2</v>
      </c>
      <c r="E124">
        <v>4.9366610051384957E-3</v>
      </c>
      <c r="F124">
        <v>3.3575607128490947E-3</v>
      </c>
      <c r="G124">
        <v>2.1461558148419768E-2</v>
      </c>
      <c r="H124">
        <v>4.884644134976357E-2</v>
      </c>
      <c r="I124">
        <v>0.1350151272790967</v>
      </c>
      <c r="J124">
        <v>0</v>
      </c>
      <c r="K124">
        <v>0.42412824898647761</v>
      </c>
      <c r="L124">
        <v>0.24126419479718497</v>
      </c>
      <c r="M124">
        <v>0.75873580520281503</v>
      </c>
      <c r="N124">
        <v>6.4911308774570853E-2</v>
      </c>
      <c r="O124" s="72">
        <v>0.99874412344704533</v>
      </c>
      <c r="P124">
        <v>0.9989130179152258</v>
      </c>
      <c r="Q124">
        <v>0.88437145403369599</v>
      </c>
      <c r="R124">
        <v>0.43438820983874937</v>
      </c>
      <c r="S124">
        <v>0.44493797368404708</v>
      </c>
      <c r="T124">
        <v>0.34581373977181551</v>
      </c>
      <c r="U124">
        <v>0.75290231687988884</v>
      </c>
      <c r="V124">
        <v>0.68169588645514545</v>
      </c>
      <c r="W124">
        <v>0.67327715917037367</v>
      </c>
      <c r="X124">
        <v>0.49842581439316624</v>
      </c>
      <c r="Y124">
        <v>0.43533664309209352</v>
      </c>
      <c r="Z124">
        <v>0.4683016522968505</v>
      </c>
      <c r="AA124">
        <v>0.66793261338649379</v>
      </c>
      <c r="AB124">
        <v>0.88438937179658694</v>
      </c>
      <c r="AC124">
        <v>0.69163680099685831</v>
      </c>
      <c r="AD124">
        <v>0.52599527489487885</v>
      </c>
      <c r="AE124">
        <v>242.80405599772635</v>
      </c>
      <c r="AF124">
        <v>1156.6799494898853</v>
      </c>
      <c r="AG124">
        <v>2263.851568991608</v>
      </c>
      <c r="AH124">
        <v>10450.599958513021</v>
      </c>
      <c r="AI124">
        <v>11385.440304630452</v>
      </c>
      <c r="AJ124">
        <v>32453.729447813144</v>
      </c>
      <c r="AK124">
        <v>15878.880871878495</v>
      </c>
      <c r="AL124">
        <v>2042.7248087910523</v>
      </c>
      <c r="AM124">
        <v>363.4026510112526</v>
      </c>
      <c r="AO124">
        <v>43784.167114235403</v>
      </c>
      <c r="AP124">
        <v>14.035624805759674</v>
      </c>
      <c r="AQ124">
        <v>46559.639245224098</v>
      </c>
      <c r="AR124">
        <v>14.246873795715832</v>
      </c>
      <c r="AS124" s="2">
        <f t="shared" si="7"/>
        <v>2775.4721309886954</v>
      </c>
      <c r="AT124" s="2">
        <f t="shared" si="8"/>
        <v>0.21124898995615737</v>
      </c>
      <c r="AV124">
        <f t="shared" si="9"/>
        <v>1359778.3134617319</v>
      </c>
      <c r="AW124">
        <f t="shared" si="10"/>
        <v>1378127.7403263589</v>
      </c>
      <c r="AY124">
        <f t="shared" si="11"/>
        <v>0</v>
      </c>
      <c r="AZ124">
        <f t="shared" si="12"/>
        <v>1</v>
      </c>
    </row>
    <row r="125" spans="1:52" x14ac:dyDescent="0.2">
      <c r="A125">
        <f t="shared" si="13"/>
        <v>121</v>
      </c>
      <c r="B125">
        <v>2.1613250741782736E-2</v>
      </c>
      <c r="C125">
        <v>3.146774148963314E-2</v>
      </c>
      <c r="D125">
        <v>3.2570000313659524E-2</v>
      </c>
      <c r="E125">
        <v>2.1295415627811343E-2</v>
      </c>
      <c r="F125">
        <v>3.1915772325574413E-3</v>
      </c>
      <c r="G125">
        <v>7.2636041222689084E-3</v>
      </c>
      <c r="H125">
        <v>4.3136357445702656E-2</v>
      </c>
      <c r="I125">
        <v>0.14280007750744406</v>
      </c>
      <c r="J125">
        <v>0</v>
      </c>
      <c r="K125">
        <v>0.40077004042406511</v>
      </c>
      <c r="L125">
        <v>0.19128156842383492</v>
      </c>
      <c r="M125">
        <v>0.80871843157616508</v>
      </c>
      <c r="N125">
        <v>6.6907336750830493E-2</v>
      </c>
      <c r="O125" s="72">
        <v>0.99758526272936021</v>
      </c>
      <c r="P125">
        <v>0.99998569465035758</v>
      </c>
      <c r="Q125">
        <v>0.99124823922792571</v>
      </c>
      <c r="R125">
        <v>0.50570894376164832</v>
      </c>
      <c r="S125">
        <v>0.46960847710748388</v>
      </c>
      <c r="T125">
        <v>0.19496124297930151</v>
      </c>
      <c r="U125">
        <v>0.77484248215379181</v>
      </c>
      <c r="V125">
        <v>0.64667470831652263</v>
      </c>
      <c r="W125">
        <v>0.56775069008499846</v>
      </c>
      <c r="X125">
        <v>0.4828093312013656</v>
      </c>
      <c r="Y125">
        <v>0.4453800752363552</v>
      </c>
      <c r="Z125">
        <v>0.42792658331114869</v>
      </c>
      <c r="AA125">
        <v>0.57862658891459928</v>
      </c>
      <c r="AB125">
        <v>0.77531086105825509</v>
      </c>
      <c r="AC125">
        <v>0.73565680951069679</v>
      </c>
      <c r="AD125">
        <v>0.53227347028776018</v>
      </c>
      <c r="AE125">
        <v>212.09476985215321</v>
      </c>
      <c r="AF125">
        <v>1353.3740964937199</v>
      </c>
      <c r="AG125">
        <v>1717.9810599905763</v>
      </c>
      <c r="AH125">
        <v>20640.510824809862</v>
      </c>
      <c r="AI125">
        <v>10413.2559175104</v>
      </c>
      <c r="AJ125">
        <v>42420.946719575673</v>
      </c>
      <c r="AK125">
        <v>9654.5574518334943</v>
      </c>
      <c r="AL125">
        <v>2408.8028567414967</v>
      </c>
      <c r="AM125">
        <v>350.92150667572145</v>
      </c>
      <c r="AO125">
        <v>42208.962033165226</v>
      </c>
      <c r="AP125">
        <v>12.711817384706853</v>
      </c>
      <c r="AQ125">
        <v>46050.057074755467</v>
      </c>
      <c r="AR125">
        <v>12.823400523186347</v>
      </c>
      <c r="AS125" s="2">
        <f t="shared" si="7"/>
        <v>3841.0950415902407</v>
      </c>
      <c r="AT125" s="2">
        <f t="shared" si="8"/>
        <v>0.11158313847949408</v>
      </c>
      <c r="AV125">
        <f t="shared" si="9"/>
        <v>1228972.77643752</v>
      </c>
      <c r="AW125">
        <f t="shared" si="10"/>
        <v>1236289.9952438793</v>
      </c>
      <c r="AY125">
        <f t="shared" si="11"/>
        <v>0</v>
      </c>
      <c r="AZ125">
        <f t="shared" si="12"/>
        <v>1</v>
      </c>
    </row>
    <row r="126" spans="1:52" x14ac:dyDescent="0.2">
      <c r="A126">
        <f t="shared" si="13"/>
        <v>122</v>
      </c>
      <c r="B126">
        <v>2.6831475351211886E-2</v>
      </c>
      <c r="C126">
        <v>3.9336728878558214E-2</v>
      </c>
      <c r="D126">
        <v>5.0870991701827406E-2</v>
      </c>
      <c r="E126">
        <v>2.1949506915546646E-2</v>
      </c>
      <c r="F126">
        <v>3.4090180285354377E-3</v>
      </c>
      <c r="G126">
        <v>3.7403367200066176E-3</v>
      </c>
      <c r="H126">
        <v>3.4070431800307333E-2</v>
      </c>
      <c r="I126">
        <v>0.10425878377805894</v>
      </c>
      <c r="J126">
        <v>0</v>
      </c>
      <c r="K126">
        <v>0.49092446282782454</v>
      </c>
      <c r="L126">
        <v>0.15813470337670724</v>
      </c>
      <c r="M126">
        <v>0.84186529662329279</v>
      </c>
      <c r="N126">
        <v>6.5727528629629606E-2</v>
      </c>
      <c r="O126" s="72">
        <v>0.99736657567139453</v>
      </c>
      <c r="P126">
        <v>0.99769900156129976</v>
      </c>
      <c r="Q126">
        <v>0.98805123239243131</v>
      </c>
      <c r="R126">
        <v>0.47868726822121377</v>
      </c>
      <c r="S126">
        <v>0.37835231171582229</v>
      </c>
      <c r="T126">
        <v>0.24361955561132409</v>
      </c>
      <c r="U126">
        <v>0.76333504792542872</v>
      </c>
      <c r="V126">
        <v>0.65040212203700565</v>
      </c>
      <c r="W126">
        <v>0.63236899455121631</v>
      </c>
      <c r="X126">
        <v>0.47170541754568107</v>
      </c>
      <c r="Y126">
        <v>0.47055688189766676</v>
      </c>
      <c r="Z126">
        <v>0.45787164828205273</v>
      </c>
      <c r="AA126">
        <v>0.63870281915557725</v>
      </c>
      <c r="AB126">
        <v>0.85795285100184704</v>
      </c>
      <c r="AC126">
        <v>0.77120011585494785</v>
      </c>
      <c r="AD126">
        <v>0.67818322269831688</v>
      </c>
      <c r="AE126">
        <v>136.44639645374571</v>
      </c>
      <c r="AF126">
        <v>1157.8259509957434</v>
      </c>
      <c r="AG126">
        <v>1024.1651653900046</v>
      </c>
      <c r="AH126">
        <v>11574.398453824911</v>
      </c>
      <c r="AI126">
        <v>15126.368329577776</v>
      </c>
      <c r="AJ126">
        <v>32999.492601823426</v>
      </c>
      <c r="AK126">
        <v>16401.284819801396</v>
      </c>
      <c r="AL126">
        <v>1916.4524161800994</v>
      </c>
      <c r="AM126">
        <v>411.98065622653257</v>
      </c>
      <c r="AO126">
        <v>43864.092333420798</v>
      </c>
      <c r="AP126">
        <v>13.966208608487939</v>
      </c>
      <c r="AQ126">
        <v>46854.249013636618</v>
      </c>
      <c r="AR126">
        <v>14.233782960520822</v>
      </c>
      <c r="AS126" s="2">
        <f t="shared" si="7"/>
        <v>2990.1566802158195</v>
      </c>
      <c r="AT126" s="2">
        <f t="shared" si="8"/>
        <v>0.2675743520328826</v>
      </c>
      <c r="AV126">
        <f t="shared" si="9"/>
        <v>1352756.7685153731</v>
      </c>
      <c r="AW126">
        <f t="shared" si="10"/>
        <v>1376524.0470384455</v>
      </c>
      <c r="AY126">
        <f t="shared" si="11"/>
        <v>0</v>
      </c>
      <c r="AZ126">
        <f t="shared" si="12"/>
        <v>1</v>
      </c>
    </row>
    <row r="127" spans="1:52" x14ac:dyDescent="0.2">
      <c r="A127">
        <f t="shared" si="13"/>
        <v>123</v>
      </c>
      <c r="B127">
        <v>1.5419024831722776E-2</v>
      </c>
      <c r="C127">
        <v>3.1978936712056656E-2</v>
      </c>
      <c r="D127">
        <v>4.4107549531104739E-2</v>
      </c>
      <c r="E127">
        <v>1.6468435113643598E-2</v>
      </c>
      <c r="F127">
        <v>3.2553393958505311E-3</v>
      </c>
      <c r="G127">
        <v>1.7077766030202057E-2</v>
      </c>
      <c r="H127">
        <v>3.2292830688190333E-2</v>
      </c>
      <c r="I127">
        <v>0.12260568774850919</v>
      </c>
      <c r="J127">
        <v>0</v>
      </c>
      <c r="K127">
        <v>0.41661077673650782</v>
      </c>
      <c r="L127">
        <v>0.26903795695106414</v>
      </c>
      <c r="M127">
        <v>0.73096204304893586</v>
      </c>
      <c r="N127">
        <v>5.987397357857982E-2</v>
      </c>
      <c r="O127" s="72">
        <v>0.99985310763610546</v>
      </c>
      <c r="P127">
        <v>0.99093850257117833</v>
      </c>
      <c r="Q127">
        <v>0.95247385738677481</v>
      </c>
      <c r="R127">
        <v>0.50792937149732009</v>
      </c>
      <c r="S127">
        <v>0.41828462715484938</v>
      </c>
      <c r="T127">
        <v>0.21020985139016535</v>
      </c>
      <c r="U127">
        <v>0.76344573746712274</v>
      </c>
      <c r="V127">
        <v>0.70042541761939869</v>
      </c>
      <c r="W127">
        <v>0.59075215847891682</v>
      </c>
      <c r="X127">
        <v>0.42914297026538328</v>
      </c>
      <c r="Y127">
        <v>0.46826423921174209</v>
      </c>
      <c r="Z127">
        <v>0.44339482553172682</v>
      </c>
      <c r="AA127">
        <v>0.66254511133419736</v>
      </c>
      <c r="AB127">
        <v>0.86017927981985964</v>
      </c>
      <c r="AC127">
        <v>0.74480114717125356</v>
      </c>
      <c r="AD127">
        <v>0.64414210492075252</v>
      </c>
      <c r="AE127">
        <v>216.79683158689272</v>
      </c>
      <c r="AF127">
        <v>992.04945467497259</v>
      </c>
      <c r="AG127">
        <v>2413.50049357325</v>
      </c>
      <c r="AH127">
        <v>13756.209783894295</v>
      </c>
      <c r="AI127">
        <v>13682.642367636807</v>
      </c>
      <c r="AJ127">
        <v>33944.47815766163</v>
      </c>
      <c r="AK127">
        <v>9505.5293004202176</v>
      </c>
      <c r="AL127">
        <v>1942.8387988202555</v>
      </c>
      <c r="AM127">
        <v>418.48426260047938</v>
      </c>
      <c r="AO127">
        <v>43144.158798539385</v>
      </c>
      <c r="AP127">
        <v>13.942086110905208</v>
      </c>
      <c r="AQ127">
        <v>47443.093861544774</v>
      </c>
      <c r="AR127">
        <v>14.166593516276739</v>
      </c>
      <c r="AS127" s="2">
        <f t="shared" si="7"/>
        <v>4298.9350630053887</v>
      </c>
      <c r="AT127" s="2">
        <f t="shared" si="8"/>
        <v>0.22450740537153102</v>
      </c>
      <c r="AV127">
        <f t="shared" si="9"/>
        <v>1351064.4522919815</v>
      </c>
      <c r="AW127">
        <f t="shared" si="10"/>
        <v>1369216.2577661292</v>
      </c>
      <c r="AY127">
        <f t="shared" si="11"/>
        <v>0</v>
      </c>
      <c r="AZ127">
        <f t="shared" si="12"/>
        <v>1</v>
      </c>
    </row>
    <row r="128" spans="1:52" x14ac:dyDescent="0.2">
      <c r="A128">
        <f t="shared" si="13"/>
        <v>124</v>
      </c>
      <c r="B128">
        <v>2.7037187026640042E-2</v>
      </c>
      <c r="C128">
        <v>3.3707914063661477E-2</v>
      </c>
      <c r="D128">
        <v>3.6629633969596252E-2</v>
      </c>
      <c r="E128">
        <v>2.1341507434923024E-2</v>
      </c>
      <c r="F128">
        <v>3.3324979653522372E-3</v>
      </c>
      <c r="G128">
        <v>1.9742544062760436E-2</v>
      </c>
      <c r="H128">
        <v>3.5262282131926392E-2</v>
      </c>
      <c r="I128">
        <v>0.12543151586734891</v>
      </c>
      <c r="J128">
        <v>0</v>
      </c>
      <c r="K128">
        <v>0.39620498276156424</v>
      </c>
      <c r="L128">
        <v>0.26084319001168388</v>
      </c>
      <c r="M128">
        <v>0.73915680998831612</v>
      </c>
      <c r="N128">
        <v>4.8815753240142014E-2</v>
      </c>
      <c r="O128" s="72">
        <v>0.99983520416876648</v>
      </c>
      <c r="P128">
        <v>0.99990731526973753</v>
      </c>
      <c r="Q128">
        <v>0.96778066103463867</v>
      </c>
      <c r="R128">
        <v>0.49119045142144691</v>
      </c>
      <c r="S128">
        <v>0.34478523229640357</v>
      </c>
      <c r="T128">
        <v>0.28324692795132844</v>
      </c>
      <c r="U128">
        <v>0.78026111708454238</v>
      </c>
      <c r="V128">
        <v>0.67311372415877468</v>
      </c>
      <c r="W128">
        <v>0.52735053599178539</v>
      </c>
      <c r="X128">
        <v>0.44939123077308346</v>
      </c>
      <c r="Y128">
        <v>0.47992857323213189</v>
      </c>
      <c r="Z128">
        <v>0.44727619568083415</v>
      </c>
      <c r="AA128">
        <v>0.65858185805991143</v>
      </c>
      <c r="AB128">
        <v>0.84974843547389645</v>
      </c>
      <c r="AC128">
        <v>0.67000186606132417</v>
      </c>
      <c r="AD128">
        <v>0.53319330764811601</v>
      </c>
      <c r="AE128">
        <v>179.66500556888187</v>
      </c>
      <c r="AF128">
        <v>1183.8163941404596</v>
      </c>
      <c r="AG128">
        <v>2052.2380712389231</v>
      </c>
      <c r="AH128">
        <v>13339.754698950765</v>
      </c>
      <c r="AI128">
        <v>13852.290837249031</v>
      </c>
      <c r="AJ128">
        <v>42370.620219274417</v>
      </c>
      <c r="AK128">
        <v>10871.986835534122</v>
      </c>
      <c r="AL128">
        <v>2445.0582237519966</v>
      </c>
      <c r="AM128">
        <v>309.85475198734372</v>
      </c>
      <c r="AO128">
        <v>41890.70402479879</v>
      </c>
      <c r="AP128">
        <v>13.541346743615474</v>
      </c>
      <c r="AQ128">
        <v>45364.335849063944</v>
      </c>
      <c r="AR128">
        <v>13.736803551278857</v>
      </c>
      <c r="AS128" s="2">
        <f t="shared" si="7"/>
        <v>3473.6318242651541</v>
      </c>
      <c r="AT128" s="2">
        <f t="shared" si="8"/>
        <v>0.19545680766338336</v>
      </c>
      <c r="AV128">
        <f t="shared" si="9"/>
        <v>1312243.9703367488</v>
      </c>
      <c r="AW128">
        <f t="shared" si="10"/>
        <v>1328316.0192788218</v>
      </c>
      <c r="AY128">
        <f t="shared" si="11"/>
        <v>0</v>
      </c>
      <c r="AZ128">
        <f t="shared" si="12"/>
        <v>1</v>
      </c>
    </row>
    <row r="129" spans="1:52" x14ac:dyDescent="0.2">
      <c r="A129">
        <f t="shared" si="13"/>
        <v>125</v>
      </c>
      <c r="B129">
        <v>2.340397076196463E-2</v>
      </c>
      <c r="C129">
        <v>3.4632062967686901E-2</v>
      </c>
      <c r="D129">
        <v>1.9872566643029891E-2</v>
      </c>
      <c r="E129">
        <v>1.8392411741060758E-3</v>
      </c>
      <c r="F129">
        <v>3.3718428264656319E-3</v>
      </c>
      <c r="G129">
        <v>8.4337548757889499E-3</v>
      </c>
      <c r="H129">
        <v>5.1516166241175831E-2</v>
      </c>
      <c r="I129">
        <v>0.12742570133941955</v>
      </c>
      <c r="J129">
        <v>0</v>
      </c>
      <c r="K129">
        <v>0.36140464645058656</v>
      </c>
      <c r="L129">
        <v>0.23043905223684413</v>
      </c>
      <c r="M129">
        <v>0.76956094776315587</v>
      </c>
      <c r="N129">
        <v>5.5999153690846515E-2</v>
      </c>
      <c r="O129" s="72">
        <v>0.99953444850744233</v>
      </c>
      <c r="P129">
        <v>0.99888595081287912</v>
      </c>
      <c r="Q129">
        <v>0.98042626312543213</v>
      </c>
      <c r="R129">
        <v>0.47671540264881473</v>
      </c>
      <c r="S129">
        <v>0.40925029494036813</v>
      </c>
      <c r="T129">
        <v>0.19813986218754676</v>
      </c>
      <c r="U129">
        <v>0.78410144855244068</v>
      </c>
      <c r="V129">
        <v>0.60831033505796084</v>
      </c>
      <c r="W129">
        <v>0.56634932546170225</v>
      </c>
      <c r="X129">
        <v>0.45262939648466449</v>
      </c>
      <c r="Y129">
        <v>0.40822340106767785</v>
      </c>
      <c r="Z129">
        <v>0.44808293790258735</v>
      </c>
      <c r="AA129">
        <v>0.68040887566628871</v>
      </c>
      <c r="AB129">
        <v>0.80786361836162723</v>
      </c>
      <c r="AC129">
        <v>0.58611949099798255</v>
      </c>
      <c r="AD129">
        <v>0.64916764033898267</v>
      </c>
      <c r="AE129">
        <v>143.48719356952276</v>
      </c>
      <c r="AF129">
        <v>1124.5533858900581</v>
      </c>
      <c r="AG129">
        <v>1530.3440326455736</v>
      </c>
      <c r="AH129">
        <v>11081.935216691008</v>
      </c>
      <c r="AI129">
        <v>11745.026550258746</v>
      </c>
      <c r="AJ129">
        <v>45708.347148749737</v>
      </c>
      <c r="AK129">
        <v>12243.034149029483</v>
      </c>
      <c r="AL129">
        <v>2219.0017739264254</v>
      </c>
      <c r="AM129">
        <v>373.65226859996852</v>
      </c>
      <c r="AO129">
        <v>44187.521164504062</v>
      </c>
      <c r="AP129">
        <v>13.020753857150282</v>
      </c>
      <c r="AQ129">
        <v>46240.295875221302</v>
      </c>
      <c r="AR129">
        <v>13.164067507648843</v>
      </c>
      <c r="AS129" s="2">
        <f t="shared" si="7"/>
        <v>2052.7747107172399</v>
      </c>
      <c r="AT129" s="2">
        <f t="shared" si="8"/>
        <v>0.14331365049856082</v>
      </c>
      <c r="AV129">
        <f t="shared" si="9"/>
        <v>1257887.8645505242</v>
      </c>
      <c r="AW129">
        <f t="shared" si="10"/>
        <v>1270166.454889663</v>
      </c>
      <c r="AY129">
        <f t="shared" si="11"/>
        <v>0</v>
      </c>
      <c r="AZ129">
        <f t="shared" si="12"/>
        <v>1</v>
      </c>
    </row>
    <row r="130" spans="1:52" x14ac:dyDescent="0.2">
      <c r="A130">
        <f t="shared" si="13"/>
        <v>126</v>
      </c>
      <c r="B130">
        <v>2.923926835829449E-2</v>
      </c>
      <c r="C130">
        <v>3.9538461628243704E-2</v>
      </c>
      <c r="D130">
        <v>3.5408160302374078E-2</v>
      </c>
      <c r="E130">
        <v>4.0857054092046652E-3</v>
      </c>
      <c r="F130">
        <v>3.2902665592086655E-3</v>
      </c>
      <c r="G130">
        <v>4.3442441180761206E-3</v>
      </c>
      <c r="H130">
        <v>1.3404822800094461E-2</v>
      </c>
      <c r="I130">
        <v>0.1355708674676851</v>
      </c>
      <c r="J130">
        <v>0</v>
      </c>
      <c r="K130">
        <v>0.44644198855104311</v>
      </c>
      <c r="L130">
        <v>0.24552546189857749</v>
      </c>
      <c r="M130">
        <v>0.75447453810142251</v>
      </c>
      <c r="N130">
        <v>5.5438829828256299E-2</v>
      </c>
      <c r="O130" s="72">
        <v>0.99853565905062303</v>
      </c>
      <c r="P130">
        <v>0.99346604533352967</v>
      </c>
      <c r="Q130">
        <v>0.99711375127160173</v>
      </c>
      <c r="R130">
        <v>0.45819445286923455</v>
      </c>
      <c r="S130">
        <v>0.45795822594102797</v>
      </c>
      <c r="T130">
        <v>8.5752772987883419E-2</v>
      </c>
      <c r="U130">
        <v>0.74761868505913975</v>
      </c>
      <c r="V130">
        <v>0.67917448891085752</v>
      </c>
      <c r="W130">
        <v>0.53772009380658814</v>
      </c>
      <c r="X130">
        <v>0.47890940899962342</v>
      </c>
      <c r="Y130">
        <v>0.49153743848176501</v>
      </c>
      <c r="Z130">
        <v>0.47043515865139029</v>
      </c>
      <c r="AA130">
        <v>0.72970649260750031</v>
      </c>
      <c r="AB130">
        <v>0.80332497874900333</v>
      </c>
      <c r="AC130">
        <v>0.79741575835627887</v>
      </c>
      <c r="AD130">
        <v>0.55989233220684098</v>
      </c>
      <c r="AE130">
        <v>205.80185204524091</v>
      </c>
      <c r="AF130">
        <v>1098.0340100117246</v>
      </c>
      <c r="AG130">
        <v>1796.0419410911422</v>
      </c>
      <c r="AH130">
        <v>10786.030758154911</v>
      </c>
      <c r="AI130">
        <v>13237.042891160578</v>
      </c>
      <c r="AJ130">
        <v>36222.737011118115</v>
      </c>
      <c r="AK130">
        <v>13686.836591974366</v>
      </c>
      <c r="AL130">
        <v>2228.2533460236341</v>
      </c>
      <c r="AM130">
        <v>413.60755461680924</v>
      </c>
      <c r="AO130">
        <v>49928.497919961068</v>
      </c>
      <c r="AP130">
        <v>13.15498996144969</v>
      </c>
      <c r="AQ130">
        <v>47021.298574650646</v>
      </c>
      <c r="AR130">
        <v>13.360810187521674</v>
      </c>
      <c r="AS130" s="2">
        <f t="shared" si="7"/>
        <v>-2907.1993453104224</v>
      </c>
      <c r="AT130" s="2">
        <f t="shared" si="8"/>
        <v>0.20582022607198347</v>
      </c>
      <c r="AV130">
        <f t="shared" si="9"/>
        <v>1265570.4982250079</v>
      </c>
      <c r="AW130">
        <f t="shared" si="10"/>
        <v>1289059.7201775168</v>
      </c>
      <c r="AY130">
        <f t="shared" si="11"/>
        <v>0</v>
      </c>
      <c r="AZ130">
        <f t="shared" si="12"/>
        <v>1</v>
      </c>
    </row>
    <row r="131" spans="1:52" x14ac:dyDescent="0.2">
      <c r="A131">
        <f t="shared" si="13"/>
        <v>127</v>
      </c>
      <c r="B131">
        <v>2.2744567414785082E-2</v>
      </c>
      <c r="C131">
        <v>3.6078719900553086E-2</v>
      </c>
      <c r="D131">
        <v>3.7576419038800185E-2</v>
      </c>
      <c r="E131">
        <v>3.1328994816444466E-2</v>
      </c>
      <c r="F131">
        <v>3.43562198224312E-3</v>
      </c>
      <c r="G131">
        <v>1.7914161951549934E-2</v>
      </c>
      <c r="H131">
        <v>3.3811678428601777E-2</v>
      </c>
      <c r="I131">
        <v>0.13142789809338906</v>
      </c>
      <c r="J131">
        <v>0</v>
      </c>
      <c r="K131">
        <v>0.4051055107524415</v>
      </c>
      <c r="L131">
        <v>0.23665652212349919</v>
      </c>
      <c r="M131">
        <v>0.76334347787650081</v>
      </c>
      <c r="N131">
        <v>5.1388463468591369E-2</v>
      </c>
      <c r="O131" s="72">
        <v>0.99885744791568143</v>
      </c>
      <c r="P131">
        <v>0.99991522533049693</v>
      </c>
      <c r="Q131">
        <v>0.93301026158443956</v>
      </c>
      <c r="R131">
        <v>0.49194549970748047</v>
      </c>
      <c r="S131">
        <v>0.48679877432798957</v>
      </c>
      <c r="T131">
        <v>0.22118343410227548</v>
      </c>
      <c r="U131">
        <v>0.75328216800924952</v>
      </c>
      <c r="V131">
        <v>0.57509610742362649</v>
      </c>
      <c r="W131">
        <v>0.45015664248623427</v>
      </c>
      <c r="X131">
        <v>0.47946644854809917</v>
      </c>
      <c r="Y131">
        <v>0.4533803021815408</v>
      </c>
      <c r="Z131">
        <v>0.45353047813469594</v>
      </c>
      <c r="AA131">
        <v>0.69712081971351281</v>
      </c>
      <c r="AB131">
        <v>0.84525936876942998</v>
      </c>
      <c r="AC131">
        <v>0.70195877503723636</v>
      </c>
      <c r="AD131">
        <v>0.64655072458036433</v>
      </c>
      <c r="AE131">
        <v>273.08222929351558</v>
      </c>
      <c r="AF131">
        <v>1178.3901533038343</v>
      </c>
      <c r="AG131">
        <v>1095.7355889392602</v>
      </c>
      <c r="AH131">
        <v>13763.260561731506</v>
      </c>
      <c r="AI131">
        <v>14080.841034079536</v>
      </c>
      <c r="AJ131">
        <v>41075.976707520756</v>
      </c>
      <c r="AK131">
        <v>8167.9612025982287</v>
      </c>
      <c r="AL131">
        <v>2037.8037450244005</v>
      </c>
      <c r="AM131">
        <v>337.78498908896745</v>
      </c>
      <c r="AO131">
        <v>41496.384111171763</v>
      </c>
      <c r="AP131">
        <v>13.594430855973513</v>
      </c>
      <c r="AQ131">
        <v>45932.802896435205</v>
      </c>
      <c r="AR131">
        <v>13.883884102757275</v>
      </c>
      <c r="AS131" s="2">
        <f t="shared" si="7"/>
        <v>4436.4187852634423</v>
      </c>
      <c r="AT131" s="2">
        <f t="shared" si="8"/>
        <v>0.28945324678376139</v>
      </c>
      <c r="AV131">
        <f t="shared" si="9"/>
        <v>1317946.7014861796</v>
      </c>
      <c r="AW131">
        <f t="shared" si="10"/>
        <v>1342455.6073792924</v>
      </c>
      <c r="AY131">
        <f t="shared" si="11"/>
        <v>0</v>
      </c>
      <c r="AZ131">
        <f t="shared" si="12"/>
        <v>1</v>
      </c>
    </row>
    <row r="132" spans="1:52" x14ac:dyDescent="0.2">
      <c r="A132">
        <f t="shared" si="13"/>
        <v>128</v>
      </c>
      <c r="B132">
        <v>2.3318829598669773E-2</v>
      </c>
      <c r="C132">
        <v>2.6525491199533426E-2</v>
      </c>
      <c r="D132">
        <v>2.6853091484447856E-2</v>
      </c>
      <c r="E132">
        <v>1.6626611022496851E-2</v>
      </c>
      <c r="F132">
        <v>3.3003152277854414E-3</v>
      </c>
      <c r="G132">
        <v>1.8089678802074238E-2</v>
      </c>
      <c r="H132">
        <v>2.8257034514355829E-2</v>
      </c>
      <c r="I132">
        <v>0.13024156125441555</v>
      </c>
      <c r="J132">
        <v>0</v>
      </c>
      <c r="K132">
        <v>0.43040212166023084</v>
      </c>
      <c r="L132">
        <v>0.2068482783347434</v>
      </c>
      <c r="M132">
        <v>0.7931517216652566</v>
      </c>
      <c r="N132">
        <v>4.6765156582995571E-2</v>
      </c>
      <c r="O132" s="72">
        <v>0.99958651006881583</v>
      </c>
      <c r="P132">
        <v>0.99963393666461897</v>
      </c>
      <c r="Q132">
        <v>0.98250532565699367</v>
      </c>
      <c r="R132">
        <v>0.44723833042806527</v>
      </c>
      <c r="S132">
        <v>0.36195161177797008</v>
      </c>
      <c r="T132">
        <v>0.29956687463129761</v>
      </c>
      <c r="U132">
        <v>0.79753780066217039</v>
      </c>
      <c r="V132">
        <v>0.64600977638953894</v>
      </c>
      <c r="W132">
        <v>0.63169983436933452</v>
      </c>
      <c r="X132">
        <v>0.46890829384255939</v>
      </c>
      <c r="Y132">
        <v>0.43987297238576861</v>
      </c>
      <c r="Z132">
        <v>0.44240377741226045</v>
      </c>
      <c r="AA132">
        <v>0.68026890726310418</v>
      </c>
      <c r="AB132">
        <v>0.81451327518522587</v>
      </c>
      <c r="AC132">
        <v>0.7758473960482708</v>
      </c>
      <c r="AD132">
        <v>0.6086374905210602</v>
      </c>
      <c r="AE132">
        <v>214.29100411766572</v>
      </c>
      <c r="AF132">
        <v>1091.6501646711256</v>
      </c>
      <c r="AG132">
        <v>1339.9266037600121</v>
      </c>
      <c r="AH132">
        <v>12316.166747006608</v>
      </c>
      <c r="AI132">
        <v>15230.457924433756</v>
      </c>
      <c r="AJ132">
        <v>41467.855879307048</v>
      </c>
      <c r="AK132">
        <v>15796.868073844673</v>
      </c>
      <c r="AL132">
        <v>1641.5498419331695</v>
      </c>
      <c r="AM132">
        <v>405.68201278857981</v>
      </c>
      <c r="AO132">
        <v>44894.973456472268</v>
      </c>
      <c r="AP132">
        <v>13.42321279559112</v>
      </c>
      <c r="AQ132">
        <v>46754.36423858763</v>
      </c>
      <c r="AR132">
        <v>13.543811909772382</v>
      </c>
      <c r="AS132" s="2">
        <f t="shared" si="7"/>
        <v>1859.3907821153625</v>
      </c>
      <c r="AT132" s="2">
        <f t="shared" si="8"/>
        <v>0.12059911418126212</v>
      </c>
      <c r="AV132">
        <f t="shared" si="9"/>
        <v>1297426.3061026398</v>
      </c>
      <c r="AW132">
        <f t="shared" si="10"/>
        <v>1307626.8267386504</v>
      </c>
      <c r="AY132">
        <f t="shared" si="11"/>
        <v>0</v>
      </c>
      <c r="AZ132">
        <f t="shared" si="12"/>
        <v>1</v>
      </c>
    </row>
    <row r="133" spans="1:52" x14ac:dyDescent="0.2">
      <c r="A133">
        <f t="shared" si="13"/>
        <v>129</v>
      </c>
      <c r="B133">
        <v>3.1252925677909604E-2</v>
      </c>
      <c r="C133">
        <v>3.2259030543354904E-2</v>
      </c>
      <c r="D133">
        <v>3.888167907881046E-2</v>
      </c>
      <c r="E133">
        <v>1.82794600051297E-2</v>
      </c>
      <c r="F133">
        <v>3.3758201851171732E-3</v>
      </c>
      <c r="G133">
        <v>9.0744490939788248E-3</v>
      </c>
      <c r="H133">
        <v>5.0295115484424668E-2</v>
      </c>
      <c r="I133">
        <v>0.12508148182086909</v>
      </c>
      <c r="J133">
        <v>0</v>
      </c>
      <c r="K133">
        <v>0.41175584555521522</v>
      </c>
      <c r="L133">
        <v>0.23605092238441172</v>
      </c>
      <c r="M133">
        <v>0.76394907761558828</v>
      </c>
      <c r="N133">
        <v>5.9005143129729487E-2</v>
      </c>
      <c r="O133" s="72">
        <v>0.99999627952633774</v>
      </c>
      <c r="P133">
        <v>0.9999770397640938</v>
      </c>
      <c r="Q133">
        <v>0.8743998981188601</v>
      </c>
      <c r="R133">
        <v>0.48488296422525001</v>
      </c>
      <c r="S133">
        <v>0.3194358941841442</v>
      </c>
      <c r="T133">
        <v>0.26525650349912011</v>
      </c>
      <c r="U133">
        <v>0.77991890171974287</v>
      </c>
      <c r="V133">
        <v>0.65966406453114279</v>
      </c>
      <c r="W133">
        <v>0.60355470920075827</v>
      </c>
      <c r="X133">
        <v>0.45591768615106354</v>
      </c>
      <c r="Y133">
        <v>0.41400210986775043</v>
      </c>
      <c r="Z133">
        <v>0.43909941217946152</v>
      </c>
      <c r="AA133">
        <v>0.66846281343904645</v>
      </c>
      <c r="AB133">
        <v>0.85017972748718396</v>
      </c>
      <c r="AC133">
        <v>0.70726304441699583</v>
      </c>
      <c r="AD133">
        <v>0.68493812188642211</v>
      </c>
      <c r="AE133">
        <v>147.21454557870786</v>
      </c>
      <c r="AF133">
        <v>1149.5282502700591</v>
      </c>
      <c r="AG133">
        <v>1101.7816063499779</v>
      </c>
      <c r="AH133">
        <v>12365.44976646951</v>
      </c>
      <c r="AI133">
        <v>17283.850889489328</v>
      </c>
      <c r="AJ133">
        <v>44129.161035584097</v>
      </c>
      <c r="AK133">
        <v>11232.789948995221</v>
      </c>
      <c r="AL133">
        <v>2211.6887789357197</v>
      </c>
      <c r="AM133">
        <v>433.5329768312194</v>
      </c>
      <c r="AO133">
        <v>44452.04517940199</v>
      </c>
      <c r="AP133">
        <v>13.783374377221776</v>
      </c>
      <c r="AQ133">
        <v>47546.978802851627</v>
      </c>
      <c r="AR133">
        <v>14.012801394384532</v>
      </c>
      <c r="AS133" s="2">
        <f t="shared" si="7"/>
        <v>3094.9336234496368</v>
      </c>
      <c r="AT133" s="2">
        <f t="shared" si="8"/>
        <v>0.22942701716275593</v>
      </c>
      <c r="AV133">
        <f t="shared" si="9"/>
        <v>1333885.3925427755</v>
      </c>
      <c r="AW133">
        <f t="shared" si="10"/>
        <v>1353733.1606356015</v>
      </c>
      <c r="AY133">
        <f t="shared" si="11"/>
        <v>0</v>
      </c>
      <c r="AZ133">
        <f t="shared" si="12"/>
        <v>1</v>
      </c>
    </row>
    <row r="134" spans="1:52" x14ac:dyDescent="0.2">
      <c r="A134">
        <f t="shared" si="13"/>
        <v>130</v>
      </c>
      <c r="B134">
        <v>2.7360202451180982E-2</v>
      </c>
      <c r="C134">
        <v>3.6372086509462921E-2</v>
      </c>
      <c r="D134">
        <v>4.8449874468300069E-2</v>
      </c>
      <c r="E134">
        <v>2.7227100040874141E-2</v>
      </c>
      <c r="F134">
        <v>3.1650895186749691E-3</v>
      </c>
      <c r="G134">
        <v>8.869945348390286E-3</v>
      </c>
      <c r="H134">
        <v>4.27975284026747E-2</v>
      </c>
      <c r="I134">
        <v>0.12570393163767485</v>
      </c>
      <c r="J134">
        <v>0</v>
      </c>
      <c r="K134">
        <v>0.43690179290816622</v>
      </c>
      <c r="L134">
        <v>0.23365378663677105</v>
      </c>
      <c r="M134">
        <v>0.76634621336322895</v>
      </c>
      <c r="N134">
        <v>4.3279370990865811E-2</v>
      </c>
      <c r="O134" s="72">
        <v>0.99998250235932751</v>
      </c>
      <c r="P134">
        <v>0.99484777502583221</v>
      </c>
      <c r="Q134">
        <v>0.98569336652733386</v>
      </c>
      <c r="R134">
        <v>0.48134075802283927</v>
      </c>
      <c r="S134">
        <v>0.50056872092748783</v>
      </c>
      <c r="T134">
        <v>0.24124132318742741</v>
      </c>
      <c r="U134">
        <v>0.77619290206430058</v>
      </c>
      <c r="V134">
        <v>0.68959933905460935</v>
      </c>
      <c r="W134">
        <v>0.52142046284627863</v>
      </c>
      <c r="X134">
        <v>0.41215489072123374</v>
      </c>
      <c r="Y134">
        <v>0.43905989033184062</v>
      </c>
      <c r="Z134">
        <v>0.48748756688485817</v>
      </c>
      <c r="AA134">
        <v>0.75159275135869363</v>
      </c>
      <c r="AB134">
        <v>0.83909553421898053</v>
      </c>
      <c r="AC134">
        <v>0.77405405458833276</v>
      </c>
      <c r="AD134">
        <v>0.60832309639834348</v>
      </c>
      <c r="AE134">
        <v>251.20162312836365</v>
      </c>
      <c r="AF134">
        <v>1147.8381833945289</v>
      </c>
      <c r="AG134">
        <v>1419.9263529283744</v>
      </c>
      <c r="AH134">
        <v>10005.625991566198</v>
      </c>
      <c r="AI134">
        <v>7521.3579365873065</v>
      </c>
      <c r="AJ134">
        <v>39923.969570323155</v>
      </c>
      <c r="AK134">
        <v>10908.022434452714</v>
      </c>
      <c r="AL134">
        <v>2284.7667939632679</v>
      </c>
      <c r="AM134">
        <v>384.67808417135183</v>
      </c>
      <c r="AO134">
        <v>42068.172038055643</v>
      </c>
      <c r="AP134">
        <v>13.660866243824042</v>
      </c>
      <c r="AQ134">
        <v>46555.96394332491</v>
      </c>
      <c r="AR134">
        <v>13.881381320785602</v>
      </c>
      <c r="AS134" s="2">
        <f t="shared" ref="AS134:AS197" si="14">AQ134-AO134</f>
        <v>4487.7919052692669</v>
      </c>
      <c r="AT134" s="2">
        <f t="shared" ref="AT134:AT197" si="15">AR134-AP134</f>
        <v>0.22051507696155959</v>
      </c>
      <c r="AV134">
        <f t="shared" ref="AV134:AV197" si="16">$AW$1*AP134-AO134</f>
        <v>1324018.4523443484</v>
      </c>
      <c r="AW134">
        <f t="shared" ref="AW134:AW197" si="17">$AW$1*AR134-AQ134</f>
        <v>1341582.1681352351</v>
      </c>
      <c r="AY134">
        <f t="shared" ref="AY134:AY197" si="18">IF(AV134=MAX($AV134:$AW134),1,0)</f>
        <v>0</v>
      </c>
      <c r="AZ134">
        <f t="shared" ref="AZ134:AZ197" si="19">IF(AW134=MAX($AV134:$AW134),1,0)</f>
        <v>1</v>
      </c>
    </row>
    <row r="135" spans="1:52" x14ac:dyDescent="0.2">
      <c r="A135">
        <f t="shared" si="13"/>
        <v>131</v>
      </c>
      <c r="B135">
        <v>3.1020294595291875E-2</v>
      </c>
      <c r="C135">
        <v>2.4268742973179543E-2</v>
      </c>
      <c r="D135">
        <v>3.3567956052281113E-2</v>
      </c>
      <c r="E135">
        <v>6.7805760695756646E-3</v>
      </c>
      <c r="F135">
        <v>3.3093244076303182E-3</v>
      </c>
      <c r="G135">
        <v>9.783753122525966E-3</v>
      </c>
      <c r="H135">
        <v>5.3808727836279324E-2</v>
      </c>
      <c r="I135">
        <v>0.11775298843710316</v>
      </c>
      <c r="J135">
        <v>0</v>
      </c>
      <c r="K135">
        <v>0.4491640480768021</v>
      </c>
      <c r="L135">
        <v>0.19584448944253113</v>
      </c>
      <c r="M135">
        <v>0.80415551055746892</v>
      </c>
      <c r="N135">
        <v>6.3750192114186532E-2</v>
      </c>
      <c r="O135" s="72">
        <v>0.99979463927032297</v>
      </c>
      <c r="P135">
        <v>0.9998747572045783</v>
      </c>
      <c r="Q135">
        <v>0.99628811354400304</v>
      </c>
      <c r="R135">
        <v>0.46679244327984459</v>
      </c>
      <c r="S135">
        <v>0.46154741545825728</v>
      </c>
      <c r="T135">
        <v>0.29734673894067476</v>
      </c>
      <c r="U135">
        <v>0.77213144025382974</v>
      </c>
      <c r="V135">
        <v>0.61614027632449442</v>
      </c>
      <c r="W135">
        <v>0.53510232267011726</v>
      </c>
      <c r="X135">
        <v>0.46823618855296267</v>
      </c>
      <c r="Y135">
        <v>0.39923225337613238</v>
      </c>
      <c r="Z135">
        <v>0.48134527358279722</v>
      </c>
      <c r="AA135">
        <v>0.61238299100804328</v>
      </c>
      <c r="AB135">
        <v>0.82238854961906016</v>
      </c>
      <c r="AC135">
        <v>0.69386705688886896</v>
      </c>
      <c r="AD135">
        <v>0.53767770954471805</v>
      </c>
      <c r="AE135">
        <v>212.72725984993795</v>
      </c>
      <c r="AF135">
        <v>1036.2495614702405</v>
      </c>
      <c r="AG135">
        <v>1918.2490937472628</v>
      </c>
      <c r="AH135">
        <v>16289.058625998268</v>
      </c>
      <c r="AI135">
        <v>9058.482043210719</v>
      </c>
      <c r="AJ135">
        <v>34990.555900978266</v>
      </c>
      <c r="AK135">
        <v>16103.491982794045</v>
      </c>
      <c r="AL135">
        <v>1850.2398087317531</v>
      </c>
      <c r="AM135">
        <v>311.78242310460536</v>
      </c>
      <c r="AO135">
        <v>41741.95482042736</v>
      </c>
      <c r="AP135">
        <v>13.251863114504149</v>
      </c>
      <c r="AQ135">
        <v>45358.355164361346</v>
      </c>
      <c r="AR135">
        <v>13.408962818500866</v>
      </c>
      <c r="AS135" s="2">
        <f t="shared" si="14"/>
        <v>3616.4003439339867</v>
      </c>
      <c r="AT135" s="2">
        <f t="shared" si="15"/>
        <v>0.15709970399671747</v>
      </c>
      <c r="AV135">
        <f t="shared" si="16"/>
        <v>1283444.3566299875</v>
      </c>
      <c r="AW135">
        <f t="shared" si="17"/>
        <v>1295537.9266857251</v>
      </c>
      <c r="AY135">
        <f t="shared" si="18"/>
        <v>0</v>
      </c>
      <c r="AZ135">
        <f t="shared" si="19"/>
        <v>1</v>
      </c>
    </row>
    <row r="136" spans="1:52" x14ac:dyDescent="0.2">
      <c r="A136">
        <f t="shared" ref="A136:A190" si="20">A135+1</f>
        <v>132</v>
      </c>
      <c r="B136">
        <v>2.5439093496525733E-2</v>
      </c>
      <c r="C136">
        <v>5.790002779267589E-2</v>
      </c>
      <c r="D136">
        <v>4.6549910584495202E-2</v>
      </c>
      <c r="E136">
        <v>7.9747359254426949E-3</v>
      </c>
      <c r="F136">
        <v>3.2152216092926462E-3</v>
      </c>
      <c r="G136">
        <v>2.5076010022003986E-3</v>
      </c>
      <c r="H136">
        <v>3.2095889349242235E-2</v>
      </c>
      <c r="I136">
        <v>0.13190694102657119</v>
      </c>
      <c r="J136">
        <v>0</v>
      </c>
      <c r="K136">
        <v>0.37479533206610471</v>
      </c>
      <c r="L136">
        <v>0.22741803162353758</v>
      </c>
      <c r="M136">
        <v>0.77258196837646242</v>
      </c>
      <c r="N136">
        <v>5.1565417918161827E-2</v>
      </c>
      <c r="O136" s="72">
        <v>0.9999987234104678</v>
      </c>
      <c r="P136">
        <v>0.99999806206325548</v>
      </c>
      <c r="Q136">
        <v>0.98541923660677833</v>
      </c>
      <c r="R136">
        <v>0.47465940729284695</v>
      </c>
      <c r="S136">
        <v>0.43166807260658746</v>
      </c>
      <c r="T136">
        <v>0.26514314568356201</v>
      </c>
      <c r="U136">
        <v>0.7578036730575568</v>
      </c>
      <c r="V136">
        <v>0.6947145914242232</v>
      </c>
      <c r="W136">
        <v>0.58389666964218445</v>
      </c>
      <c r="X136">
        <v>0.46644716117375773</v>
      </c>
      <c r="Y136">
        <v>0.43592043324813512</v>
      </c>
      <c r="Z136">
        <v>0.43730553083964141</v>
      </c>
      <c r="AA136">
        <v>0.67446747757473535</v>
      </c>
      <c r="AB136">
        <v>0.83109170132292665</v>
      </c>
      <c r="AC136">
        <v>0.69509165082028024</v>
      </c>
      <c r="AD136">
        <v>0.60669684370750221</v>
      </c>
      <c r="AE136">
        <v>162.92179305933763</v>
      </c>
      <c r="AF136">
        <v>876.3644389856612</v>
      </c>
      <c r="AG136">
        <v>1118.3314940988616</v>
      </c>
      <c r="AH136">
        <v>17308.511135573935</v>
      </c>
      <c r="AI136">
        <v>10486.344483981724</v>
      </c>
      <c r="AJ136">
        <v>37270.845000386427</v>
      </c>
      <c r="AK136">
        <v>16044.654806811701</v>
      </c>
      <c r="AL136">
        <v>2437.610660699354</v>
      </c>
      <c r="AM136">
        <v>389.84641518036398</v>
      </c>
      <c r="AO136">
        <v>43137.66022870208</v>
      </c>
      <c r="AP136">
        <v>13.429551887088001</v>
      </c>
      <c r="AQ136">
        <v>46500.680238282417</v>
      </c>
      <c r="AR136">
        <v>13.62579882626035</v>
      </c>
      <c r="AS136" s="2">
        <f t="shared" si="14"/>
        <v>3363.0200095803375</v>
      </c>
      <c r="AT136" s="2">
        <f t="shared" si="15"/>
        <v>0.19624693917234914</v>
      </c>
      <c r="AV136">
        <f t="shared" si="16"/>
        <v>1299817.5284800981</v>
      </c>
      <c r="AW136">
        <f t="shared" si="17"/>
        <v>1316079.2023877527</v>
      </c>
      <c r="AY136">
        <f t="shared" si="18"/>
        <v>0</v>
      </c>
      <c r="AZ136">
        <f t="shared" si="19"/>
        <v>1</v>
      </c>
    </row>
    <row r="137" spans="1:52" x14ac:dyDescent="0.2">
      <c r="A137">
        <f t="shared" si="20"/>
        <v>133</v>
      </c>
      <c r="B137">
        <v>2.5036663133036319E-2</v>
      </c>
      <c r="C137">
        <v>3.6718685986592781E-2</v>
      </c>
      <c r="D137">
        <v>3.0216202151585918E-2</v>
      </c>
      <c r="E137">
        <v>3.7598699563465626E-3</v>
      </c>
      <c r="F137">
        <v>3.2092153418360548E-3</v>
      </c>
      <c r="G137">
        <v>3.3454261985333855E-2</v>
      </c>
      <c r="H137">
        <v>3.8998937612636064E-2</v>
      </c>
      <c r="I137">
        <v>0.11552043346027691</v>
      </c>
      <c r="J137">
        <v>0</v>
      </c>
      <c r="K137">
        <v>0.43482308747071907</v>
      </c>
      <c r="L137">
        <v>0.19333194495516492</v>
      </c>
      <c r="M137">
        <v>0.80666805504483508</v>
      </c>
      <c r="N137">
        <v>6.5150776674986144E-2</v>
      </c>
      <c r="O137" s="72">
        <v>0.92129768134992895</v>
      </c>
      <c r="P137">
        <v>0.9978047893951727</v>
      </c>
      <c r="Q137">
        <v>0.99008970350032188</v>
      </c>
      <c r="R137">
        <v>0.48721496593196956</v>
      </c>
      <c r="S137">
        <v>0.44251670801846221</v>
      </c>
      <c r="T137">
        <v>0.27054074311534615</v>
      </c>
      <c r="U137">
        <v>0.75383860813108039</v>
      </c>
      <c r="V137">
        <v>0.64835858757777021</v>
      </c>
      <c r="W137">
        <v>0.47841686962337532</v>
      </c>
      <c r="X137">
        <v>0.40901254388711533</v>
      </c>
      <c r="Y137">
        <v>0.44927067248990848</v>
      </c>
      <c r="Z137">
        <v>0.41821440286270556</v>
      </c>
      <c r="AA137">
        <v>0.67204979985414459</v>
      </c>
      <c r="AB137">
        <v>0.87084390962553382</v>
      </c>
      <c r="AC137">
        <v>0.65862702717589783</v>
      </c>
      <c r="AD137">
        <v>0.68051297448274661</v>
      </c>
      <c r="AE137">
        <v>216.48222897349874</v>
      </c>
      <c r="AF137">
        <v>1070.4411069129803</v>
      </c>
      <c r="AG137">
        <v>1408.0061579815178</v>
      </c>
      <c r="AH137">
        <v>11433.655993092674</v>
      </c>
      <c r="AI137">
        <v>12981.675724408413</v>
      </c>
      <c r="AJ137">
        <v>42255.716786170102</v>
      </c>
      <c r="AK137">
        <v>15842.771581557028</v>
      </c>
      <c r="AL137">
        <v>1878.5708422577231</v>
      </c>
      <c r="AM137">
        <v>244.94495660273799</v>
      </c>
      <c r="AO137">
        <v>39979.109153041965</v>
      </c>
      <c r="AP137">
        <v>13.961727788566064</v>
      </c>
      <c r="AQ137">
        <v>44602.164788882539</v>
      </c>
      <c r="AR137">
        <v>14.210861273230464</v>
      </c>
      <c r="AS137" s="2">
        <f t="shared" si="14"/>
        <v>4623.0556358405738</v>
      </c>
      <c r="AT137" s="2">
        <f t="shared" si="15"/>
        <v>0.24913348466439977</v>
      </c>
      <c r="AV137">
        <f t="shared" si="16"/>
        <v>1356193.6697035646</v>
      </c>
      <c r="AW137">
        <f t="shared" si="17"/>
        <v>1376483.9625341638</v>
      </c>
      <c r="AY137">
        <f t="shared" si="18"/>
        <v>0</v>
      </c>
      <c r="AZ137">
        <f t="shared" si="19"/>
        <v>1</v>
      </c>
    </row>
    <row r="138" spans="1:52" x14ac:dyDescent="0.2">
      <c r="A138">
        <f t="shared" si="20"/>
        <v>134</v>
      </c>
      <c r="B138">
        <v>2.524882219125113E-2</v>
      </c>
      <c r="C138">
        <v>4.3670014087848208E-2</v>
      </c>
      <c r="D138">
        <v>3.5758402774701346E-2</v>
      </c>
      <c r="E138">
        <v>1.8689383990777131E-2</v>
      </c>
      <c r="F138">
        <v>3.2154283013345348E-3</v>
      </c>
      <c r="G138">
        <v>2.0465995068793541E-2</v>
      </c>
      <c r="H138">
        <v>3.4232064446089394E-2</v>
      </c>
      <c r="I138">
        <v>0.13231055238668143</v>
      </c>
      <c r="J138">
        <v>0</v>
      </c>
      <c r="K138">
        <v>0.39560376844881262</v>
      </c>
      <c r="L138">
        <v>0.16882165639942401</v>
      </c>
      <c r="M138">
        <v>0.83117834360057596</v>
      </c>
      <c r="N138">
        <v>6.8753437872013379E-2</v>
      </c>
      <c r="O138" s="72">
        <v>0.99757739077705432</v>
      </c>
      <c r="P138">
        <v>0.99998615539491043</v>
      </c>
      <c r="Q138">
        <v>0.94562913808283589</v>
      </c>
      <c r="R138">
        <v>0.45315379202792638</v>
      </c>
      <c r="S138">
        <v>0.4394892292149124</v>
      </c>
      <c r="T138">
        <v>0.20858338595590864</v>
      </c>
      <c r="U138">
        <v>0.78329902046414412</v>
      </c>
      <c r="V138">
        <v>0.62624105322320467</v>
      </c>
      <c r="W138">
        <v>0.49355420197901551</v>
      </c>
      <c r="X138">
        <v>0.46590580871438347</v>
      </c>
      <c r="Y138">
        <v>0.45166659808427212</v>
      </c>
      <c r="Z138">
        <v>0.3479784154051398</v>
      </c>
      <c r="AA138">
        <v>0.67570431513137441</v>
      </c>
      <c r="AB138">
        <v>0.83778262956990535</v>
      </c>
      <c r="AC138">
        <v>0.64150810641349365</v>
      </c>
      <c r="AD138">
        <v>0.5972086232687035</v>
      </c>
      <c r="AE138">
        <v>179.27990462133116</v>
      </c>
      <c r="AF138">
        <v>1185.3542797809203</v>
      </c>
      <c r="AG138">
        <v>1825.9106841573946</v>
      </c>
      <c r="AH138">
        <v>13355.758819306833</v>
      </c>
      <c r="AI138">
        <v>10603.171306895114</v>
      </c>
      <c r="AJ138">
        <v>40959.144174127767</v>
      </c>
      <c r="AK138">
        <v>14996.19714682015</v>
      </c>
      <c r="AL138">
        <v>2603.8154626561527</v>
      </c>
      <c r="AM138">
        <v>414.2402748553065</v>
      </c>
      <c r="AO138">
        <v>45484.156237277719</v>
      </c>
      <c r="AP138">
        <v>13.360444711194056</v>
      </c>
      <c r="AQ138">
        <v>47049.223925974809</v>
      </c>
      <c r="AR138">
        <v>13.606218738647087</v>
      </c>
      <c r="AS138" s="2">
        <f t="shared" si="14"/>
        <v>1565.0676886970905</v>
      </c>
      <c r="AT138" s="2">
        <f t="shared" si="15"/>
        <v>0.2457740274530309</v>
      </c>
      <c r="AV138">
        <f t="shared" si="16"/>
        <v>1290560.314882128</v>
      </c>
      <c r="AW138">
        <f t="shared" si="17"/>
        <v>1313572.6499387338</v>
      </c>
      <c r="AY138">
        <f t="shared" si="18"/>
        <v>0</v>
      </c>
      <c r="AZ138">
        <f t="shared" si="19"/>
        <v>1</v>
      </c>
    </row>
    <row r="139" spans="1:52" x14ac:dyDescent="0.2">
      <c r="A139">
        <f t="shared" si="20"/>
        <v>135</v>
      </c>
      <c r="B139">
        <v>2.2674824479830512E-2</v>
      </c>
      <c r="C139">
        <v>4.61708599735422E-2</v>
      </c>
      <c r="D139">
        <v>4.5165022870764515E-2</v>
      </c>
      <c r="E139">
        <v>1.4073629594686227E-3</v>
      </c>
      <c r="F139">
        <v>3.3894467126889261E-3</v>
      </c>
      <c r="G139">
        <v>2.2761585258484374E-2</v>
      </c>
      <c r="H139">
        <v>2.8385324634662413E-2</v>
      </c>
      <c r="I139">
        <v>0.14212035628047737</v>
      </c>
      <c r="J139">
        <v>0</v>
      </c>
      <c r="K139">
        <v>0.44381785006560592</v>
      </c>
      <c r="L139">
        <v>0.24526326070684379</v>
      </c>
      <c r="M139">
        <v>0.75473673929315621</v>
      </c>
      <c r="N139">
        <v>6.3710642194418132E-2</v>
      </c>
      <c r="O139" s="72">
        <v>0.99952964262123967</v>
      </c>
      <c r="P139">
        <v>0.99976626765027921</v>
      </c>
      <c r="Q139">
        <v>0.9610318704878662</v>
      </c>
      <c r="R139">
        <v>0.46644881368947944</v>
      </c>
      <c r="S139">
        <v>0.41088072284766886</v>
      </c>
      <c r="T139">
        <v>0.31463538217630171</v>
      </c>
      <c r="U139">
        <v>0.80206945180816669</v>
      </c>
      <c r="V139">
        <v>0.67447532508092367</v>
      </c>
      <c r="W139">
        <v>0.58464097192258713</v>
      </c>
      <c r="X139">
        <v>0.48056685350258832</v>
      </c>
      <c r="Y139">
        <v>0.48053241994458917</v>
      </c>
      <c r="Z139">
        <v>0.43747036728921163</v>
      </c>
      <c r="AA139">
        <v>0.68832502687831143</v>
      </c>
      <c r="AB139">
        <v>0.89794511433321977</v>
      </c>
      <c r="AC139">
        <v>0.6646089892352478</v>
      </c>
      <c r="AD139">
        <v>0.65093321796774029</v>
      </c>
      <c r="AE139">
        <v>184.71486836715513</v>
      </c>
      <c r="AF139">
        <v>1170.0354025012421</v>
      </c>
      <c r="AG139">
        <v>1492.87711516527</v>
      </c>
      <c r="AH139">
        <v>15427.011210001716</v>
      </c>
      <c r="AI139">
        <v>12426.961150318473</v>
      </c>
      <c r="AJ139">
        <v>48242.000421730416</v>
      </c>
      <c r="AK139">
        <v>17911.192485546206</v>
      </c>
      <c r="AL139">
        <v>2126.7780278408809</v>
      </c>
      <c r="AM139">
        <v>351.13927669737353</v>
      </c>
      <c r="AO139">
        <v>42502.996438754089</v>
      </c>
      <c r="AP139">
        <v>14.333409747179195</v>
      </c>
      <c r="AQ139">
        <v>46022.870307711804</v>
      </c>
      <c r="AR139">
        <v>14.555302429307126</v>
      </c>
      <c r="AS139" s="2">
        <f t="shared" si="14"/>
        <v>3519.8738689577149</v>
      </c>
      <c r="AT139" s="2">
        <f t="shared" si="15"/>
        <v>0.22189268212793145</v>
      </c>
      <c r="AV139">
        <f t="shared" si="16"/>
        <v>1390837.9782791655</v>
      </c>
      <c r="AW139">
        <f t="shared" si="17"/>
        <v>1409507.3726230008</v>
      </c>
      <c r="AY139">
        <f t="shared" si="18"/>
        <v>0</v>
      </c>
      <c r="AZ139">
        <f t="shared" si="19"/>
        <v>1</v>
      </c>
    </row>
    <row r="140" spans="1:52" x14ac:dyDescent="0.2">
      <c r="A140">
        <f t="shared" si="20"/>
        <v>136</v>
      </c>
      <c r="B140">
        <v>2.7431626726632574E-2</v>
      </c>
      <c r="C140">
        <v>3.7553367267526006E-2</v>
      </c>
      <c r="D140">
        <v>3.533518351507943E-2</v>
      </c>
      <c r="E140">
        <v>5.3665610981936118E-3</v>
      </c>
      <c r="F140">
        <v>3.3426702397546526E-3</v>
      </c>
      <c r="G140">
        <v>4.6373208687538409E-3</v>
      </c>
      <c r="H140">
        <v>3.362649482629243E-2</v>
      </c>
      <c r="I140">
        <v>0.10596163269894651</v>
      </c>
      <c r="J140">
        <v>0</v>
      </c>
      <c r="K140">
        <v>0.44379230545275905</v>
      </c>
      <c r="L140">
        <v>0.17831001904339777</v>
      </c>
      <c r="M140">
        <v>0.82168998095660228</v>
      </c>
      <c r="N140">
        <v>5.845396483755283E-2</v>
      </c>
      <c r="O140" s="72">
        <v>0.99997995909115733</v>
      </c>
      <c r="P140">
        <v>0.99987671458397009</v>
      </c>
      <c r="Q140">
        <v>0.97631381800117101</v>
      </c>
      <c r="R140">
        <v>0.5423438268016938</v>
      </c>
      <c r="S140">
        <v>0.36367357595806415</v>
      </c>
      <c r="T140">
        <v>0.228306152036437</v>
      </c>
      <c r="U140">
        <v>0.78022199888550481</v>
      </c>
      <c r="V140">
        <v>0.6807999587501381</v>
      </c>
      <c r="W140">
        <v>0.65290947304007085</v>
      </c>
      <c r="X140">
        <v>0.45908324745235229</v>
      </c>
      <c r="Y140">
        <v>0.43529874475055408</v>
      </c>
      <c r="Z140">
        <v>0.48080854060238909</v>
      </c>
      <c r="AA140">
        <v>0.69242614511688649</v>
      </c>
      <c r="AB140">
        <v>0.77307640122375398</v>
      </c>
      <c r="AC140">
        <v>0.76028724043280049</v>
      </c>
      <c r="AD140">
        <v>0.64697773870370412</v>
      </c>
      <c r="AE140">
        <v>174.87388344430673</v>
      </c>
      <c r="AF140">
        <v>996.80459456333051</v>
      </c>
      <c r="AG140">
        <v>1974.0958661142517</v>
      </c>
      <c r="AH140">
        <v>13669.472991313156</v>
      </c>
      <c r="AI140">
        <v>12361.235985304333</v>
      </c>
      <c r="AJ140">
        <v>37732.931102990085</v>
      </c>
      <c r="AK140">
        <v>10508.333040767431</v>
      </c>
      <c r="AL140">
        <v>1856.7397715160735</v>
      </c>
      <c r="AM140">
        <v>557.56203306961663</v>
      </c>
      <c r="AO140">
        <v>44110.038994081289</v>
      </c>
      <c r="AP140">
        <v>12.903438723185429</v>
      </c>
      <c r="AQ140">
        <v>49231.869547980074</v>
      </c>
      <c r="AR140">
        <v>12.99490228006071</v>
      </c>
      <c r="AS140" s="2">
        <f t="shared" si="14"/>
        <v>5121.8305538987843</v>
      </c>
      <c r="AT140" s="2">
        <f t="shared" si="15"/>
        <v>9.1463556875281071E-2</v>
      </c>
      <c r="AV140">
        <f t="shared" si="16"/>
        <v>1246233.8333244617</v>
      </c>
      <c r="AW140">
        <f t="shared" si="17"/>
        <v>1250258.3584580908</v>
      </c>
      <c r="AY140">
        <f t="shared" si="18"/>
        <v>0</v>
      </c>
      <c r="AZ140">
        <f t="shared" si="19"/>
        <v>1</v>
      </c>
    </row>
    <row r="141" spans="1:52" x14ac:dyDescent="0.2">
      <c r="A141">
        <f t="shared" si="20"/>
        <v>137</v>
      </c>
      <c r="B141">
        <v>2.1508366283648144E-2</v>
      </c>
      <c r="C141">
        <v>3.5254008019996209E-2</v>
      </c>
      <c r="D141">
        <v>3.5429231020003553E-2</v>
      </c>
      <c r="E141">
        <v>1.0428034942207372E-2</v>
      </c>
      <c r="F141">
        <v>3.2889839457505426E-3</v>
      </c>
      <c r="G141">
        <v>6.3376487789738598E-3</v>
      </c>
      <c r="H141">
        <v>1.1158933150064231E-2</v>
      </c>
      <c r="I141">
        <v>0.12770221087116282</v>
      </c>
      <c r="J141">
        <v>0</v>
      </c>
      <c r="K141">
        <v>0.42371166571550861</v>
      </c>
      <c r="L141">
        <v>0.18438884201831893</v>
      </c>
      <c r="M141">
        <v>0.81561115798168105</v>
      </c>
      <c r="N141">
        <v>7.3775361512042892E-2</v>
      </c>
      <c r="O141" s="72">
        <v>0.94743050006633933</v>
      </c>
      <c r="P141">
        <v>0.98836256836780967</v>
      </c>
      <c r="Q141">
        <v>0.99186963256267835</v>
      </c>
      <c r="R141">
        <v>0.48379538516740195</v>
      </c>
      <c r="S141">
        <v>0.37879539914745974</v>
      </c>
      <c r="T141">
        <v>0.31504272546394363</v>
      </c>
      <c r="U141">
        <v>0.79821703328695093</v>
      </c>
      <c r="V141">
        <v>0.73408795562392481</v>
      </c>
      <c r="W141">
        <v>0.60304167446158141</v>
      </c>
      <c r="X141">
        <v>0.52444877060277717</v>
      </c>
      <c r="Y141">
        <v>0.48884852953137092</v>
      </c>
      <c r="Z141">
        <v>0.39175091656983135</v>
      </c>
      <c r="AA141">
        <v>0.69555719425766926</v>
      </c>
      <c r="AB141">
        <v>0.78491857150844857</v>
      </c>
      <c r="AC141">
        <v>0.79220891073994948</v>
      </c>
      <c r="AD141">
        <v>0.58390121721452615</v>
      </c>
      <c r="AE141">
        <v>140.06777828964721</v>
      </c>
      <c r="AF141">
        <v>1018.0713222224276</v>
      </c>
      <c r="AG141">
        <v>1186.5710330806876</v>
      </c>
      <c r="AH141">
        <v>14247.63852375094</v>
      </c>
      <c r="AI141">
        <v>19770.133560412374</v>
      </c>
      <c r="AJ141">
        <v>34095.167048885625</v>
      </c>
      <c r="AK141">
        <v>15615.514643040366</v>
      </c>
      <c r="AL141">
        <v>1660.4497758742543</v>
      </c>
      <c r="AM141">
        <v>313.97018718620001</v>
      </c>
      <c r="AO141">
        <v>41176.797210154495</v>
      </c>
      <c r="AP141">
        <v>13.065412926371668</v>
      </c>
      <c r="AQ141">
        <v>45832.151370616615</v>
      </c>
      <c r="AR141">
        <v>13.12948763963978</v>
      </c>
      <c r="AS141" s="2">
        <f t="shared" si="14"/>
        <v>4655.3541604621205</v>
      </c>
      <c r="AT141" s="2">
        <f t="shared" si="15"/>
        <v>6.407471326811276E-2</v>
      </c>
      <c r="AV141">
        <f t="shared" si="16"/>
        <v>1265364.4954270122</v>
      </c>
      <c r="AW141">
        <f t="shared" si="17"/>
        <v>1267116.6125933614</v>
      </c>
      <c r="AY141">
        <f t="shared" si="18"/>
        <v>0</v>
      </c>
      <c r="AZ141">
        <f t="shared" si="19"/>
        <v>1</v>
      </c>
    </row>
    <row r="142" spans="1:52" x14ac:dyDescent="0.2">
      <c r="A142">
        <f t="shared" si="20"/>
        <v>138</v>
      </c>
      <c r="B142">
        <v>2.491057288130949E-2</v>
      </c>
      <c r="C142">
        <v>3.024794624808792E-2</v>
      </c>
      <c r="D142">
        <v>2.1943330929600706E-2</v>
      </c>
      <c r="E142">
        <v>2.3856698890705852E-2</v>
      </c>
      <c r="F142">
        <v>3.1596076749798403E-3</v>
      </c>
      <c r="G142">
        <v>1.1329043064727028E-2</v>
      </c>
      <c r="H142">
        <v>1.9853876900573105E-2</v>
      </c>
      <c r="I142">
        <v>0.11499054310997373</v>
      </c>
      <c r="J142">
        <v>0</v>
      </c>
      <c r="K142">
        <v>0.44497976799032135</v>
      </c>
      <c r="L142">
        <v>0.23533508694142435</v>
      </c>
      <c r="M142">
        <v>0.76466491305857565</v>
      </c>
      <c r="N142">
        <v>5.8711807506281577E-2</v>
      </c>
      <c r="O142" s="72">
        <v>0.99676360233705097</v>
      </c>
      <c r="P142">
        <v>0.99999990073469258</v>
      </c>
      <c r="Q142">
        <v>0.96070440246410616</v>
      </c>
      <c r="R142">
        <v>0.44334142697355072</v>
      </c>
      <c r="S142">
        <v>0.2877489861992335</v>
      </c>
      <c r="T142">
        <v>0.19376301903263982</v>
      </c>
      <c r="U142">
        <v>0.7670249793988656</v>
      </c>
      <c r="V142">
        <v>0.6692424197716651</v>
      </c>
      <c r="W142">
        <v>0.49850296864853766</v>
      </c>
      <c r="X142">
        <v>0.49713588760822947</v>
      </c>
      <c r="Y142">
        <v>0.44842769110852432</v>
      </c>
      <c r="Z142">
        <v>0.46643364422076006</v>
      </c>
      <c r="AA142">
        <v>0.66958394099741048</v>
      </c>
      <c r="AB142">
        <v>0.74839812322999377</v>
      </c>
      <c r="AC142">
        <v>0.68291753784247733</v>
      </c>
      <c r="AD142">
        <v>0.57241392891765319</v>
      </c>
      <c r="AE142">
        <v>179.93726393557444</v>
      </c>
      <c r="AF142">
        <v>1006.9444312029904</v>
      </c>
      <c r="AG142">
        <v>1401.3056965749581</v>
      </c>
      <c r="AH142">
        <v>16040.997464790664</v>
      </c>
      <c r="AI142">
        <v>14867.839897951913</v>
      </c>
      <c r="AJ142">
        <v>38673.266666469099</v>
      </c>
      <c r="AK142">
        <v>9728.9508764027887</v>
      </c>
      <c r="AL142">
        <v>1980.956993558907</v>
      </c>
      <c r="AM142">
        <v>417.40153414272868</v>
      </c>
      <c r="AO142">
        <v>48565.74284259152</v>
      </c>
      <c r="AP142">
        <v>12.278345321909276</v>
      </c>
      <c r="AQ142">
        <v>47070.003227411915</v>
      </c>
      <c r="AR142">
        <v>12.410173816561731</v>
      </c>
      <c r="AS142" s="2">
        <f t="shared" si="14"/>
        <v>-1495.7396151796056</v>
      </c>
      <c r="AT142" s="2">
        <f t="shared" si="15"/>
        <v>0.13182849465245461</v>
      </c>
      <c r="AV142">
        <f t="shared" si="16"/>
        <v>1179268.7893483359</v>
      </c>
      <c r="AW142">
        <f t="shared" si="17"/>
        <v>1193947.3784287611</v>
      </c>
      <c r="AY142">
        <f t="shared" si="18"/>
        <v>0</v>
      </c>
      <c r="AZ142">
        <f t="shared" si="19"/>
        <v>1</v>
      </c>
    </row>
    <row r="143" spans="1:52" x14ac:dyDescent="0.2">
      <c r="A143">
        <f t="shared" si="20"/>
        <v>139</v>
      </c>
      <c r="B143">
        <v>2.3382448592058375E-2</v>
      </c>
      <c r="C143">
        <v>2.1936460111954107E-2</v>
      </c>
      <c r="D143">
        <v>3.7747257566218086E-2</v>
      </c>
      <c r="E143">
        <v>3.5952881941773798E-3</v>
      </c>
      <c r="F143">
        <v>3.4115673369290445E-3</v>
      </c>
      <c r="G143">
        <v>2.5830314726752665E-3</v>
      </c>
      <c r="H143">
        <v>2.5917596124662715E-2</v>
      </c>
      <c r="I143">
        <v>0.12534517736482662</v>
      </c>
      <c r="J143">
        <v>0</v>
      </c>
      <c r="K143">
        <v>0.39503351356251842</v>
      </c>
      <c r="L143">
        <v>0.19997047878977064</v>
      </c>
      <c r="M143">
        <v>0.8000295212102293</v>
      </c>
      <c r="N143">
        <v>4.5893403017526105E-2</v>
      </c>
      <c r="O143" s="72">
        <v>0.99999825956272548</v>
      </c>
      <c r="P143">
        <v>0.99369747525095831</v>
      </c>
      <c r="Q143">
        <v>0.96669809509256432</v>
      </c>
      <c r="R143">
        <v>0.42957267145242506</v>
      </c>
      <c r="S143">
        <v>0.41750202819335036</v>
      </c>
      <c r="T143">
        <v>0.16701445899816159</v>
      </c>
      <c r="U143">
        <v>0.7551559339505699</v>
      </c>
      <c r="V143">
        <v>0.67479828328653646</v>
      </c>
      <c r="W143">
        <v>0.60767420021389928</v>
      </c>
      <c r="X143">
        <v>0.40205429586007657</v>
      </c>
      <c r="Y143">
        <v>0.46989059139769762</v>
      </c>
      <c r="Z143">
        <v>0.47928749423165951</v>
      </c>
      <c r="AA143">
        <v>0.68090076053062387</v>
      </c>
      <c r="AB143">
        <v>0.86066114137314642</v>
      </c>
      <c r="AC143">
        <v>0.74907701730006782</v>
      </c>
      <c r="AD143">
        <v>0.62556104745814611</v>
      </c>
      <c r="AE143">
        <v>162.08292653978847</v>
      </c>
      <c r="AF143">
        <v>858.9845593807745</v>
      </c>
      <c r="AG143">
        <v>2092.3271974934873</v>
      </c>
      <c r="AH143">
        <v>12144.517846687268</v>
      </c>
      <c r="AI143">
        <v>14334.34346239642</v>
      </c>
      <c r="AJ143">
        <v>41718.82854113778</v>
      </c>
      <c r="AK143">
        <v>17124.437517190574</v>
      </c>
      <c r="AL143">
        <v>2705.3638001093805</v>
      </c>
      <c r="AM143">
        <v>335.48045703438623</v>
      </c>
      <c r="AO143">
        <v>47176.43770147804</v>
      </c>
      <c r="AP143">
        <v>13.905843667723236</v>
      </c>
      <c r="AQ143">
        <v>45916.598147003577</v>
      </c>
      <c r="AR143">
        <v>14.155964660346138</v>
      </c>
      <c r="AS143" s="2">
        <f t="shared" si="14"/>
        <v>-1259.8395544744635</v>
      </c>
      <c r="AT143" s="2">
        <f t="shared" si="15"/>
        <v>0.25012099262290199</v>
      </c>
      <c r="AV143">
        <f t="shared" si="16"/>
        <v>1343407.9290708455</v>
      </c>
      <c r="AW143">
        <f t="shared" si="17"/>
        <v>1369679.8678876101</v>
      </c>
      <c r="AY143">
        <f t="shared" si="18"/>
        <v>0</v>
      </c>
      <c r="AZ143">
        <f t="shared" si="19"/>
        <v>1</v>
      </c>
    </row>
    <row r="144" spans="1:52" x14ac:dyDescent="0.2">
      <c r="A144">
        <f t="shared" si="20"/>
        <v>140</v>
      </c>
      <c r="B144">
        <v>2.5412851858862551E-2</v>
      </c>
      <c r="C144">
        <v>3.6290981632522021E-2</v>
      </c>
      <c r="D144">
        <v>4.4323228688697314E-2</v>
      </c>
      <c r="E144">
        <v>2.8103449835715999E-2</v>
      </c>
      <c r="F144">
        <v>3.3432690051158342E-3</v>
      </c>
      <c r="G144">
        <v>2.552343682932104E-3</v>
      </c>
      <c r="H144">
        <v>2.7045237347498287E-2</v>
      </c>
      <c r="I144">
        <v>0.14311160009972923</v>
      </c>
      <c r="J144">
        <v>0</v>
      </c>
      <c r="K144">
        <v>0.42575567517209023</v>
      </c>
      <c r="L144">
        <v>0.19917101642146368</v>
      </c>
      <c r="M144">
        <v>0.80082898357853627</v>
      </c>
      <c r="N144">
        <v>6.6829737895537478E-2</v>
      </c>
      <c r="O144" s="72">
        <v>0.94982070203788871</v>
      </c>
      <c r="P144">
        <v>0.99983026798111008</v>
      </c>
      <c r="Q144">
        <v>0.97621701173866626</v>
      </c>
      <c r="R144">
        <v>0.45090908652212047</v>
      </c>
      <c r="S144">
        <v>0.40602654147907757</v>
      </c>
      <c r="T144">
        <v>0.17252366055562218</v>
      </c>
      <c r="U144">
        <v>0.77742065576475661</v>
      </c>
      <c r="V144">
        <v>0.65806171261559265</v>
      </c>
      <c r="W144">
        <v>0.54406487950899807</v>
      </c>
      <c r="X144">
        <v>0.43042285416613252</v>
      </c>
      <c r="Y144">
        <v>0.42241595789136421</v>
      </c>
      <c r="Z144">
        <v>0.45409370880202493</v>
      </c>
      <c r="AA144">
        <v>0.64792628663591512</v>
      </c>
      <c r="AB144">
        <v>0.76634008812936494</v>
      </c>
      <c r="AC144">
        <v>0.79361365843735543</v>
      </c>
      <c r="AD144">
        <v>0.60366794243416921</v>
      </c>
      <c r="AE144">
        <v>178.17070356293806</v>
      </c>
      <c r="AF144">
        <v>1103.466226320274</v>
      </c>
      <c r="AG144">
        <v>1856.9068620609376</v>
      </c>
      <c r="AH144">
        <v>13867.025379829254</v>
      </c>
      <c r="AI144">
        <v>11729.639294150562</v>
      </c>
      <c r="AJ144">
        <v>42326.333797931293</v>
      </c>
      <c r="AK144">
        <v>17157.789459859003</v>
      </c>
      <c r="AL144">
        <v>1592.45906733691</v>
      </c>
      <c r="AM144">
        <v>437.10426522626665</v>
      </c>
      <c r="AO144">
        <v>47035.685418877467</v>
      </c>
      <c r="AP144">
        <v>12.713808934047178</v>
      </c>
      <c r="AQ144">
        <v>47521.465871715445</v>
      </c>
      <c r="AR144">
        <v>12.897371364361403</v>
      </c>
      <c r="AS144" s="2">
        <f t="shared" si="14"/>
        <v>485.78045283797837</v>
      </c>
      <c r="AT144" s="2">
        <f t="shared" si="15"/>
        <v>0.18356243031422537</v>
      </c>
      <c r="AV144">
        <f t="shared" si="16"/>
        <v>1224345.2079858403</v>
      </c>
      <c r="AW144">
        <f t="shared" si="17"/>
        <v>1242215.6705644249</v>
      </c>
      <c r="AY144">
        <f t="shared" si="18"/>
        <v>0</v>
      </c>
      <c r="AZ144">
        <f t="shared" si="19"/>
        <v>1</v>
      </c>
    </row>
    <row r="145" spans="1:52" x14ac:dyDescent="0.2">
      <c r="A145">
        <f t="shared" si="20"/>
        <v>141</v>
      </c>
      <c r="B145">
        <v>3.2543726409348883E-2</v>
      </c>
      <c r="C145">
        <v>3.8423262721921425E-2</v>
      </c>
      <c r="D145">
        <v>3.8264287119208706E-2</v>
      </c>
      <c r="E145">
        <v>3.7185963970401748E-2</v>
      </c>
      <c r="F145">
        <v>3.2232385154923439E-3</v>
      </c>
      <c r="G145">
        <v>1.2897754516972171E-2</v>
      </c>
      <c r="H145">
        <v>1.2499603368830716E-2</v>
      </c>
      <c r="I145">
        <v>0.13546770478482117</v>
      </c>
      <c r="J145">
        <v>0</v>
      </c>
      <c r="K145">
        <v>0.45272796759307166</v>
      </c>
      <c r="L145">
        <v>0.19812442441828634</v>
      </c>
      <c r="M145">
        <v>0.80187557558171363</v>
      </c>
      <c r="N145">
        <v>4.6879068109989416E-2</v>
      </c>
      <c r="O145" s="72">
        <v>0.99900113150091374</v>
      </c>
      <c r="P145">
        <v>0.99891262390759106</v>
      </c>
      <c r="Q145">
        <v>0.96552438292458309</v>
      </c>
      <c r="R145">
        <v>0.48356015512445583</v>
      </c>
      <c r="S145">
        <v>0.38171474327891175</v>
      </c>
      <c r="T145">
        <v>0.29150088565652232</v>
      </c>
      <c r="U145">
        <v>0.7980062024583674</v>
      </c>
      <c r="V145">
        <v>0.63336559539958937</v>
      </c>
      <c r="W145">
        <v>0.60116189382834961</v>
      </c>
      <c r="X145">
        <v>0.49946743519131576</v>
      </c>
      <c r="Y145">
        <v>0.43413085047351607</v>
      </c>
      <c r="Z145">
        <v>0.44344168256276584</v>
      </c>
      <c r="AA145">
        <v>0.70987205182658419</v>
      </c>
      <c r="AB145">
        <v>0.86656342653784235</v>
      </c>
      <c r="AC145">
        <v>0.77048369507624082</v>
      </c>
      <c r="AD145">
        <v>0.66032180773755211</v>
      </c>
      <c r="AE145">
        <v>174.76485005996912</v>
      </c>
      <c r="AF145">
        <v>1058.9011451787205</v>
      </c>
      <c r="AG145">
        <v>1462.3929461137425</v>
      </c>
      <c r="AH145">
        <v>18470.886797457417</v>
      </c>
      <c r="AI145">
        <v>18687.321171742104</v>
      </c>
      <c r="AJ145">
        <v>39324.702436072665</v>
      </c>
      <c r="AK145">
        <v>12847.801128902822</v>
      </c>
      <c r="AL145">
        <v>2129.9251960138981</v>
      </c>
      <c r="AM145">
        <v>410.90300526264463</v>
      </c>
      <c r="AO145">
        <v>43189.077836735676</v>
      </c>
      <c r="AP145">
        <v>14.072931465389578</v>
      </c>
      <c r="AQ145">
        <v>47012.899201824315</v>
      </c>
      <c r="AR145">
        <v>14.325418933531386</v>
      </c>
      <c r="AS145" s="2">
        <f t="shared" si="14"/>
        <v>3823.8213650886391</v>
      </c>
      <c r="AT145" s="2">
        <f t="shared" si="15"/>
        <v>0.25248746814180834</v>
      </c>
      <c r="AV145">
        <f t="shared" si="16"/>
        <v>1364104.0687022221</v>
      </c>
      <c r="AW145">
        <f t="shared" si="17"/>
        <v>1385528.9941513143</v>
      </c>
      <c r="AY145">
        <f t="shared" si="18"/>
        <v>0</v>
      </c>
      <c r="AZ145">
        <f t="shared" si="19"/>
        <v>1</v>
      </c>
    </row>
    <row r="146" spans="1:52" x14ac:dyDescent="0.2">
      <c r="A146">
        <f t="shared" si="20"/>
        <v>142</v>
      </c>
      <c r="B146">
        <v>1.6212184985426335E-2</v>
      </c>
      <c r="C146">
        <v>4.0548005696228961E-2</v>
      </c>
      <c r="D146">
        <v>4.1935980777097925E-2</v>
      </c>
      <c r="E146">
        <v>8.2244565738662269E-3</v>
      </c>
      <c r="F146">
        <v>3.1990029698188995E-3</v>
      </c>
      <c r="G146">
        <v>4.588862706781649E-2</v>
      </c>
      <c r="H146">
        <v>1.9581307651678283E-2</v>
      </c>
      <c r="I146">
        <v>0.13479002730736633</v>
      </c>
      <c r="J146">
        <v>0</v>
      </c>
      <c r="K146">
        <v>0.43481132357091201</v>
      </c>
      <c r="L146">
        <v>0.14480594341960251</v>
      </c>
      <c r="M146">
        <v>0.85519405658039749</v>
      </c>
      <c r="N146">
        <v>3.3749825662385484E-2</v>
      </c>
      <c r="O146" s="72">
        <v>0.99992222253845497</v>
      </c>
      <c r="P146">
        <v>0.99917517054657656</v>
      </c>
      <c r="Q146">
        <v>0.98045843862027382</v>
      </c>
      <c r="R146">
        <v>0.48583192238678785</v>
      </c>
      <c r="S146">
        <v>0.45010139997263965</v>
      </c>
      <c r="T146">
        <v>0.24381433889061088</v>
      </c>
      <c r="U146">
        <v>0.74775163140894574</v>
      </c>
      <c r="V146">
        <v>0.71732139817883134</v>
      </c>
      <c r="W146">
        <v>0.64238171503524777</v>
      </c>
      <c r="X146">
        <v>0.39011000752670416</v>
      </c>
      <c r="Y146">
        <v>0.40006286831161386</v>
      </c>
      <c r="Z146">
        <v>0.45985338216325833</v>
      </c>
      <c r="AA146">
        <v>0.68754130303407113</v>
      </c>
      <c r="AB146">
        <v>0.82498233083006767</v>
      </c>
      <c r="AC146">
        <v>0.71144198754965726</v>
      </c>
      <c r="AD146">
        <v>0.62286317953768799</v>
      </c>
      <c r="AE146">
        <v>202.72530982646617</v>
      </c>
      <c r="AF146">
        <v>927.01390716862454</v>
      </c>
      <c r="AG146">
        <v>1343.4918852877586</v>
      </c>
      <c r="AH146">
        <v>12756.841956101174</v>
      </c>
      <c r="AI146">
        <v>8967.6622091072823</v>
      </c>
      <c r="AJ146">
        <v>42091.810537653975</v>
      </c>
      <c r="AK146">
        <v>18890.37342350719</v>
      </c>
      <c r="AL146">
        <v>2087.9859686013442</v>
      </c>
      <c r="AM146">
        <v>462.40341136476627</v>
      </c>
      <c r="AO146">
        <v>43445.677350386584</v>
      </c>
      <c r="AP146">
        <v>13.422644478064873</v>
      </c>
      <c r="AQ146">
        <v>47609.362294429055</v>
      </c>
      <c r="AR146">
        <v>13.589979128872823</v>
      </c>
      <c r="AS146" s="2">
        <f t="shared" si="14"/>
        <v>4163.6849440424703</v>
      </c>
      <c r="AT146" s="2">
        <f t="shared" si="15"/>
        <v>0.16733465080795007</v>
      </c>
      <c r="AV146">
        <f t="shared" si="16"/>
        <v>1298818.7704561008</v>
      </c>
      <c r="AW146">
        <f t="shared" si="17"/>
        <v>1311388.5505928532</v>
      </c>
      <c r="AY146">
        <f t="shared" si="18"/>
        <v>0</v>
      </c>
      <c r="AZ146">
        <f t="shared" si="19"/>
        <v>1</v>
      </c>
    </row>
    <row r="147" spans="1:52" x14ac:dyDescent="0.2">
      <c r="A147">
        <f t="shared" si="20"/>
        <v>143</v>
      </c>
      <c r="B147">
        <v>2.1450167832044353E-2</v>
      </c>
      <c r="C147">
        <v>4.9435308305082581E-2</v>
      </c>
      <c r="D147">
        <v>5.3234808394067024E-2</v>
      </c>
      <c r="E147">
        <v>1.882482877003655E-2</v>
      </c>
      <c r="F147">
        <v>3.1870728832928711E-3</v>
      </c>
      <c r="G147">
        <v>5.1583334135242645E-3</v>
      </c>
      <c r="H147">
        <v>1.9370174289297451E-2</v>
      </c>
      <c r="I147">
        <v>0.12020859946546615</v>
      </c>
      <c r="J147">
        <v>0</v>
      </c>
      <c r="K147">
        <v>0.38874327478833681</v>
      </c>
      <c r="L147">
        <v>0.19581254744454005</v>
      </c>
      <c r="M147">
        <v>0.80418745255545998</v>
      </c>
      <c r="N147">
        <v>5.2713644367401412E-2</v>
      </c>
      <c r="O147" s="72">
        <v>0.99757998237594092</v>
      </c>
      <c r="P147">
        <v>0.99623628537423192</v>
      </c>
      <c r="Q147">
        <v>0.98975629352652639</v>
      </c>
      <c r="R147">
        <v>0.45918724764460062</v>
      </c>
      <c r="S147">
        <v>0.36488759542434268</v>
      </c>
      <c r="T147">
        <v>0.34393487187240701</v>
      </c>
      <c r="U147">
        <v>0.79212512254136924</v>
      </c>
      <c r="V147">
        <v>0.68005625038666062</v>
      </c>
      <c r="W147">
        <v>0.42035359994820498</v>
      </c>
      <c r="X147">
        <v>0.44844109143160343</v>
      </c>
      <c r="Y147">
        <v>0.44270463897496881</v>
      </c>
      <c r="Z147">
        <v>0.43404319618463882</v>
      </c>
      <c r="AA147">
        <v>0.67133911054303663</v>
      </c>
      <c r="AB147">
        <v>0.8257500550946445</v>
      </c>
      <c r="AC147">
        <v>0.69442000163170092</v>
      </c>
      <c r="AD147">
        <v>0.53193540055174049</v>
      </c>
      <c r="AE147">
        <v>230.52802017776224</v>
      </c>
      <c r="AF147">
        <v>1014.7314044140378</v>
      </c>
      <c r="AG147">
        <v>2037.5797304368416</v>
      </c>
      <c r="AH147">
        <v>11550.280045466858</v>
      </c>
      <c r="AI147">
        <v>9143.7974723072402</v>
      </c>
      <c r="AJ147">
        <v>38311.201006446274</v>
      </c>
      <c r="AK147">
        <v>12537.156101298573</v>
      </c>
      <c r="AL147">
        <v>2097.3937930294019</v>
      </c>
      <c r="AM147">
        <v>403.88888832318571</v>
      </c>
      <c r="AO147">
        <v>43827.930615024306</v>
      </c>
      <c r="AP147">
        <v>13.272084741031033</v>
      </c>
      <c r="AQ147">
        <v>46870.238256450117</v>
      </c>
      <c r="AR147">
        <v>13.447685480117499</v>
      </c>
      <c r="AS147" s="2">
        <f t="shared" si="14"/>
        <v>3042.3076414258103</v>
      </c>
      <c r="AT147" s="2">
        <f t="shared" si="15"/>
        <v>0.17560073908646601</v>
      </c>
      <c r="AV147">
        <f t="shared" si="16"/>
        <v>1283380.543488079</v>
      </c>
      <c r="AW147">
        <f t="shared" si="17"/>
        <v>1297898.3097552999</v>
      </c>
      <c r="AY147">
        <f t="shared" si="18"/>
        <v>0</v>
      </c>
      <c r="AZ147">
        <f t="shared" si="19"/>
        <v>1</v>
      </c>
    </row>
    <row r="148" spans="1:52" x14ac:dyDescent="0.2">
      <c r="A148">
        <f t="shared" si="20"/>
        <v>144</v>
      </c>
      <c r="B148">
        <v>2.429061048065501E-2</v>
      </c>
      <c r="C148">
        <v>3.4817765391971497E-2</v>
      </c>
      <c r="D148">
        <v>2.0546625905895149E-2</v>
      </c>
      <c r="E148">
        <v>3.2769246060311397E-2</v>
      </c>
      <c r="F148">
        <v>3.231526897824005E-3</v>
      </c>
      <c r="G148">
        <v>2.7438231477597608E-2</v>
      </c>
      <c r="H148">
        <v>2.8672680341655821E-2</v>
      </c>
      <c r="I148">
        <v>0.12354597799839304</v>
      </c>
      <c r="J148">
        <v>0</v>
      </c>
      <c r="K148">
        <v>0.44080408346983657</v>
      </c>
      <c r="L148">
        <v>0.31083827522311414</v>
      </c>
      <c r="M148">
        <v>0.68916172477688586</v>
      </c>
      <c r="N148">
        <v>5.9342951450029435E-2</v>
      </c>
      <c r="O148" s="72">
        <v>0.99816228341707836</v>
      </c>
      <c r="P148">
        <v>0.98789098189149804</v>
      </c>
      <c r="Q148">
        <v>0.94887646947635251</v>
      </c>
      <c r="R148">
        <v>0.52596714644984255</v>
      </c>
      <c r="S148">
        <v>0.36392930916387267</v>
      </c>
      <c r="T148">
        <v>0.30814363109869125</v>
      </c>
      <c r="U148">
        <v>0.80003715102243256</v>
      </c>
      <c r="V148">
        <v>0.64118502832723068</v>
      </c>
      <c r="W148">
        <v>0.49263048415920452</v>
      </c>
      <c r="X148">
        <v>0.40824141806497488</v>
      </c>
      <c r="Y148">
        <v>0.47351275581776753</v>
      </c>
      <c r="Z148">
        <v>0.46119197759395603</v>
      </c>
      <c r="AA148">
        <v>0.60591936736432328</v>
      </c>
      <c r="AB148">
        <v>0.83263038054460037</v>
      </c>
      <c r="AC148">
        <v>0.72331148552197999</v>
      </c>
      <c r="AD148">
        <v>0.65388990139155145</v>
      </c>
      <c r="AE148">
        <v>222.20545769203986</v>
      </c>
      <c r="AF148">
        <v>911.30499840949835</v>
      </c>
      <c r="AG148">
        <v>1940.7429772454998</v>
      </c>
      <c r="AH148">
        <v>14784.584511470994</v>
      </c>
      <c r="AI148">
        <v>14201.624953824516</v>
      </c>
      <c r="AJ148">
        <v>42539.246322985979</v>
      </c>
      <c r="AK148">
        <v>17530.38473152227</v>
      </c>
      <c r="AL148">
        <v>1424.4398112708659</v>
      </c>
      <c r="AM148">
        <v>470.51882132539805</v>
      </c>
      <c r="AO148">
        <v>41879.842342624543</v>
      </c>
      <c r="AP148">
        <v>13.583219126070786</v>
      </c>
      <c r="AQ148">
        <v>48341.516972284175</v>
      </c>
      <c r="AR148">
        <v>13.757708228451213</v>
      </c>
      <c r="AS148" s="2">
        <f t="shared" si="14"/>
        <v>6461.674629659632</v>
      </c>
      <c r="AT148" s="2">
        <f t="shared" si="15"/>
        <v>0.17448910238042714</v>
      </c>
      <c r="AV148">
        <f t="shared" si="16"/>
        <v>1316442.070264454</v>
      </c>
      <c r="AW148">
        <f t="shared" si="17"/>
        <v>1327429.3058728373</v>
      </c>
      <c r="AY148">
        <f t="shared" si="18"/>
        <v>0</v>
      </c>
      <c r="AZ148">
        <f t="shared" si="19"/>
        <v>1</v>
      </c>
    </row>
    <row r="149" spans="1:52" x14ac:dyDescent="0.2">
      <c r="A149">
        <f t="shared" si="20"/>
        <v>145</v>
      </c>
      <c r="B149">
        <v>2.6063270881492184E-2</v>
      </c>
      <c r="C149">
        <v>4.0190860853434041E-2</v>
      </c>
      <c r="D149">
        <v>3.1059483942554221E-2</v>
      </c>
      <c r="E149">
        <v>9.8658428809996306E-3</v>
      </c>
      <c r="F149">
        <v>3.3178723965290699E-3</v>
      </c>
      <c r="G149">
        <v>1.4371305031599002E-2</v>
      </c>
      <c r="H149">
        <v>4.2586787901658041E-2</v>
      </c>
      <c r="I149">
        <v>0.13451588892560129</v>
      </c>
      <c r="J149">
        <v>0</v>
      </c>
      <c r="K149">
        <v>0.4344694823439692</v>
      </c>
      <c r="L149">
        <v>0.2126725137687433</v>
      </c>
      <c r="M149">
        <v>0.7873274862312567</v>
      </c>
      <c r="N149">
        <v>4.5318699428524123E-2</v>
      </c>
      <c r="O149" s="72">
        <v>0.99814211105561323</v>
      </c>
      <c r="P149">
        <v>0.99964206122850363</v>
      </c>
      <c r="Q149">
        <v>0.98342965091553924</v>
      </c>
      <c r="R149">
        <v>0.44610755934201829</v>
      </c>
      <c r="S149">
        <v>0.36390572720065029</v>
      </c>
      <c r="T149">
        <v>0.17786491893710765</v>
      </c>
      <c r="U149">
        <v>0.76731466667841175</v>
      </c>
      <c r="V149">
        <v>0.72471020191719537</v>
      </c>
      <c r="W149">
        <v>0.46164274903871899</v>
      </c>
      <c r="X149">
        <v>0.42191649911462925</v>
      </c>
      <c r="Y149">
        <v>0.38110246149700266</v>
      </c>
      <c r="Z149">
        <v>0.4551698863684176</v>
      </c>
      <c r="AA149">
        <v>0.63253593429851362</v>
      </c>
      <c r="AB149">
        <v>0.83374881663914646</v>
      </c>
      <c r="AC149">
        <v>0.7405558968596464</v>
      </c>
      <c r="AD149">
        <v>0.66022105183808466</v>
      </c>
      <c r="AE149">
        <v>172.4563958085557</v>
      </c>
      <c r="AF149">
        <v>1121.5643430114337</v>
      </c>
      <c r="AG149">
        <v>1151.8998365928865</v>
      </c>
      <c r="AH149">
        <v>11407.873900110259</v>
      </c>
      <c r="AI149">
        <v>15415.400860578162</v>
      </c>
      <c r="AJ149">
        <v>40154.438711994531</v>
      </c>
      <c r="AK149">
        <v>13809.473364641566</v>
      </c>
      <c r="AL149">
        <v>2563.5209451208843</v>
      </c>
      <c r="AM149">
        <v>335.27538471439709</v>
      </c>
      <c r="AO149">
        <v>46235.954156819564</v>
      </c>
      <c r="AP149">
        <v>13.554601633554761</v>
      </c>
      <c r="AQ149">
        <v>45591.533638405097</v>
      </c>
      <c r="AR149">
        <v>13.816259600284852</v>
      </c>
      <c r="AS149" s="2">
        <f t="shared" si="14"/>
        <v>-644.42051841446664</v>
      </c>
      <c r="AT149" s="2">
        <f t="shared" si="15"/>
        <v>0.26165796673009112</v>
      </c>
      <c r="AV149">
        <f t="shared" si="16"/>
        <v>1309224.2091986565</v>
      </c>
      <c r="AW149">
        <f t="shared" si="17"/>
        <v>1336034.42639008</v>
      </c>
      <c r="AY149">
        <f t="shared" si="18"/>
        <v>0</v>
      </c>
      <c r="AZ149">
        <f t="shared" si="19"/>
        <v>1</v>
      </c>
    </row>
    <row r="150" spans="1:52" x14ac:dyDescent="0.2">
      <c r="A150">
        <f t="shared" si="20"/>
        <v>146</v>
      </c>
      <c r="B150">
        <v>2.4023807562936577E-2</v>
      </c>
      <c r="C150">
        <v>2.7560656784514564E-2</v>
      </c>
      <c r="D150">
        <v>5.0547552781163296E-2</v>
      </c>
      <c r="E150">
        <v>2.4148148868224583E-3</v>
      </c>
      <c r="F150">
        <v>3.3170091334856228E-3</v>
      </c>
      <c r="G150">
        <v>7.5312591016392328E-3</v>
      </c>
      <c r="H150">
        <v>9.7329183247471338E-3</v>
      </c>
      <c r="I150">
        <v>0.12589155057388163</v>
      </c>
      <c r="J150">
        <v>0</v>
      </c>
      <c r="K150">
        <v>0.42908402426740194</v>
      </c>
      <c r="L150">
        <v>0.28279442610754502</v>
      </c>
      <c r="M150">
        <v>0.71720557389245498</v>
      </c>
      <c r="N150">
        <v>9.2591846816209467E-2</v>
      </c>
      <c r="O150" s="72">
        <v>0.99984132307656304</v>
      </c>
      <c r="P150">
        <v>0.99980243681295522</v>
      </c>
      <c r="Q150">
        <v>0.95327750626378349</v>
      </c>
      <c r="R150">
        <v>0.49941646865675071</v>
      </c>
      <c r="S150">
        <v>0.31461048285608095</v>
      </c>
      <c r="T150">
        <v>0.26340347735132341</v>
      </c>
      <c r="U150">
        <v>0.75301862950888787</v>
      </c>
      <c r="V150">
        <v>0.62533490527301416</v>
      </c>
      <c r="W150">
        <v>0.45646655785118145</v>
      </c>
      <c r="X150">
        <v>0.47989416758282422</v>
      </c>
      <c r="Y150">
        <v>0.43358323446822861</v>
      </c>
      <c r="Z150">
        <v>0.44112251783263484</v>
      </c>
      <c r="AA150">
        <v>0.76363763515232685</v>
      </c>
      <c r="AB150">
        <v>0.81708335644177688</v>
      </c>
      <c r="AC150">
        <v>0.77721343477480576</v>
      </c>
      <c r="AD150">
        <v>0.55602159093276338</v>
      </c>
      <c r="AE150">
        <v>191.1981936353404</v>
      </c>
      <c r="AF150">
        <v>1083.926114706682</v>
      </c>
      <c r="AG150">
        <v>2251.7922958914214</v>
      </c>
      <c r="AH150">
        <v>16478.209136122226</v>
      </c>
      <c r="AI150">
        <v>8315.4254000824076</v>
      </c>
      <c r="AJ150">
        <v>44504.669731262366</v>
      </c>
      <c r="AK150">
        <v>11523.399888836022</v>
      </c>
      <c r="AL150">
        <v>2628.259416865988</v>
      </c>
      <c r="AM150">
        <v>222.58075333746962</v>
      </c>
      <c r="AO150">
        <v>41404.302320102484</v>
      </c>
      <c r="AP150">
        <v>13.311802234251799</v>
      </c>
      <c r="AQ150">
        <v>44151.074041398577</v>
      </c>
      <c r="AR150">
        <v>13.508474226722644</v>
      </c>
      <c r="AS150" s="2">
        <f t="shared" si="14"/>
        <v>2746.7717212960924</v>
      </c>
      <c r="AT150" s="2">
        <f t="shared" si="15"/>
        <v>0.19667199247084532</v>
      </c>
      <c r="AV150">
        <f t="shared" si="16"/>
        <v>1289775.9211050775</v>
      </c>
      <c r="AW150">
        <f t="shared" si="17"/>
        <v>1306696.3486308658</v>
      </c>
      <c r="AY150">
        <f t="shared" si="18"/>
        <v>0</v>
      </c>
      <c r="AZ150">
        <f t="shared" si="19"/>
        <v>1</v>
      </c>
    </row>
    <row r="151" spans="1:52" x14ac:dyDescent="0.2">
      <c r="A151">
        <f t="shared" si="20"/>
        <v>147</v>
      </c>
      <c r="B151">
        <v>2.2028555334412659E-2</v>
      </c>
      <c r="C151">
        <v>3.4033930532928962E-2</v>
      </c>
      <c r="D151">
        <v>3.3019376043844292E-2</v>
      </c>
      <c r="E151">
        <v>2.2420751765093727E-2</v>
      </c>
      <c r="F151">
        <v>3.4077111375412361E-3</v>
      </c>
      <c r="G151">
        <v>7.6865560466885868E-3</v>
      </c>
      <c r="H151">
        <v>4.6597980180241527E-2</v>
      </c>
      <c r="I151">
        <v>0.1172484985578869</v>
      </c>
      <c r="J151">
        <v>0</v>
      </c>
      <c r="K151">
        <v>0.41218703284467662</v>
      </c>
      <c r="L151">
        <v>0.18917198072023203</v>
      </c>
      <c r="M151">
        <v>0.810828019279768</v>
      </c>
      <c r="N151">
        <v>5.0258674969326553E-2</v>
      </c>
      <c r="O151" s="72">
        <v>0.99985578577807555</v>
      </c>
      <c r="P151">
        <v>0.9999813978238048</v>
      </c>
      <c r="Q151">
        <v>0.97623782397930448</v>
      </c>
      <c r="R151">
        <v>0.48494739043705504</v>
      </c>
      <c r="S151">
        <v>0.32687107583464348</v>
      </c>
      <c r="T151">
        <v>0.23038875701330375</v>
      </c>
      <c r="U151">
        <v>0.75745286609280471</v>
      </c>
      <c r="V151">
        <v>0.66503137222480357</v>
      </c>
      <c r="W151">
        <v>0.58676407604490866</v>
      </c>
      <c r="X151">
        <v>0.41204201235595789</v>
      </c>
      <c r="Y151">
        <v>0.49635520854458826</v>
      </c>
      <c r="Z151">
        <v>0.46451791875936765</v>
      </c>
      <c r="AA151">
        <v>0.69402841908913238</v>
      </c>
      <c r="AB151">
        <v>0.84036200769079894</v>
      </c>
      <c r="AC151">
        <v>0.73701858035175183</v>
      </c>
      <c r="AD151">
        <v>0.59044032553618164</v>
      </c>
      <c r="AE151">
        <v>177.37330608206037</v>
      </c>
      <c r="AF151">
        <v>976.21426321295996</v>
      </c>
      <c r="AG151">
        <v>1704.0671235700781</v>
      </c>
      <c r="AH151">
        <v>17665.72955791538</v>
      </c>
      <c r="AI151">
        <v>10888.576845341569</v>
      </c>
      <c r="AJ151">
        <v>35873.675581961776</v>
      </c>
      <c r="AK151">
        <v>11217.384573448795</v>
      </c>
      <c r="AL151">
        <v>1799.9375530361383</v>
      </c>
      <c r="AM151">
        <v>394.37493192422858</v>
      </c>
      <c r="AO151">
        <v>44582.294136318844</v>
      </c>
      <c r="AP151">
        <v>13.592553512426614</v>
      </c>
      <c r="AQ151">
        <v>46710.261777037711</v>
      </c>
      <c r="AR151">
        <v>13.806828181228489</v>
      </c>
      <c r="AS151" s="2">
        <f t="shared" si="14"/>
        <v>2127.9676407188672</v>
      </c>
      <c r="AT151" s="2">
        <f t="shared" si="15"/>
        <v>0.21427466880187573</v>
      </c>
      <c r="AV151">
        <f t="shared" si="16"/>
        <v>1314673.0571063426</v>
      </c>
      <c r="AW151">
        <f t="shared" si="17"/>
        <v>1333972.5563458111</v>
      </c>
      <c r="AY151">
        <f t="shared" si="18"/>
        <v>0</v>
      </c>
      <c r="AZ151">
        <f t="shared" si="19"/>
        <v>1</v>
      </c>
    </row>
    <row r="152" spans="1:52" x14ac:dyDescent="0.2">
      <c r="A152">
        <f t="shared" si="20"/>
        <v>148</v>
      </c>
      <c r="B152">
        <v>4.040243510933017E-2</v>
      </c>
      <c r="C152">
        <v>3.6484333403790876E-2</v>
      </c>
      <c r="D152">
        <v>2.9384351925211338E-2</v>
      </c>
      <c r="E152">
        <v>2.4218153529597997E-2</v>
      </c>
      <c r="F152">
        <v>3.3794249687725264E-3</v>
      </c>
      <c r="G152">
        <v>9.4624849478098533E-3</v>
      </c>
      <c r="H152">
        <v>1.1073837102722993E-2</v>
      </c>
      <c r="I152">
        <v>0.12571387331888448</v>
      </c>
      <c r="J152">
        <v>0</v>
      </c>
      <c r="K152">
        <v>0.45166009238117577</v>
      </c>
      <c r="L152">
        <v>0.19967669323825854</v>
      </c>
      <c r="M152">
        <v>0.80032330676174146</v>
      </c>
      <c r="N152">
        <v>4.8761790609669245E-2</v>
      </c>
      <c r="O152" s="72">
        <v>0.99598629032225083</v>
      </c>
      <c r="P152">
        <v>0.99976297330629083</v>
      </c>
      <c r="Q152">
        <v>0.96885539712753177</v>
      </c>
      <c r="R152">
        <v>0.48745665896604029</v>
      </c>
      <c r="S152">
        <v>0.47423884037365871</v>
      </c>
      <c r="T152">
        <v>0.37031548567732897</v>
      </c>
      <c r="U152">
        <v>0.77367484676446041</v>
      </c>
      <c r="V152">
        <v>0.65063635096610539</v>
      </c>
      <c r="W152">
        <v>0.65094199589117463</v>
      </c>
      <c r="X152">
        <v>0.47282776712971364</v>
      </c>
      <c r="Y152">
        <v>0.47900240134393202</v>
      </c>
      <c r="Z152">
        <v>0.49614198296477652</v>
      </c>
      <c r="AA152">
        <v>0.68153073930890473</v>
      </c>
      <c r="AB152">
        <v>0.8654562677169374</v>
      </c>
      <c r="AC152">
        <v>0.69992439661321737</v>
      </c>
      <c r="AD152">
        <v>0.54605637477881541</v>
      </c>
      <c r="AE152">
        <v>185.47907876784913</v>
      </c>
      <c r="AF152">
        <v>895.66129886344595</v>
      </c>
      <c r="AG152">
        <v>2057.9498686060092</v>
      </c>
      <c r="AH152">
        <v>11020.090609024108</v>
      </c>
      <c r="AI152">
        <v>14851.212686533207</v>
      </c>
      <c r="AJ152">
        <v>39276.060839694066</v>
      </c>
      <c r="AK152">
        <v>9846.8653155681095</v>
      </c>
      <c r="AL152">
        <v>2293.2105989879683</v>
      </c>
      <c r="AM152">
        <v>236.80766924983524</v>
      </c>
      <c r="AO152">
        <v>38359.158419669824</v>
      </c>
      <c r="AP152">
        <v>13.817978862260007</v>
      </c>
      <c r="AQ152">
        <v>44167.127180604024</v>
      </c>
      <c r="AR152">
        <v>14.026485789150144</v>
      </c>
      <c r="AS152" s="2">
        <f t="shared" si="14"/>
        <v>5807.9687609342</v>
      </c>
      <c r="AT152" s="2">
        <f t="shared" si="15"/>
        <v>0.20850692689013606</v>
      </c>
      <c r="AV152">
        <f t="shared" si="16"/>
        <v>1343438.7278063309</v>
      </c>
      <c r="AW152">
        <f t="shared" si="17"/>
        <v>1358481.4517344104</v>
      </c>
      <c r="AY152">
        <f t="shared" si="18"/>
        <v>0</v>
      </c>
      <c r="AZ152">
        <f t="shared" si="19"/>
        <v>1</v>
      </c>
    </row>
    <row r="153" spans="1:52" x14ac:dyDescent="0.2">
      <c r="A153">
        <f t="shared" si="20"/>
        <v>149</v>
      </c>
      <c r="B153">
        <v>2.4607203431997758E-2</v>
      </c>
      <c r="C153">
        <v>4.2304837696053421E-2</v>
      </c>
      <c r="D153">
        <v>4.2186437811323918E-2</v>
      </c>
      <c r="E153">
        <v>2.5693205145067899E-2</v>
      </c>
      <c r="F153">
        <v>3.349950492362197E-3</v>
      </c>
      <c r="G153">
        <v>2.4326219443320363E-2</v>
      </c>
      <c r="H153">
        <v>5.1494849522879749E-2</v>
      </c>
      <c r="I153">
        <v>0.11608680373588323</v>
      </c>
      <c r="J153">
        <v>0</v>
      </c>
      <c r="K153">
        <v>0.39426617681343529</v>
      </c>
      <c r="L153">
        <v>0.22112589220834011</v>
      </c>
      <c r="M153">
        <v>0.77887410779165989</v>
      </c>
      <c r="N153">
        <v>6.5941291658387136E-2</v>
      </c>
      <c r="O153" s="72">
        <v>0.99880893564972451</v>
      </c>
      <c r="P153">
        <v>0.99994674216721446</v>
      </c>
      <c r="Q153">
        <v>0.98340813178874942</v>
      </c>
      <c r="R153">
        <v>0.44165596558236664</v>
      </c>
      <c r="S153">
        <v>0.40984109585504591</v>
      </c>
      <c r="T153">
        <v>0.20612950317076062</v>
      </c>
      <c r="U153">
        <v>0.77415763128116066</v>
      </c>
      <c r="V153">
        <v>0.68022627930102375</v>
      </c>
      <c r="W153">
        <v>0.48124144168969207</v>
      </c>
      <c r="X153">
        <v>0.43278802938897698</v>
      </c>
      <c r="Y153">
        <v>0.46132622875648777</v>
      </c>
      <c r="Z153">
        <v>0.50199785320826629</v>
      </c>
      <c r="AA153">
        <v>0.74589070165895821</v>
      </c>
      <c r="AB153">
        <v>0.84671801757636977</v>
      </c>
      <c r="AC153">
        <v>0.7714024554882597</v>
      </c>
      <c r="AD153">
        <v>0.6899630592309367</v>
      </c>
      <c r="AE153">
        <v>151.92463233908558</v>
      </c>
      <c r="AF153">
        <v>1014.9474898365821</v>
      </c>
      <c r="AG153">
        <v>1709.6604456558696</v>
      </c>
      <c r="AH153">
        <v>14398.868550822292</v>
      </c>
      <c r="AI153">
        <v>14948.155412460475</v>
      </c>
      <c r="AJ153">
        <v>36274.146171700326</v>
      </c>
      <c r="AK153">
        <v>11921.70842936245</v>
      </c>
      <c r="AL153">
        <v>2045.8133408731348</v>
      </c>
      <c r="AM153">
        <v>356.1825925641952</v>
      </c>
      <c r="AO153">
        <v>45625.592546141634</v>
      </c>
      <c r="AP153">
        <v>13.788358753793835</v>
      </c>
      <c r="AQ153">
        <v>45992.914103821626</v>
      </c>
      <c r="AR153">
        <v>14.09330446016871</v>
      </c>
      <c r="AS153" s="2">
        <f t="shared" si="14"/>
        <v>367.32155767999211</v>
      </c>
      <c r="AT153" s="2">
        <f t="shared" si="15"/>
        <v>0.30494570637487506</v>
      </c>
      <c r="AV153">
        <f t="shared" si="16"/>
        <v>1333210.2828332419</v>
      </c>
      <c r="AW153">
        <f t="shared" si="17"/>
        <v>1363337.5319130493</v>
      </c>
      <c r="AY153">
        <f t="shared" si="18"/>
        <v>0</v>
      </c>
      <c r="AZ153">
        <f t="shared" si="19"/>
        <v>1</v>
      </c>
    </row>
    <row r="154" spans="1:52" x14ac:dyDescent="0.2">
      <c r="A154">
        <f t="shared" si="20"/>
        <v>150</v>
      </c>
      <c r="B154">
        <v>2.5287540279663401E-2</v>
      </c>
      <c r="C154">
        <v>4.3701309867844373E-2</v>
      </c>
      <c r="D154">
        <v>2.859865785914353E-2</v>
      </c>
      <c r="E154">
        <v>2.4503726773482115E-3</v>
      </c>
      <c r="F154">
        <v>3.3700639000222576E-3</v>
      </c>
      <c r="G154">
        <v>4.5667582689968955E-2</v>
      </c>
      <c r="H154">
        <v>1.3873886163599856E-2</v>
      </c>
      <c r="I154">
        <v>0.14077589689410552</v>
      </c>
      <c r="J154">
        <v>0</v>
      </c>
      <c r="K154">
        <v>0.45017953028874569</v>
      </c>
      <c r="L154">
        <v>0.25828124910862438</v>
      </c>
      <c r="M154">
        <v>0.74171875089137562</v>
      </c>
      <c r="N154">
        <v>3.6588874118482953E-2</v>
      </c>
      <c r="O154" s="72">
        <v>0.94954038984193578</v>
      </c>
      <c r="P154">
        <v>0.99999228892370962</v>
      </c>
      <c r="Q154">
        <v>0.95663104438037805</v>
      </c>
      <c r="R154">
        <v>0.49233335432581671</v>
      </c>
      <c r="S154">
        <v>0.3237365298194218</v>
      </c>
      <c r="T154">
        <v>0.32303047754023029</v>
      </c>
      <c r="U154">
        <v>0.79802339306064696</v>
      </c>
      <c r="V154">
        <v>0.73999658065446405</v>
      </c>
      <c r="W154">
        <v>0.61146762580514014</v>
      </c>
      <c r="X154">
        <v>0.43261939189393867</v>
      </c>
      <c r="Y154">
        <v>0.50841197734703569</v>
      </c>
      <c r="Z154">
        <v>0.42735172827025636</v>
      </c>
      <c r="AA154">
        <v>0.70492998910309412</v>
      </c>
      <c r="AB154">
        <v>0.8043254460481678</v>
      </c>
      <c r="AC154">
        <v>0.65937517210116103</v>
      </c>
      <c r="AD154">
        <v>0.5842494747655983</v>
      </c>
      <c r="AE154">
        <v>167.86168545183523</v>
      </c>
      <c r="AF154">
        <v>1177.2746770683796</v>
      </c>
      <c r="AG154">
        <v>1607.4609511650931</v>
      </c>
      <c r="AH154">
        <v>16297.246607242756</v>
      </c>
      <c r="AI154">
        <v>11014.596142256067</v>
      </c>
      <c r="AJ154">
        <v>44618.619003604261</v>
      </c>
      <c r="AK154">
        <v>8576.1087763838532</v>
      </c>
      <c r="AL154">
        <v>2132.6538509881839</v>
      </c>
      <c r="AM154">
        <v>449.26294216622676</v>
      </c>
      <c r="AO154">
        <v>43574.015038438629</v>
      </c>
      <c r="AP154">
        <v>13.078708914780485</v>
      </c>
      <c r="AQ154">
        <v>47771.000964394436</v>
      </c>
      <c r="AR154">
        <v>13.155616037718774</v>
      </c>
      <c r="AS154" s="2">
        <f t="shared" si="14"/>
        <v>4196.985925955807</v>
      </c>
      <c r="AT154" s="2">
        <f t="shared" si="15"/>
        <v>7.6907122938289163E-2</v>
      </c>
      <c r="AV154">
        <f t="shared" si="16"/>
        <v>1264296.8764396098</v>
      </c>
      <c r="AW154">
        <f t="shared" si="17"/>
        <v>1267790.6028074829</v>
      </c>
      <c r="AY154">
        <f t="shared" si="18"/>
        <v>0</v>
      </c>
      <c r="AZ154">
        <f t="shared" si="19"/>
        <v>1</v>
      </c>
    </row>
    <row r="155" spans="1:52" x14ac:dyDescent="0.2">
      <c r="A155">
        <f t="shared" si="20"/>
        <v>151</v>
      </c>
      <c r="B155">
        <v>2.6143754277360487E-2</v>
      </c>
      <c r="C155">
        <v>3.2487243707438308E-2</v>
      </c>
      <c r="D155">
        <v>3.134522660819361E-2</v>
      </c>
      <c r="E155">
        <v>1.0142046494526333E-2</v>
      </c>
      <c r="F155">
        <v>3.3146716528994723E-3</v>
      </c>
      <c r="G155">
        <v>4.6169561588581274E-3</v>
      </c>
      <c r="H155">
        <v>5.5865663612893468E-2</v>
      </c>
      <c r="I155">
        <v>0.1260207161593776</v>
      </c>
      <c r="J155">
        <v>0</v>
      </c>
      <c r="K155">
        <v>0.41614327010366292</v>
      </c>
      <c r="L155">
        <v>0.23479002518937964</v>
      </c>
      <c r="M155">
        <v>0.76520997481062036</v>
      </c>
      <c r="N155">
        <v>4.9849072733494995E-2</v>
      </c>
      <c r="O155" s="72">
        <v>0.997787302705476</v>
      </c>
      <c r="P155">
        <v>0.99998016250150679</v>
      </c>
      <c r="Q155">
        <v>0.95805868380178938</v>
      </c>
      <c r="R155">
        <v>0.49481078397744327</v>
      </c>
      <c r="S155">
        <v>0.42561250477020585</v>
      </c>
      <c r="T155">
        <v>0.18852447698925412</v>
      </c>
      <c r="U155">
        <v>0.78621474711657025</v>
      </c>
      <c r="V155">
        <v>0.59621069057216425</v>
      </c>
      <c r="W155">
        <v>0.52526212785287529</v>
      </c>
      <c r="X155">
        <v>0.42984389921750188</v>
      </c>
      <c r="Y155">
        <v>0.43008062440425865</v>
      </c>
      <c r="Z155">
        <v>0.4514107208453817</v>
      </c>
      <c r="AA155">
        <v>0.68925877821504156</v>
      </c>
      <c r="AB155">
        <v>0.79393236571159453</v>
      </c>
      <c r="AC155">
        <v>0.72756628184722105</v>
      </c>
      <c r="AD155">
        <v>0.62158581845311234</v>
      </c>
      <c r="AE155">
        <v>163.57363085834996</v>
      </c>
      <c r="AF155">
        <v>1256.1283868237247</v>
      </c>
      <c r="AG155">
        <v>1310.1290412134201</v>
      </c>
      <c r="AH155">
        <v>11539.662533282826</v>
      </c>
      <c r="AI155">
        <v>9437.0142467645601</v>
      </c>
      <c r="AJ155">
        <v>32488.423950913511</v>
      </c>
      <c r="AK155">
        <v>17654.280705437784</v>
      </c>
      <c r="AL155">
        <v>2319.7554285495976</v>
      </c>
      <c r="AM155">
        <v>316.20664482233707</v>
      </c>
      <c r="AO155">
        <v>42355.336202915729</v>
      </c>
      <c r="AP155">
        <v>13.027929109454407</v>
      </c>
      <c r="AQ155">
        <v>45404.305404289866</v>
      </c>
      <c r="AR155">
        <v>13.188399315673733</v>
      </c>
      <c r="AS155" s="2">
        <f t="shared" si="14"/>
        <v>3048.9692013741369</v>
      </c>
      <c r="AT155" s="2">
        <f t="shared" si="15"/>
        <v>0.16047020621932617</v>
      </c>
      <c r="AV155">
        <f t="shared" si="16"/>
        <v>1260437.5747425249</v>
      </c>
      <c r="AW155">
        <f t="shared" si="17"/>
        <v>1273435.6261630834</v>
      </c>
      <c r="AY155">
        <f t="shared" si="18"/>
        <v>0</v>
      </c>
      <c r="AZ155">
        <f t="shared" si="19"/>
        <v>1</v>
      </c>
    </row>
    <row r="156" spans="1:52" x14ac:dyDescent="0.2">
      <c r="A156">
        <f t="shared" si="20"/>
        <v>152</v>
      </c>
      <c r="B156">
        <v>2.8286334288550208E-2</v>
      </c>
      <c r="C156">
        <v>3.0087589069872429E-2</v>
      </c>
      <c r="D156">
        <v>3.736657549617816E-2</v>
      </c>
      <c r="E156">
        <v>5.6532144531480635E-3</v>
      </c>
      <c r="F156">
        <v>3.1450340697395849E-3</v>
      </c>
      <c r="G156">
        <v>1.8538971203890867E-3</v>
      </c>
      <c r="H156">
        <v>3.0769798574848961E-2</v>
      </c>
      <c r="I156">
        <v>0.13148529930443942</v>
      </c>
      <c r="J156">
        <v>0</v>
      </c>
      <c r="K156">
        <v>0.45862668632023795</v>
      </c>
      <c r="L156">
        <v>0.24843604056610125</v>
      </c>
      <c r="M156">
        <v>0.75156395943389875</v>
      </c>
      <c r="N156">
        <v>4.6280404249448223E-2</v>
      </c>
      <c r="O156" s="72">
        <v>0.99948580775208617</v>
      </c>
      <c r="P156">
        <v>0.99991078553994672</v>
      </c>
      <c r="Q156">
        <v>0.94583861450917472</v>
      </c>
      <c r="R156">
        <v>0.48715327238909711</v>
      </c>
      <c r="S156">
        <v>0.34481357010836855</v>
      </c>
      <c r="T156">
        <v>0.22384505126071341</v>
      </c>
      <c r="U156">
        <v>0.74503545787724801</v>
      </c>
      <c r="V156">
        <v>0.64130477502802463</v>
      </c>
      <c r="W156">
        <v>0.58685757253741488</v>
      </c>
      <c r="X156">
        <v>0.47016188413945914</v>
      </c>
      <c r="Y156">
        <v>0.41233885259128727</v>
      </c>
      <c r="Z156">
        <v>0.48900408437774345</v>
      </c>
      <c r="AA156">
        <v>0.67359651949125166</v>
      </c>
      <c r="AB156">
        <v>0.86460589094484563</v>
      </c>
      <c r="AC156">
        <v>0.7539697167746251</v>
      </c>
      <c r="AD156">
        <v>0.59352094906365893</v>
      </c>
      <c r="AE156">
        <v>229.82340474555943</v>
      </c>
      <c r="AF156">
        <v>927.93309142908447</v>
      </c>
      <c r="AG156">
        <v>2010.8888753259557</v>
      </c>
      <c r="AH156">
        <v>14971.580768138829</v>
      </c>
      <c r="AI156">
        <v>11129.155269982703</v>
      </c>
      <c r="AJ156">
        <v>35226.322488541606</v>
      </c>
      <c r="AK156">
        <v>16922.085782531311</v>
      </c>
      <c r="AL156">
        <v>1845.1894599492045</v>
      </c>
      <c r="AM156">
        <v>335.31951677590183</v>
      </c>
      <c r="AO156">
        <v>43704.310683079813</v>
      </c>
      <c r="AP156">
        <v>13.940125250830079</v>
      </c>
      <c r="AQ156">
        <v>45874.865076319067</v>
      </c>
      <c r="AR156">
        <v>14.178606949303976</v>
      </c>
      <c r="AS156" s="2">
        <f t="shared" si="14"/>
        <v>2170.5543932392538</v>
      </c>
      <c r="AT156" s="2">
        <f t="shared" si="15"/>
        <v>0.23848169847389755</v>
      </c>
      <c r="AV156">
        <f t="shared" si="16"/>
        <v>1350308.214399928</v>
      </c>
      <c r="AW156">
        <f t="shared" si="17"/>
        <v>1371985.8298540786</v>
      </c>
      <c r="AY156">
        <f t="shared" si="18"/>
        <v>0</v>
      </c>
      <c r="AZ156">
        <f t="shared" si="19"/>
        <v>1</v>
      </c>
    </row>
    <row r="157" spans="1:52" x14ac:dyDescent="0.2">
      <c r="A157">
        <f t="shared" si="20"/>
        <v>153</v>
      </c>
      <c r="B157">
        <v>2.5192449224819113E-2</v>
      </c>
      <c r="C157">
        <v>3.866087936802487E-2</v>
      </c>
      <c r="D157">
        <v>3.4422297039682644E-2</v>
      </c>
      <c r="E157">
        <v>3.9563204615551406E-2</v>
      </c>
      <c r="F157">
        <v>3.2966529942864502E-3</v>
      </c>
      <c r="G157">
        <v>1.1263151358413045E-2</v>
      </c>
      <c r="H157">
        <v>3.3029737933673919E-2</v>
      </c>
      <c r="I157">
        <v>0.14041266991192669</v>
      </c>
      <c r="J157">
        <v>0</v>
      </c>
      <c r="K157">
        <v>0.37236962926204137</v>
      </c>
      <c r="L157">
        <v>0.16790635165587409</v>
      </c>
      <c r="M157">
        <v>0.83209364834412591</v>
      </c>
      <c r="N157">
        <v>8.1183568845301091E-2</v>
      </c>
      <c r="O157" s="72">
        <v>0.99872362091478728</v>
      </c>
      <c r="P157">
        <v>0.99731071012547523</v>
      </c>
      <c r="Q157">
        <v>0.97537680266695259</v>
      </c>
      <c r="R157">
        <v>0.52014348074613104</v>
      </c>
      <c r="S157">
        <v>0.39397305226723855</v>
      </c>
      <c r="T157">
        <v>0.15055433023286213</v>
      </c>
      <c r="U157">
        <v>0.78252540425209882</v>
      </c>
      <c r="V157">
        <v>0.6686612996619119</v>
      </c>
      <c r="W157">
        <v>0.56406785140955984</v>
      </c>
      <c r="X157">
        <v>0.47345063129208353</v>
      </c>
      <c r="Y157">
        <v>0.43293332682871694</v>
      </c>
      <c r="Z157">
        <v>0.40038252262624391</v>
      </c>
      <c r="AA157">
        <v>0.69347021690213873</v>
      </c>
      <c r="AB157">
        <v>0.7610336328848849</v>
      </c>
      <c r="AC157">
        <v>0.66629559946386596</v>
      </c>
      <c r="AD157">
        <v>0.62620415236193927</v>
      </c>
      <c r="AE157">
        <v>133.77455831298317</v>
      </c>
      <c r="AF157">
        <v>1205.6775033202136</v>
      </c>
      <c r="AG157">
        <v>1537.0320285160647</v>
      </c>
      <c r="AH157">
        <v>14143.372628898918</v>
      </c>
      <c r="AI157">
        <v>11684.722936608947</v>
      </c>
      <c r="AJ157">
        <v>38131.897670282335</v>
      </c>
      <c r="AK157">
        <v>17691.134601116933</v>
      </c>
      <c r="AL157">
        <v>2082.012253505095</v>
      </c>
      <c r="AM157">
        <v>432.39082125372028</v>
      </c>
      <c r="AO157">
        <v>43995.9247409585</v>
      </c>
      <c r="AP157">
        <v>12.416791121358539</v>
      </c>
      <c r="AQ157">
        <v>47261.69233922768</v>
      </c>
      <c r="AR157">
        <v>12.626772303637246</v>
      </c>
      <c r="AS157" s="2">
        <f t="shared" si="14"/>
        <v>3265.7675982691799</v>
      </c>
      <c r="AT157" s="2">
        <f t="shared" si="15"/>
        <v>0.20998118227870677</v>
      </c>
      <c r="AV157">
        <f t="shared" si="16"/>
        <v>1197683.1873948954</v>
      </c>
      <c r="AW157">
        <f t="shared" si="17"/>
        <v>1215415.5380244968</v>
      </c>
      <c r="AY157">
        <f t="shared" si="18"/>
        <v>0</v>
      </c>
      <c r="AZ157">
        <f t="shared" si="19"/>
        <v>1</v>
      </c>
    </row>
    <row r="158" spans="1:52" x14ac:dyDescent="0.2">
      <c r="A158">
        <f t="shared" si="20"/>
        <v>154</v>
      </c>
      <c r="B158">
        <v>2.8581945161711864E-2</v>
      </c>
      <c r="C158">
        <v>3.7143409953862339E-2</v>
      </c>
      <c r="D158">
        <v>6.2015258999323697E-2</v>
      </c>
      <c r="E158">
        <v>2.0778226678135254E-3</v>
      </c>
      <c r="F158">
        <v>3.3379564862476528E-3</v>
      </c>
      <c r="G158">
        <v>7.7419692989220603E-3</v>
      </c>
      <c r="H158">
        <v>2.3561000414112382E-2</v>
      </c>
      <c r="I158">
        <v>0.14370264010336908</v>
      </c>
      <c r="J158">
        <v>0</v>
      </c>
      <c r="K158">
        <v>0.41199227298284857</v>
      </c>
      <c r="L158">
        <v>0.18707245317982693</v>
      </c>
      <c r="M158">
        <v>0.8129275468201731</v>
      </c>
      <c r="N158">
        <v>5.3017988473781995E-2</v>
      </c>
      <c r="O158" s="72">
        <v>0.99954412456440844</v>
      </c>
      <c r="P158">
        <v>0.99976575272025536</v>
      </c>
      <c r="Q158">
        <v>0.96989755262774391</v>
      </c>
      <c r="R158">
        <v>0.53655585376098147</v>
      </c>
      <c r="S158">
        <v>0.40939644933055896</v>
      </c>
      <c r="T158">
        <v>0.19525827786695349</v>
      </c>
      <c r="U158">
        <v>0.73555545695194646</v>
      </c>
      <c r="V158">
        <v>0.6822049622476769</v>
      </c>
      <c r="W158">
        <v>0.52886487168150309</v>
      </c>
      <c r="X158">
        <v>0.44067791363353276</v>
      </c>
      <c r="Y158">
        <v>0.42941693980876783</v>
      </c>
      <c r="Z158">
        <v>0.4732311775372553</v>
      </c>
      <c r="AA158">
        <v>0.70312810154276573</v>
      </c>
      <c r="AB158">
        <v>0.80250540209835342</v>
      </c>
      <c r="AC158">
        <v>0.73457140144684652</v>
      </c>
      <c r="AD158">
        <v>0.6119007766811877</v>
      </c>
      <c r="AE158">
        <v>172.93257606921858</v>
      </c>
      <c r="AF158">
        <v>919.53076384118651</v>
      </c>
      <c r="AG158">
        <v>2527.9860413762049</v>
      </c>
      <c r="AH158">
        <v>12489.096368033934</v>
      </c>
      <c r="AI158">
        <v>10706.590570070537</v>
      </c>
      <c r="AJ158">
        <v>39771.462049258815</v>
      </c>
      <c r="AK158">
        <v>11120.306201798285</v>
      </c>
      <c r="AL158">
        <v>1973.7042645956833</v>
      </c>
      <c r="AM158">
        <v>352.67077823961517</v>
      </c>
      <c r="AO158">
        <v>41425.806656744877</v>
      </c>
      <c r="AP158">
        <v>13.090973449307292</v>
      </c>
      <c r="AQ158">
        <v>46007.784571299999</v>
      </c>
      <c r="AR158">
        <v>13.304924018824755</v>
      </c>
      <c r="AS158" s="2">
        <f t="shared" si="14"/>
        <v>4581.977914555122</v>
      </c>
      <c r="AT158" s="2">
        <f t="shared" si="15"/>
        <v>0.21395056951746305</v>
      </c>
      <c r="AV158">
        <f t="shared" si="16"/>
        <v>1267671.5382739843</v>
      </c>
      <c r="AW158">
        <f t="shared" si="17"/>
        <v>1284484.6173111754</v>
      </c>
      <c r="AY158">
        <f t="shared" si="18"/>
        <v>0</v>
      </c>
      <c r="AZ158">
        <f t="shared" si="19"/>
        <v>1</v>
      </c>
    </row>
    <row r="159" spans="1:52" x14ac:dyDescent="0.2">
      <c r="A159">
        <f t="shared" si="20"/>
        <v>155</v>
      </c>
      <c r="B159">
        <v>2.4771398055216089E-2</v>
      </c>
      <c r="C159">
        <v>2.8507990375163505E-2</v>
      </c>
      <c r="D159">
        <v>4.2297864868298118E-2</v>
      </c>
      <c r="E159">
        <v>4.4382959108360655E-3</v>
      </c>
      <c r="F159">
        <v>3.2116495609312988E-3</v>
      </c>
      <c r="G159">
        <v>2.8951333321025619E-2</v>
      </c>
      <c r="H159">
        <v>4.2469128377969012E-2</v>
      </c>
      <c r="I159">
        <v>0.12945948201839264</v>
      </c>
      <c r="J159">
        <v>0</v>
      </c>
      <c r="K159">
        <v>0.38734033284297176</v>
      </c>
      <c r="L159">
        <v>0.18172854227464463</v>
      </c>
      <c r="M159">
        <v>0.81827145772535537</v>
      </c>
      <c r="N159">
        <v>4.8287646005835946E-2</v>
      </c>
      <c r="O159" s="72">
        <v>0.99614391861661511</v>
      </c>
      <c r="P159">
        <v>0.99999510365942135</v>
      </c>
      <c r="Q159">
        <v>0.97567952429318427</v>
      </c>
      <c r="R159">
        <v>0.45026888210449445</v>
      </c>
      <c r="S159">
        <v>0.33161000744614677</v>
      </c>
      <c r="T159">
        <v>0.33788479272159466</v>
      </c>
      <c r="U159">
        <v>0.78175741841117086</v>
      </c>
      <c r="V159">
        <v>0.65917222128705155</v>
      </c>
      <c r="W159">
        <v>0.49309905104884277</v>
      </c>
      <c r="X159">
        <v>0.45692685125661825</v>
      </c>
      <c r="Y159">
        <v>0.47100823122422686</v>
      </c>
      <c r="Z159">
        <v>0.43491284684378179</v>
      </c>
      <c r="AA159">
        <v>0.78874535521838474</v>
      </c>
      <c r="AB159">
        <v>0.8940866362539418</v>
      </c>
      <c r="AC159">
        <v>0.81986553397177575</v>
      </c>
      <c r="AD159">
        <v>0.63137747044572468</v>
      </c>
      <c r="AE159">
        <v>165.30737143308468</v>
      </c>
      <c r="AF159">
        <v>1074.5944143536185</v>
      </c>
      <c r="AG159">
        <v>1875.7187086786105</v>
      </c>
      <c r="AH159">
        <v>15970.122962336383</v>
      </c>
      <c r="AI159">
        <v>8673.1044713397932</v>
      </c>
      <c r="AJ159">
        <v>32338.986775488098</v>
      </c>
      <c r="AK159">
        <v>15627.824667562669</v>
      </c>
      <c r="AL159">
        <v>2033.4572200501129</v>
      </c>
      <c r="AM159">
        <v>342.18957213039471</v>
      </c>
      <c r="AO159">
        <v>44023.534245619587</v>
      </c>
      <c r="AP159">
        <v>14.508288532444581</v>
      </c>
      <c r="AQ159">
        <v>45832.868166811342</v>
      </c>
      <c r="AR159">
        <v>14.758679641764049</v>
      </c>
      <c r="AS159" s="2">
        <f t="shared" si="14"/>
        <v>1809.3339211917555</v>
      </c>
      <c r="AT159" s="2">
        <f t="shared" si="15"/>
        <v>0.25039110931946773</v>
      </c>
      <c r="AV159">
        <f t="shared" si="16"/>
        <v>1406805.3189988385</v>
      </c>
      <c r="AW159">
        <f t="shared" si="17"/>
        <v>1430035.0960095937</v>
      </c>
      <c r="AY159">
        <f t="shared" si="18"/>
        <v>0</v>
      </c>
      <c r="AZ159">
        <f t="shared" si="19"/>
        <v>1</v>
      </c>
    </row>
    <row r="160" spans="1:52" x14ac:dyDescent="0.2">
      <c r="A160">
        <f t="shared" si="20"/>
        <v>156</v>
      </c>
      <c r="B160">
        <v>2.7628089741547179E-2</v>
      </c>
      <c r="C160">
        <v>3.4812125720828702E-2</v>
      </c>
      <c r="D160">
        <v>3.5757384153353923E-2</v>
      </c>
      <c r="E160">
        <v>1.721340538382421E-2</v>
      </c>
      <c r="F160">
        <v>3.3311925094128749E-3</v>
      </c>
      <c r="G160">
        <v>3.8128409130677352E-3</v>
      </c>
      <c r="H160">
        <v>2.6859942815057374E-2</v>
      </c>
      <c r="I160">
        <v>0.13127751023531742</v>
      </c>
      <c r="J160">
        <v>0</v>
      </c>
      <c r="K160">
        <v>0.46656106599763703</v>
      </c>
      <c r="L160">
        <v>0.22398043247882049</v>
      </c>
      <c r="M160">
        <v>0.77601956752117951</v>
      </c>
      <c r="N160">
        <v>9.0780105672958911E-2</v>
      </c>
      <c r="O160" s="72">
        <v>0.99791947264031555</v>
      </c>
      <c r="P160">
        <v>0.99973937771441101</v>
      </c>
      <c r="Q160">
        <v>0.97533715617836136</v>
      </c>
      <c r="R160">
        <v>0.45149409503909699</v>
      </c>
      <c r="S160">
        <v>0.39212368487892713</v>
      </c>
      <c r="T160">
        <v>0.15819961201904709</v>
      </c>
      <c r="U160">
        <v>0.77292653279724788</v>
      </c>
      <c r="V160">
        <v>0.69717617448763991</v>
      </c>
      <c r="W160">
        <v>0.57977122773629353</v>
      </c>
      <c r="X160">
        <v>0.44936769707288837</v>
      </c>
      <c r="Y160">
        <v>0.42073543587465145</v>
      </c>
      <c r="Z160">
        <v>0.53199482288962718</v>
      </c>
      <c r="AA160">
        <v>0.79352394511305513</v>
      </c>
      <c r="AB160">
        <v>0.84955795667669542</v>
      </c>
      <c r="AC160">
        <v>0.83505061782646206</v>
      </c>
      <c r="AD160">
        <v>0.65127668262838134</v>
      </c>
      <c r="AE160">
        <v>138.79434336210187</v>
      </c>
      <c r="AF160">
        <v>907.66315067684332</v>
      </c>
      <c r="AG160">
        <v>1010.0677435204055</v>
      </c>
      <c r="AH160">
        <v>14419.143231249493</v>
      </c>
      <c r="AI160">
        <v>7598.5867175589774</v>
      </c>
      <c r="AJ160">
        <v>45328.931531740614</v>
      </c>
      <c r="AK160">
        <v>16615.076621919172</v>
      </c>
      <c r="AL160">
        <v>2582.706487934317</v>
      </c>
      <c r="AM160">
        <v>400.58110031219815</v>
      </c>
      <c r="AO160">
        <v>46881.874546351522</v>
      </c>
      <c r="AP160">
        <v>13.928488317769206</v>
      </c>
      <c r="AQ160">
        <v>46650.150694809723</v>
      </c>
      <c r="AR160">
        <v>14.194185130943938</v>
      </c>
      <c r="AS160" s="2">
        <f t="shared" si="14"/>
        <v>-231.72385154179938</v>
      </c>
      <c r="AT160" s="2">
        <f t="shared" si="15"/>
        <v>0.26569681317473126</v>
      </c>
      <c r="AV160">
        <f t="shared" si="16"/>
        <v>1345966.9572305691</v>
      </c>
      <c r="AW160">
        <f t="shared" si="17"/>
        <v>1372768.3623995841</v>
      </c>
      <c r="AY160">
        <f t="shared" si="18"/>
        <v>0</v>
      </c>
      <c r="AZ160">
        <f t="shared" si="19"/>
        <v>1</v>
      </c>
    </row>
    <row r="161" spans="1:52" x14ac:dyDescent="0.2">
      <c r="A161">
        <f t="shared" si="20"/>
        <v>157</v>
      </c>
      <c r="B161">
        <v>3.1488726590104266E-2</v>
      </c>
      <c r="C161">
        <v>2.8484470816284566E-2</v>
      </c>
      <c r="D161">
        <v>3.0270635595602408E-2</v>
      </c>
      <c r="E161">
        <v>6.0324005577306918E-3</v>
      </c>
      <c r="F161">
        <v>3.2258393027897584E-3</v>
      </c>
      <c r="G161">
        <v>1.2228201462461841E-2</v>
      </c>
      <c r="H161">
        <v>2.1998415388002034E-2</v>
      </c>
      <c r="I161">
        <v>0.11600716530084289</v>
      </c>
      <c r="J161">
        <v>0</v>
      </c>
      <c r="K161">
        <v>0.4647925102639755</v>
      </c>
      <c r="L161">
        <v>0.18050662753101124</v>
      </c>
      <c r="M161">
        <v>0.81949337246898879</v>
      </c>
      <c r="N161">
        <v>4.9960622840096218E-2</v>
      </c>
      <c r="O161" s="72">
        <v>0.99912803769929559</v>
      </c>
      <c r="P161">
        <v>0.99999702929634993</v>
      </c>
      <c r="Q161">
        <v>0.96724486692175904</v>
      </c>
      <c r="R161">
        <v>0.4553840185094018</v>
      </c>
      <c r="S161">
        <v>0.42827611918343755</v>
      </c>
      <c r="T161">
        <v>0.21346442750720795</v>
      </c>
      <c r="U161">
        <v>0.78096616371884797</v>
      </c>
      <c r="V161">
        <v>0.67766011936892356</v>
      </c>
      <c r="W161">
        <v>0.5821481315275685</v>
      </c>
      <c r="X161">
        <v>0.48218131564849454</v>
      </c>
      <c r="Y161">
        <v>0.4496434198783662</v>
      </c>
      <c r="Z161">
        <v>0.43580686774547456</v>
      </c>
      <c r="AA161">
        <v>0.67402818276979326</v>
      </c>
      <c r="AB161">
        <v>0.8389538466236629</v>
      </c>
      <c r="AC161">
        <v>0.75425214287160214</v>
      </c>
      <c r="AD161">
        <v>0.67667901334821279</v>
      </c>
      <c r="AE161">
        <v>197.84763157496155</v>
      </c>
      <c r="AF161">
        <v>1194.1728817658145</v>
      </c>
      <c r="AG161">
        <v>1345.4721122272715</v>
      </c>
      <c r="AH161">
        <v>12355.258767159514</v>
      </c>
      <c r="AI161">
        <v>17406.385192899583</v>
      </c>
      <c r="AJ161">
        <v>44471.667842256495</v>
      </c>
      <c r="AK161">
        <v>18267.281162761705</v>
      </c>
      <c r="AL161">
        <v>1125.1330005138705</v>
      </c>
      <c r="AM161">
        <v>364.29750219082251</v>
      </c>
      <c r="AO161">
        <v>44683.746626835731</v>
      </c>
      <c r="AP161">
        <v>13.740788735906321</v>
      </c>
      <c r="AQ161">
        <v>46165.532354236049</v>
      </c>
      <c r="AR161">
        <v>13.937742920922638</v>
      </c>
      <c r="AS161" s="2">
        <f t="shared" si="14"/>
        <v>1481.7857274003181</v>
      </c>
      <c r="AT161" s="2">
        <f t="shared" si="15"/>
        <v>0.19695418501631679</v>
      </c>
      <c r="AV161">
        <f t="shared" si="16"/>
        <v>1329395.1269637963</v>
      </c>
      <c r="AW161">
        <f t="shared" si="17"/>
        <v>1347608.7597380276</v>
      </c>
      <c r="AY161">
        <f t="shared" si="18"/>
        <v>0</v>
      </c>
      <c r="AZ161">
        <f t="shared" si="19"/>
        <v>1</v>
      </c>
    </row>
    <row r="162" spans="1:52" x14ac:dyDescent="0.2">
      <c r="A162">
        <f t="shared" si="20"/>
        <v>158</v>
      </c>
      <c r="B162">
        <v>2.2117328215878942E-2</v>
      </c>
      <c r="C162">
        <v>3.3471196843941155E-2</v>
      </c>
      <c r="D162">
        <v>3.5585856716410104E-2</v>
      </c>
      <c r="E162">
        <v>6.4550314068083153E-4</v>
      </c>
      <c r="F162">
        <v>3.3793925384497658E-3</v>
      </c>
      <c r="G162">
        <v>1.5317479793156785E-2</v>
      </c>
      <c r="H162">
        <v>2.6202768511102377E-2</v>
      </c>
      <c r="I162">
        <v>0.11574605608220112</v>
      </c>
      <c r="J162">
        <v>0</v>
      </c>
      <c r="K162">
        <v>0.48855365369888826</v>
      </c>
      <c r="L162">
        <v>0.2514487976434252</v>
      </c>
      <c r="M162">
        <v>0.7485512023565748</v>
      </c>
      <c r="N162">
        <v>3.5019904950395871E-2</v>
      </c>
      <c r="O162" s="72">
        <v>0.99990528810320956</v>
      </c>
      <c r="P162">
        <v>0.98239589129385685</v>
      </c>
      <c r="Q162">
        <v>0.96504065073179157</v>
      </c>
      <c r="R162">
        <v>0.5095094095643431</v>
      </c>
      <c r="S162">
        <v>0.40438232466979762</v>
      </c>
      <c r="T162">
        <v>0.20841745218346164</v>
      </c>
      <c r="U162">
        <v>0.76643154771078381</v>
      </c>
      <c r="V162">
        <v>0.64918166388702425</v>
      </c>
      <c r="W162">
        <v>0.53850502738173067</v>
      </c>
      <c r="X162">
        <v>0.48958164093410528</v>
      </c>
      <c r="Y162">
        <v>0.33679335504095698</v>
      </c>
      <c r="Z162">
        <v>0.49010225280821673</v>
      </c>
      <c r="AA162">
        <v>0.6675558319913848</v>
      </c>
      <c r="AB162">
        <v>0.9039625294394914</v>
      </c>
      <c r="AC162">
        <v>0.69832938826459712</v>
      </c>
      <c r="AD162">
        <v>0.62689376317231238</v>
      </c>
      <c r="AE162">
        <v>155.03556934841504</v>
      </c>
      <c r="AF162">
        <v>918.759767170999</v>
      </c>
      <c r="AG162">
        <v>1798.8636354875848</v>
      </c>
      <c r="AH162">
        <v>11100.74417501439</v>
      </c>
      <c r="AI162">
        <v>11022.713568044051</v>
      </c>
      <c r="AJ162">
        <v>38871.582494318434</v>
      </c>
      <c r="AK162">
        <v>11302.792847403975</v>
      </c>
      <c r="AL162">
        <v>2012.4637518558291</v>
      </c>
      <c r="AM162">
        <v>328.54235997727642</v>
      </c>
      <c r="AO162">
        <v>41750.242663965233</v>
      </c>
      <c r="AP162">
        <v>14.423232124832099</v>
      </c>
      <c r="AQ162">
        <v>46114.072555358536</v>
      </c>
      <c r="AR162">
        <v>14.666216222900402</v>
      </c>
      <c r="AS162" s="2">
        <f t="shared" si="14"/>
        <v>4363.8298913933031</v>
      </c>
      <c r="AT162" s="2">
        <f t="shared" si="15"/>
        <v>0.24298409806830357</v>
      </c>
      <c r="AV162">
        <f t="shared" si="16"/>
        <v>1400572.9698192445</v>
      </c>
      <c r="AW162">
        <f t="shared" si="17"/>
        <v>1420507.5497346818</v>
      </c>
      <c r="AY162">
        <f t="shared" si="18"/>
        <v>0</v>
      </c>
      <c r="AZ162">
        <f t="shared" si="19"/>
        <v>1</v>
      </c>
    </row>
    <row r="163" spans="1:52" x14ac:dyDescent="0.2">
      <c r="A163">
        <f t="shared" si="20"/>
        <v>159</v>
      </c>
      <c r="B163">
        <v>2.8513555522276746E-2</v>
      </c>
      <c r="C163">
        <v>4.3605513179816313E-2</v>
      </c>
      <c r="D163">
        <v>2.8743574168546882E-2</v>
      </c>
      <c r="E163">
        <v>5.5129370611123E-3</v>
      </c>
      <c r="F163">
        <v>3.2839156274513015E-3</v>
      </c>
      <c r="G163">
        <v>1.6053761073636874E-2</v>
      </c>
      <c r="H163">
        <v>3.7695135924114997E-2</v>
      </c>
      <c r="I163">
        <v>0.12008295973431643</v>
      </c>
      <c r="J163">
        <v>0</v>
      </c>
      <c r="K163">
        <v>0.41511351871303587</v>
      </c>
      <c r="L163">
        <v>0.14786990693518326</v>
      </c>
      <c r="M163">
        <v>0.8521300930648168</v>
      </c>
      <c r="N163">
        <v>5.5257483262712341E-2</v>
      </c>
      <c r="O163" s="72">
        <v>0.99410085096310064</v>
      </c>
      <c r="P163">
        <v>0.99966330583292107</v>
      </c>
      <c r="Q163">
        <v>0.9796901326164843</v>
      </c>
      <c r="R163">
        <v>0.45097714623256391</v>
      </c>
      <c r="S163">
        <v>0.42390320158780315</v>
      </c>
      <c r="T163">
        <v>0.30348371227802473</v>
      </c>
      <c r="U163">
        <v>0.78473969182074266</v>
      </c>
      <c r="V163">
        <v>0.66824095292098118</v>
      </c>
      <c r="W163">
        <v>0.56569078649693205</v>
      </c>
      <c r="X163">
        <v>0.48317836301150652</v>
      </c>
      <c r="Y163">
        <v>0.5153536740910436</v>
      </c>
      <c r="Z163">
        <v>0.46063410186125686</v>
      </c>
      <c r="AA163">
        <v>0.67721196369028436</v>
      </c>
      <c r="AB163">
        <v>0.82921831568109383</v>
      </c>
      <c r="AC163">
        <v>0.74618547272695213</v>
      </c>
      <c r="AD163">
        <v>0.63093229927700056</v>
      </c>
      <c r="AE163">
        <v>222.5360995313369</v>
      </c>
      <c r="AF163">
        <v>1173.4941279897578</v>
      </c>
      <c r="AG163">
        <v>2110.9630871751974</v>
      </c>
      <c r="AH163">
        <v>15429.425406893988</v>
      </c>
      <c r="AI163">
        <v>15679.879956303621</v>
      </c>
      <c r="AJ163">
        <v>35899.000999751523</v>
      </c>
      <c r="AK163">
        <v>7542.2964659236577</v>
      </c>
      <c r="AL163">
        <v>1633.1522111900156</v>
      </c>
      <c r="AM163">
        <v>391.0665058635721</v>
      </c>
      <c r="AO163">
        <v>44152.490811036034</v>
      </c>
      <c r="AP163">
        <v>13.573629762813091</v>
      </c>
      <c r="AQ163">
        <v>46703.124910906852</v>
      </c>
      <c r="AR163">
        <v>13.725830839533712</v>
      </c>
      <c r="AS163" s="2">
        <f t="shared" si="14"/>
        <v>2550.6340998708183</v>
      </c>
      <c r="AT163" s="2">
        <f t="shared" si="15"/>
        <v>0.15220107672062078</v>
      </c>
      <c r="AV163">
        <f t="shared" si="16"/>
        <v>1313210.4854702731</v>
      </c>
      <c r="AW163">
        <f t="shared" si="17"/>
        <v>1325879.9590424644</v>
      </c>
      <c r="AY163">
        <f t="shared" si="18"/>
        <v>0</v>
      </c>
      <c r="AZ163">
        <f t="shared" si="19"/>
        <v>1</v>
      </c>
    </row>
    <row r="164" spans="1:52" x14ac:dyDescent="0.2">
      <c r="A164">
        <f t="shared" si="20"/>
        <v>160</v>
      </c>
      <c r="B164">
        <v>3.636248297769995E-2</v>
      </c>
      <c r="C164">
        <v>4.2158926962004295E-2</v>
      </c>
      <c r="D164">
        <v>4.6498193400276167E-2</v>
      </c>
      <c r="E164">
        <v>6.4812530658038079E-3</v>
      </c>
      <c r="F164">
        <v>3.3115930857105418E-3</v>
      </c>
      <c r="G164">
        <v>7.0807710055298852E-3</v>
      </c>
      <c r="H164">
        <v>4.6154617799411435E-2</v>
      </c>
      <c r="I164">
        <v>0.11538076004107341</v>
      </c>
      <c r="J164">
        <v>0</v>
      </c>
      <c r="K164">
        <v>0.45615483241652677</v>
      </c>
      <c r="L164">
        <v>0.23779984370938623</v>
      </c>
      <c r="M164">
        <v>0.76220015629061377</v>
      </c>
      <c r="N164">
        <v>3.8375065309724232E-2</v>
      </c>
      <c r="O164" s="72">
        <v>0.98351502639629207</v>
      </c>
      <c r="P164">
        <v>0.99814142102260517</v>
      </c>
      <c r="Q164">
        <v>0.92752629211001703</v>
      </c>
      <c r="R164">
        <v>0.44050499478436256</v>
      </c>
      <c r="S164">
        <v>0.49146457632043006</v>
      </c>
      <c r="T164">
        <v>9.5746065736228236E-2</v>
      </c>
      <c r="U164">
        <v>0.78373251435089153</v>
      </c>
      <c r="V164">
        <v>0.64399277345233463</v>
      </c>
      <c r="W164">
        <v>0.54091904109343936</v>
      </c>
      <c r="X164">
        <v>0.4574936459479263</v>
      </c>
      <c r="Y164">
        <v>0.52333926114364093</v>
      </c>
      <c r="Z164">
        <v>0.44269978234772372</v>
      </c>
      <c r="AA164">
        <v>0.63809181717112962</v>
      </c>
      <c r="AB164">
        <v>0.83558759095470414</v>
      </c>
      <c r="AC164">
        <v>0.74094289035690653</v>
      </c>
      <c r="AD164">
        <v>0.65614899820868533</v>
      </c>
      <c r="AE164">
        <v>237.87288308714596</v>
      </c>
      <c r="AF164">
        <v>1172.7535361792761</v>
      </c>
      <c r="AG164">
        <v>1477.3350753805996</v>
      </c>
      <c r="AH164">
        <v>12667.110041411403</v>
      </c>
      <c r="AI164">
        <v>10116.50930749558</v>
      </c>
      <c r="AJ164">
        <v>30959.332665516387</v>
      </c>
      <c r="AK164">
        <v>13710.220221963929</v>
      </c>
      <c r="AL164">
        <v>1379.2175593722277</v>
      </c>
      <c r="AM164">
        <v>254.13219824738707</v>
      </c>
      <c r="AO164">
        <v>47488.543190128323</v>
      </c>
      <c r="AP164">
        <v>13.515733973769587</v>
      </c>
      <c r="AQ164">
        <v>44755.576737900978</v>
      </c>
      <c r="AR164">
        <v>13.836086924294905</v>
      </c>
      <c r="AS164" s="2">
        <f t="shared" si="14"/>
        <v>-2732.9664522273451</v>
      </c>
      <c r="AT164" s="2">
        <f t="shared" si="15"/>
        <v>0.32035295052531865</v>
      </c>
      <c r="AV164">
        <f t="shared" si="16"/>
        <v>1304084.8541868303</v>
      </c>
      <c r="AW164">
        <f t="shared" si="17"/>
        <v>1338853.1156915897</v>
      </c>
      <c r="AY164">
        <f t="shared" si="18"/>
        <v>0</v>
      </c>
      <c r="AZ164">
        <f t="shared" si="19"/>
        <v>1</v>
      </c>
    </row>
    <row r="165" spans="1:52" x14ac:dyDescent="0.2">
      <c r="A165">
        <f t="shared" si="20"/>
        <v>161</v>
      </c>
      <c r="B165">
        <v>2.6729144746835631E-2</v>
      </c>
      <c r="C165">
        <v>4.4110394959094301E-2</v>
      </c>
      <c r="D165">
        <v>3.6430749800523264E-2</v>
      </c>
      <c r="E165">
        <v>8.1978421490385683E-3</v>
      </c>
      <c r="F165">
        <v>3.4777563752387275E-3</v>
      </c>
      <c r="G165">
        <v>3.9556579483796761E-2</v>
      </c>
      <c r="H165">
        <v>2.7916482691752412E-2</v>
      </c>
      <c r="I165">
        <v>0.1261202787134095</v>
      </c>
      <c r="J165">
        <v>0</v>
      </c>
      <c r="K165">
        <v>0.44404236829316568</v>
      </c>
      <c r="L165">
        <v>0.19698305624922688</v>
      </c>
      <c r="M165">
        <v>0.80301694375077315</v>
      </c>
      <c r="N165">
        <v>7.4231074834564481E-2</v>
      </c>
      <c r="O165" s="72">
        <v>0.98656559392868881</v>
      </c>
      <c r="P165">
        <v>0.99800769610694051</v>
      </c>
      <c r="Q165">
        <v>0.9865869300241259</v>
      </c>
      <c r="R165">
        <v>0.46813896752712347</v>
      </c>
      <c r="S165">
        <v>0.33630375576870342</v>
      </c>
      <c r="T165">
        <v>0.26072722591647746</v>
      </c>
      <c r="U165">
        <v>0.78001265082313609</v>
      </c>
      <c r="V165">
        <v>0.59583339405236579</v>
      </c>
      <c r="W165">
        <v>0.61002751702305624</v>
      </c>
      <c r="X165">
        <v>0.42346695317929589</v>
      </c>
      <c r="Y165">
        <v>0.48380484807513191</v>
      </c>
      <c r="Z165">
        <v>0.41494827190516437</v>
      </c>
      <c r="AA165">
        <v>0.60954156250761504</v>
      </c>
      <c r="AB165">
        <v>0.84613925944902968</v>
      </c>
      <c r="AC165">
        <v>0.62869573163093073</v>
      </c>
      <c r="AD165">
        <v>0.66627319789833939</v>
      </c>
      <c r="AE165">
        <v>182.40068869427327</v>
      </c>
      <c r="AF165">
        <v>910.30054975434393</v>
      </c>
      <c r="AG165">
        <v>1503.4284115405387</v>
      </c>
      <c r="AH165">
        <v>9740.8153788604031</v>
      </c>
      <c r="AI165">
        <v>11531.001731993183</v>
      </c>
      <c r="AJ165">
        <v>33353.100392518849</v>
      </c>
      <c r="AK165">
        <v>13409.188540736252</v>
      </c>
      <c r="AL165">
        <v>1812.140731906683</v>
      </c>
      <c r="AM165">
        <v>411.40839495248707</v>
      </c>
      <c r="AO165">
        <v>44644.73880769196</v>
      </c>
      <c r="AP165">
        <v>13.567045000527012</v>
      </c>
      <c r="AQ165">
        <v>46849.13376016594</v>
      </c>
      <c r="AR165">
        <v>13.791879830028261</v>
      </c>
      <c r="AS165" s="2">
        <f t="shared" si="14"/>
        <v>2204.3949524739801</v>
      </c>
      <c r="AT165" s="2">
        <f t="shared" si="15"/>
        <v>0.22483482950124944</v>
      </c>
      <c r="AV165">
        <f t="shared" si="16"/>
        <v>1312059.7612450093</v>
      </c>
      <c r="AW165">
        <f t="shared" si="17"/>
        <v>1332338.8492426602</v>
      </c>
      <c r="AY165">
        <f t="shared" si="18"/>
        <v>0</v>
      </c>
      <c r="AZ165">
        <f t="shared" si="19"/>
        <v>1</v>
      </c>
    </row>
    <row r="166" spans="1:52" x14ac:dyDescent="0.2">
      <c r="A166">
        <f t="shared" si="20"/>
        <v>162</v>
      </c>
      <c r="B166">
        <v>2.4373693721756677E-2</v>
      </c>
      <c r="C166">
        <v>2.4488089306110246E-2</v>
      </c>
      <c r="D166">
        <v>4.1255965772766912E-2</v>
      </c>
      <c r="E166">
        <v>7.0793589690957221E-3</v>
      </c>
      <c r="F166">
        <v>3.3710171970036118E-3</v>
      </c>
      <c r="G166">
        <v>7.947692049762381E-3</v>
      </c>
      <c r="H166">
        <v>4.185262535976042E-2</v>
      </c>
      <c r="I166">
        <v>0.13084739614105811</v>
      </c>
      <c r="J166">
        <v>0</v>
      </c>
      <c r="K166">
        <v>0.41655160858529189</v>
      </c>
      <c r="L166">
        <v>0.20363416712583879</v>
      </c>
      <c r="M166">
        <v>0.79636583287416118</v>
      </c>
      <c r="N166">
        <v>4.4621197010706687E-2</v>
      </c>
      <c r="O166" s="72">
        <v>0.9980878326992354</v>
      </c>
      <c r="P166">
        <v>0.99984826542925942</v>
      </c>
      <c r="Q166">
        <v>0.98876193162503312</v>
      </c>
      <c r="R166">
        <v>0.48472298484934262</v>
      </c>
      <c r="S166">
        <v>0.40564175476483078</v>
      </c>
      <c r="T166">
        <v>0.30071790591747882</v>
      </c>
      <c r="U166">
        <v>0.80478375944891767</v>
      </c>
      <c r="V166">
        <v>0.65940348361650891</v>
      </c>
      <c r="W166">
        <v>0.57881162065438208</v>
      </c>
      <c r="X166">
        <v>0.47306953158592124</v>
      </c>
      <c r="Y166">
        <v>0.40391895965321134</v>
      </c>
      <c r="Z166">
        <v>0.43476159790028485</v>
      </c>
      <c r="AA166">
        <v>0.64166722479295724</v>
      </c>
      <c r="AB166">
        <v>0.80045433588154624</v>
      </c>
      <c r="AC166">
        <v>0.67884180406668115</v>
      </c>
      <c r="AD166">
        <v>0.66685029018986275</v>
      </c>
      <c r="AE166">
        <v>137.5555335261173</v>
      </c>
      <c r="AF166">
        <v>971.21482542171327</v>
      </c>
      <c r="AG166">
        <v>1532.4720028153413</v>
      </c>
      <c r="AH166">
        <v>15116.650036212695</v>
      </c>
      <c r="AI166">
        <v>14046.307381890365</v>
      </c>
      <c r="AJ166">
        <v>39291.363463172114</v>
      </c>
      <c r="AK166">
        <v>13011.535303912895</v>
      </c>
      <c r="AL166">
        <v>3052.1893704743975</v>
      </c>
      <c r="AM166">
        <v>313.85905701966806</v>
      </c>
      <c r="AO166">
        <v>41118.716941676474</v>
      </c>
      <c r="AP166">
        <v>13.138125696659726</v>
      </c>
      <c r="AQ166">
        <v>45304.763539093852</v>
      </c>
      <c r="AR166">
        <v>13.25333375815754</v>
      </c>
      <c r="AS166" s="2">
        <f t="shared" si="14"/>
        <v>4186.0465974173785</v>
      </c>
      <c r="AT166" s="2">
        <f t="shared" si="15"/>
        <v>0.11520806149781393</v>
      </c>
      <c r="AV166">
        <f t="shared" si="16"/>
        <v>1272693.852724296</v>
      </c>
      <c r="AW166">
        <f t="shared" si="17"/>
        <v>1280028.6122766603</v>
      </c>
      <c r="AY166">
        <f t="shared" si="18"/>
        <v>0</v>
      </c>
      <c r="AZ166">
        <f t="shared" si="19"/>
        <v>1</v>
      </c>
    </row>
    <row r="167" spans="1:52" x14ac:dyDescent="0.2">
      <c r="A167">
        <f t="shared" si="20"/>
        <v>163</v>
      </c>
      <c r="B167">
        <v>2.6420859171064293E-2</v>
      </c>
      <c r="C167">
        <v>3.0431688999732705E-2</v>
      </c>
      <c r="D167">
        <v>4.3000164345294745E-2</v>
      </c>
      <c r="E167">
        <v>1.8790276845945919E-2</v>
      </c>
      <c r="F167">
        <v>3.3559870576697071E-3</v>
      </c>
      <c r="G167">
        <v>4.8914932655875184E-3</v>
      </c>
      <c r="H167">
        <v>2.6820981295016508E-2</v>
      </c>
      <c r="I167">
        <v>0.12773001280533533</v>
      </c>
      <c r="J167">
        <v>0</v>
      </c>
      <c r="K167">
        <v>0.42536067270857675</v>
      </c>
      <c r="L167">
        <v>0.26514035786021917</v>
      </c>
      <c r="M167">
        <v>0.73485964213978083</v>
      </c>
      <c r="N167">
        <v>6.3800043794216221E-2</v>
      </c>
      <c r="O167" s="72">
        <v>0.99958234778758503</v>
      </c>
      <c r="P167">
        <v>0.99711570095150648</v>
      </c>
      <c r="Q167">
        <v>0.85249878075987506</v>
      </c>
      <c r="R167">
        <v>0.48551082003778578</v>
      </c>
      <c r="S167">
        <v>0.42214937365261196</v>
      </c>
      <c r="T167">
        <v>0.19129000244191563</v>
      </c>
      <c r="U167">
        <v>0.7465267386443174</v>
      </c>
      <c r="V167">
        <v>0.66638485195597796</v>
      </c>
      <c r="W167">
        <v>0.57860251772903892</v>
      </c>
      <c r="X167">
        <v>0.49713245811398088</v>
      </c>
      <c r="Y167">
        <v>0.5188078762659587</v>
      </c>
      <c r="Z167">
        <v>0.42951252924571826</v>
      </c>
      <c r="AA167">
        <v>0.6949766319227495</v>
      </c>
      <c r="AB167">
        <v>0.83253503759385195</v>
      </c>
      <c r="AC167">
        <v>0.78428949942747384</v>
      </c>
      <c r="AD167">
        <v>0.63479700949905515</v>
      </c>
      <c r="AE167">
        <v>124.08950120323009</v>
      </c>
      <c r="AF167">
        <v>959.87404994930557</v>
      </c>
      <c r="AG167">
        <v>1296.1744143905551</v>
      </c>
      <c r="AH167">
        <v>16548.879200286476</v>
      </c>
      <c r="AI167">
        <v>14106.596220038027</v>
      </c>
      <c r="AJ167">
        <v>40462.326043808695</v>
      </c>
      <c r="AK167">
        <v>7494.0199882603165</v>
      </c>
      <c r="AL167">
        <v>1795.9120368678016</v>
      </c>
      <c r="AM167">
        <v>392.48720599273872</v>
      </c>
      <c r="AO167">
        <v>43983.823034939451</v>
      </c>
      <c r="AP167">
        <v>13.602293637469623</v>
      </c>
      <c r="AQ167">
        <v>47156.43503598262</v>
      </c>
      <c r="AR167">
        <v>13.838091573932282</v>
      </c>
      <c r="AS167" s="2">
        <f t="shared" si="14"/>
        <v>3172.6120010431696</v>
      </c>
      <c r="AT167" s="2">
        <f t="shared" si="15"/>
        <v>0.23579793646265834</v>
      </c>
      <c r="AV167">
        <f t="shared" si="16"/>
        <v>1316245.5407120229</v>
      </c>
      <c r="AW167">
        <f t="shared" si="17"/>
        <v>1336652.7223572456</v>
      </c>
      <c r="AY167">
        <f t="shared" si="18"/>
        <v>0</v>
      </c>
      <c r="AZ167">
        <f t="shared" si="19"/>
        <v>1</v>
      </c>
    </row>
    <row r="168" spans="1:52" x14ac:dyDescent="0.2">
      <c r="A168">
        <f t="shared" si="20"/>
        <v>164</v>
      </c>
      <c r="B168">
        <v>2.4075949085168542E-2</v>
      </c>
      <c r="C168">
        <v>4.0685730478632776E-2</v>
      </c>
      <c r="D168">
        <v>4.548907454437312E-2</v>
      </c>
      <c r="E168">
        <v>2.1654743457333531E-3</v>
      </c>
      <c r="F168">
        <v>3.3041451874653064E-3</v>
      </c>
      <c r="G168">
        <v>1.0367423280447636E-2</v>
      </c>
      <c r="H168">
        <v>2.2662121829440822E-2</v>
      </c>
      <c r="I168">
        <v>0.13215033600108395</v>
      </c>
      <c r="J168">
        <v>0</v>
      </c>
      <c r="K168">
        <v>0.4418421116047323</v>
      </c>
      <c r="L168">
        <v>0.24754621062342275</v>
      </c>
      <c r="M168">
        <v>0.75245378937657725</v>
      </c>
      <c r="N168">
        <v>5.878484507758186E-2</v>
      </c>
      <c r="O168" s="72">
        <v>0.9950610016216006</v>
      </c>
      <c r="P168">
        <v>0.99994532832749627</v>
      </c>
      <c r="Q168">
        <v>0.95141016978322612</v>
      </c>
      <c r="R168">
        <v>0.48883874170716357</v>
      </c>
      <c r="S168">
        <v>0.39274126885439375</v>
      </c>
      <c r="T168">
        <v>0.18102402823101915</v>
      </c>
      <c r="U168">
        <v>0.77047449220501196</v>
      </c>
      <c r="V168">
        <v>0.67089400602690064</v>
      </c>
      <c r="W168">
        <v>0.60184633348561034</v>
      </c>
      <c r="X168">
        <v>0.43345215066720549</v>
      </c>
      <c r="Y168">
        <v>0.49430837738227962</v>
      </c>
      <c r="Z168">
        <v>0.45451683907056117</v>
      </c>
      <c r="AA168">
        <v>0.67893442424751393</v>
      </c>
      <c r="AB168">
        <v>0.87136353093574137</v>
      </c>
      <c r="AC168">
        <v>0.72137984908949015</v>
      </c>
      <c r="AD168">
        <v>0.62410194734291902</v>
      </c>
      <c r="AE168">
        <v>204.50827341834494</v>
      </c>
      <c r="AF168">
        <v>1004.5372512116035</v>
      </c>
      <c r="AG168">
        <v>1921.1273062544931</v>
      </c>
      <c r="AH168">
        <v>11418.245491401874</v>
      </c>
      <c r="AI168">
        <v>12206.209506633058</v>
      </c>
      <c r="AJ168">
        <v>36901.539778289749</v>
      </c>
      <c r="AK168">
        <v>10723.349578946458</v>
      </c>
      <c r="AL168">
        <v>1836.494597415955</v>
      </c>
      <c r="AM168">
        <v>339.80161351119375</v>
      </c>
      <c r="AO168">
        <v>43839.810468864642</v>
      </c>
      <c r="AP168">
        <v>14.009859406784164</v>
      </c>
      <c r="AQ168">
        <v>45853.118316268985</v>
      </c>
      <c r="AR168">
        <v>14.252714098867852</v>
      </c>
      <c r="AS168" s="2">
        <f t="shared" si="14"/>
        <v>2013.3078474043432</v>
      </c>
      <c r="AT168" s="2">
        <f t="shared" si="15"/>
        <v>0.2428546920836876</v>
      </c>
      <c r="AV168">
        <f t="shared" si="16"/>
        <v>1357146.1302095519</v>
      </c>
      <c r="AW168">
        <f t="shared" si="17"/>
        <v>1379418.2915705161</v>
      </c>
      <c r="AY168">
        <f t="shared" si="18"/>
        <v>0</v>
      </c>
      <c r="AZ168">
        <f t="shared" si="19"/>
        <v>1</v>
      </c>
    </row>
    <row r="169" spans="1:52" x14ac:dyDescent="0.2">
      <c r="A169">
        <f t="shared" si="20"/>
        <v>165</v>
      </c>
      <c r="B169">
        <v>1.841280487019132E-2</v>
      </c>
      <c r="C169">
        <v>4.0201699251369405E-2</v>
      </c>
      <c r="D169">
        <v>3.7316133614296559E-2</v>
      </c>
      <c r="E169">
        <v>1.8063398193976066E-2</v>
      </c>
      <c r="F169">
        <v>3.3735324056646254E-3</v>
      </c>
      <c r="G169">
        <v>1.6151708476525473E-2</v>
      </c>
      <c r="H169">
        <v>5.9050206774808767E-2</v>
      </c>
      <c r="I169">
        <v>0.13071499608279347</v>
      </c>
      <c r="J169">
        <v>0</v>
      </c>
      <c r="K169">
        <v>0.42936387596497011</v>
      </c>
      <c r="L169">
        <v>0.20524374997573924</v>
      </c>
      <c r="M169">
        <v>0.79475625002426076</v>
      </c>
      <c r="N169">
        <v>7.0058394581714478E-2</v>
      </c>
      <c r="O169" s="72">
        <v>0.99886457175020638</v>
      </c>
      <c r="P169">
        <v>0.99996102968883449</v>
      </c>
      <c r="Q169">
        <v>0.91649184027037389</v>
      </c>
      <c r="R169">
        <v>0.47756276883257609</v>
      </c>
      <c r="S169">
        <v>0.38535196868035204</v>
      </c>
      <c r="T169">
        <v>0.21114651271097484</v>
      </c>
      <c r="U169">
        <v>0.7695540418437109</v>
      </c>
      <c r="V169">
        <v>0.69267292286923443</v>
      </c>
      <c r="W169">
        <v>0.65496853694523072</v>
      </c>
      <c r="X169">
        <v>0.41948227474476713</v>
      </c>
      <c r="Y169">
        <v>0.46754178335202745</v>
      </c>
      <c r="Z169">
        <v>0.4493948796400653</v>
      </c>
      <c r="AA169">
        <v>0.69354616642265376</v>
      </c>
      <c r="AB169">
        <v>0.80929651793878998</v>
      </c>
      <c r="AC169">
        <v>0.63785015583945515</v>
      </c>
      <c r="AD169">
        <v>0.57340554276322442</v>
      </c>
      <c r="AE169">
        <v>256.15638380071005</v>
      </c>
      <c r="AF169">
        <v>1241.7220795613352</v>
      </c>
      <c r="AG169">
        <v>1816.6479005273147</v>
      </c>
      <c r="AH169">
        <v>12719.185991573011</v>
      </c>
      <c r="AI169">
        <v>10342.379107690193</v>
      </c>
      <c r="AJ169">
        <v>40892.28237623124</v>
      </c>
      <c r="AK169">
        <v>17314.474833007465</v>
      </c>
      <c r="AL169">
        <v>2301.9283237690897</v>
      </c>
      <c r="AM169">
        <v>398.30041022190937</v>
      </c>
      <c r="AO169">
        <v>44560.209122664113</v>
      </c>
      <c r="AP169">
        <v>13.029964785850815</v>
      </c>
      <c r="AQ169">
        <v>46982.463504851832</v>
      </c>
      <c r="AR169">
        <v>13.171159535635862</v>
      </c>
      <c r="AS169" s="2">
        <f t="shared" si="14"/>
        <v>2422.2543821877189</v>
      </c>
      <c r="AT169" s="2">
        <f t="shared" si="15"/>
        <v>0.14119474978504698</v>
      </c>
      <c r="AV169">
        <f t="shared" si="16"/>
        <v>1258436.2694624173</v>
      </c>
      <c r="AW169">
        <f t="shared" si="17"/>
        <v>1270133.4900587343</v>
      </c>
      <c r="AY169">
        <f t="shared" si="18"/>
        <v>0</v>
      </c>
      <c r="AZ169">
        <f t="shared" si="19"/>
        <v>1</v>
      </c>
    </row>
    <row r="170" spans="1:52" x14ac:dyDescent="0.2">
      <c r="A170">
        <f t="shared" si="20"/>
        <v>166</v>
      </c>
      <c r="B170">
        <v>2.5176389536416766E-2</v>
      </c>
      <c r="C170">
        <v>4.2772735946934204E-2</v>
      </c>
      <c r="D170">
        <v>3.6235723412400569E-2</v>
      </c>
      <c r="E170">
        <v>7.2832250503681566E-3</v>
      </c>
      <c r="F170">
        <v>3.3631103641826865E-3</v>
      </c>
      <c r="G170">
        <v>1.965791949999296E-2</v>
      </c>
      <c r="H170">
        <v>2.7778583307206596E-2</v>
      </c>
      <c r="I170">
        <v>0.13060787099067517</v>
      </c>
      <c r="J170">
        <v>0</v>
      </c>
      <c r="K170">
        <v>0.4728166676081117</v>
      </c>
      <c r="L170">
        <v>0.11912107285078687</v>
      </c>
      <c r="M170">
        <v>0.88087892714921312</v>
      </c>
      <c r="N170">
        <v>5.5231371906649999E-2</v>
      </c>
      <c r="O170" s="72">
        <v>0.99997355264642429</v>
      </c>
      <c r="P170">
        <v>0.99629308346094159</v>
      </c>
      <c r="Q170">
        <v>0.96215777038042183</v>
      </c>
      <c r="R170">
        <v>0.50405775183826307</v>
      </c>
      <c r="S170">
        <v>0.41174965291713672</v>
      </c>
      <c r="T170">
        <v>0.27473133756140267</v>
      </c>
      <c r="U170">
        <v>0.76526259575575728</v>
      </c>
      <c r="V170">
        <v>0.71865323132685233</v>
      </c>
      <c r="W170">
        <v>0.57340781960218534</v>
      </c>
      <c r="X170">
        <v>0.50890520276783746</v>
      </c>
      <c r="Y170">
        <v>0.41154487451035299</v>
      </c>
      <c r="Z170">
        <v>0.42886519720003879</v>
      </c>
      <c r="AA170">
        <v>0.66235326509359083</v>
      </c>
      <c r="AB170">
        <v>0.84820894705593308</v>
      </c>
      <c r="AC170">
        <v>0.64136579818848594</v>
      </c>
      <c r="AD170">
        <v>0.58048572341019522</v>
      </c>
      <c r="AE170">
        <v>173.4866377269386</v>
      </c>
      <c r="AF170">
        <v>891.53691489018729</v>
      </c>
      <c r="AG170">
        <v>2032.2454697394087</v>
      </c>
      <c r="AH170">
        <v>13294.511113429091</v>
      </c>
      <c r="AI170">
        <v>13289.209886688537</v>
      </c>
      <c r="AJ170">
        <v>41835.240295425581</v>
      </c>
      <c r="AK170">
        <v>16517.168681118288</v>
      </c>
      <c r="AL170">
        <v>1856.8592322789768</v>
      </c>
      <c r="AM170">
        <v>409.11026781438136</v>
      </c>
      <c r="AO170">
        <v>41967.902851343031</v>
      </c>
      <c r="AP170">
        <v>13.55772765556512</v>
      </c>
      <c r="AQ170">
        <v>47009.978807865504</v>
      </c>
      <c r="AR170">
        <v>13.728700320305235</v>
      </c>
      <c r="AS170" s="2">
        <f t="shared" si="14"/>
        <v>5042.0759565224726</v>
      </c>
      <c r="AT170" s="2">
        <f t="shared" si="15"/>
        <v>0.17097266474011441</v>
      </c>
      <c r="AV170">
        <f t="shared" si="16"/>
        <v>1313804.862705169</v>
      </c>
      <c r="AW170">
        <f t="shared" si="17"/>
        <v>1325860.0532226581</v>
      </c>
      <c r="AY170">
        <f t="shared" si="18"/>
        <v>0</v>
      </c>
      <c r="AZ170">
        <f t="shared" si="19"/>
        <v>1</v>
      </c>
    </row>
    <row r="171" spans="1:52" x14ac:dyDescent="0.2">
      <c r="A171">
        <f t="shared" si="20"/>
        <v>167</v>
      </c>
      <c r="B171">
        <v>1.7491768541019061E-2</v>
      </c>
      <c r="C171">
        <v>4.1499248110157705E-2</v>
      </c>
      <c r="D171">
        <v>5.4623362939399733E-2</v>
      </c>
      <c r="E171">
        <v>8.2498624704266995E-3</v>
      </c>
      <c r="F171">
        <v>3.4550330964192577E-3</v>
      </c>
      <c r="G171">
        <v>1.6703630634633093E-2</v>
      </c>
      <c r="H171">
        <v>3.0872135890115615E-2</v>
      </c>
      <c r="I171">
        <v>0.13115235810434134</v>
      </c>
      <c r="J171">
        <v>0</v>
      </c>
      <c r="K171">
        <v>0.43088073829680273</v>
      </c>
      <c r="L171">
        <v>0.23526404905428988</v>
      </c>
      <c r="M171">
        <v>0.76473595094571012</v>
      </c>
      <c r="N171">
        <v>6.3656375240651486E-2</v>
      </c>
      <c r="O171" s="72">
        <v>0.99998071290743629</v>
      </c>
      <c r="P171">
        <v>0.99404306303912093</v>
      </c>
      <c r="Q171">
        <v>0.9709726984659699</v>
      </c>
      <c r="R171">
        <v>0.48629328049342879</v>
      </c>
      <c r="S171">
        <v>0.44552711031771175</v>
      </c>
      <c r="T171">
        <v>0.17854445497108606</v>
      </c>
      <c r="U171">
        <v>0.72988228174292713</v>
      </c>
      <c r="V171">
        <v>0.65180398557456587</v>
      </c>
      <c r="W171">
        <v>0.53200333649646114</v>
      </c>
      <c r="X171">
        <v>0.43761093127558781</v>
      </c>
      <c r="Y171">
        <v>0.45512189561631899</v>
      </c>
      <c r="Z171">
        <v>0.40964909467563332</v>
      </c>
      <c r="AA171">
        <v>0.66450654879103188</v>
      </c>
      <c r="AB171">
        <v>0.78106006061718602</v>
      </c>
      <c r="AC171">
        <v>0.72591428228323351</v>
      </c>
      <c r="AD171">
        <v>0.61204840404700245</v>
      </c>
      <c r="AE171">
        <v>216.84606299189284</v>
      </c>
      <c r="AF171">
        <v>1224.0680594328051</v>
      </c>
      <c r="AG171">
        <v>2243.0433530312557</v>
      </c>
      <c r="AH171">
        <v>19589.571413793285</v>
      </c>
      <c r="AI171">
        <v>15192.20879492207</v>
      </c>
      <c r="AJ171">
        <v>44010.504755102593</v>
      </c>
      <c r="AK171">
        <v>17012.358345110322</v>
      </c>
      <c r="AL171">
        <v>1983.2488817192989</v>
      </c>
      <c r="AM171">
        <v>425.75716019682039</v>
      </c>
      <c r="AO171">
        <v>45473.38465356797</v>
      </c>
      <c r="AP171">
        <v>12.779878588828346</v>
      </c>
      <c r="AQ171">
        <v>47541.826725962681</v>
      </c>
      <c r="AR171">
        <v>12.991244009822999</v>
      </c>
      <c r="AS171" s="2">
        <f t="shared" si="14"/>
        <v>2068.4420723947114</v>
      </c>
      <c r="AT171" s="2">
        <f t="shared" si="15"/>
        <v>0.21136542099465316</v>
      </c>
      <c r="AV171">
        <f t="shared" si="16"/>
        <v>1232514.4742292666</v>
      </c>
      <c r="AW171">
        <f t="shared" si="17"/>
        <v>1251582.5742563372</v>
      </c>
      <c r="AY171">
        <f t="shared" si="18"/>
        <v>0</v>
      </c>
      <c r="AZ171">
        <f t="shared" si="19"/>
        <v>1</v>
      </c>
    </row>
    <row r="172" spans="1:52" x14ac:dyDescent="0.2">
      <c r="A172">
        <f t="shared" si="20"/>
        <v>168</v>
      </c>
      <c r="B172">
        <v>2.0362393790074672E-2</v>
      </c>
      <c r="C172">
        <v>3.4643908493840615E-2</v>
      </c>
      <c r="D172">
        <v>3.8153278519233731E-2</v>
      </c>
      <c r="E172">
        <v>2.2910994378510963E-2</v>
      </c>
      <c r="F172">
        <v>3.3100119775380361E-3</v>
      </c>
      <c r="G172">
        <v>8.2978265436163511E-3</v>
      </c>
      <c r="H172">
        <v>3.9483143946457799E-2</v>
      </c>
      <c r="I172">
        <v>0.13642158759204903</v>
      </c>
      <c r="J172">
        <v>0</v>
      </c>
      <c r="K172">
        <v>0.4230417371732742</v>
      </c>
      <c r="L172">
        <v>0.22373189550018713</v>
      </c>
      <c r="M172">
        <v>0.77626810449981287</v>
      </c>
      <c r="N172">
        <v>5.4869612374456873E-2</v>
      </c>
      <c r="O172" s="72">
        <v>0.94115848743052222</v>
      </c>
      <c r="P172">
        <v>0.81716816313569929</v>
      </c>
      <c r="Q172">
        <v>0.92485560600302741</v>
      </c>
      <c r="R172">
        <v>0.47633918140357323</v>
      </c>
      <c r="S172">
        <v>0.39980193529211361</v>
      </c>
      <c r="T172">
        <v>0.20357860377712556</v>
      </c>
      <c r="U172">
        <v>0.77657568181329051</v>
      </c>
      <c r="V172">
        <v>0.64266996774718588</v>
      </c>
      <c r="W172">
        <v>0.5933788069790884</v>
      </c>
      <c r="X172">
        <v>0.47611336996569553</v>
      </c>
      <c r="Y172">
        <v>0.46321526355393672</v>
      </c>
      <c r="Z172">
        <v>0.47097823191342092</v>
      </c>
      <c r="AA172">
        <v>0.64981865369840563</v>
      </c>
      <c r="AB172">
        <v>0.84360742477282213</v>
      </c>
      <c r="AC172">
        <v>0.7413967529732306</v>
      </c>
      <c r="AD172">
        <v>0.61408688902666686</v>
      </c>
      <c r="AE172">
        <v>223.172484464375</v>
      </c>
      <c r="AF172">
        <v>1023.1260527877204</v>
      </c>
      <c r="AG172">
        <v>1230.8538302855409</v>
      </c>
      <c r="AH172">
        <v>13776.85507530535</v>
      </c>
      <c r="AI172">
        <v>14320.107425292446</v>
      </c>
      <c r="AJ172">
        <v>39295.637483809274</v>
      </c>
      <c r="AK172">
        <v>11782.010399274117</v>
      </c>
      <c r="AL172">
        <v>1919.3525507622351</v>
      </c>
      <c r="AM172">
        <v>358.45743282897541</v>
      </c>
      <c r="AO172">
        <v>43754.141676103231</v>
      </c>
      <c r="AP172">
        <v>13.667675018386074</v>
      </c>
      <c r="AQ172">
        <v>53315.973761963265</v>
      </c>
      <c r="AR172">
        <v>13.870734983658386</v>
      </c>
      <c r="AS172" s="2">
        <f t="shared" si="14"/>
        <v>9561.8320858600346</v>
      </c>
      <c r="AT172" s="2">
        <f t="shared" si="15"/>
        <v>0.20305996527231152</v>
      </c>
      <c r="AV172">
        <f t="shared" si="16"/>
        <v>1323013.3601625043</v>
      </c>
      <c r="AW172">
        <f t="shared" si="17"/>
        <v>1333757.5246038754</v>
      </c>
      <c r="AY172">
        <f t="shared" si="18"/>
        <v>0</v>
      </c>
      <c r="AZ172">
        <f t="shared" si="19"/>
        <v>1</v>
      </c>
    </row>
    <row r="173" spans="1:52" x14ac:dyDescent="0.2">
      <c r="A173">
        <f t="shared" si="20"/>
        <v>169</v>
      </c>
      <c r="B173">
        <v>2.4874457196885635E-2</v>
      </c>
      <c r="C173">
        <v>4.5488294160729859E-2</v>
      </c>
      <c r="D173">
        <v>3.9443024599422949E-2</v>
      </c>
      <c r="E173">
        <v>1.7295314928070351E-3</v>
      </c>
      <c r="F173">
        <v>3.4434333572763709E-3</v>
      </c>
      <c r="G173">
        <v>3.5933201537990721E-3</v>
      </c>
      <c r="H173">
        <v>2.1254972076443515E-2</v>
      </c>
      <c r="I173">
        <v>0.12614340492336806</v>
      </c>
      <c r="J173">
        <v>0</v>
      </c>
      <c r="K173">
        <v>0.43607648418924339</v>
      </c>
      <c r="L173">
        <v>0.2493804631459684</v>
      </c>
      <c r="M173">
        <v>0.7506195368540316</v>
      </c>
      <c r="N173">
        <v>6.0100852297485741E-2</v>
      </c>
      <c r="O173" s="72">
        <v>0.99938046468093178</v>
      </c>
      <c r="P173">
        <v>0.99950136968174896</v>
      </c>
      <c r="Q173">
        <v>0.97099470364180496</v>
      </c>
      <c r="R173">
        <v>0.53105415185496541</v>
      </c>
      <c r="S173">
        <v>0.41344100555128771</v>
      </c>
      <c r="T173">
        <v>0.24946510803935806</v>
      </c>
      <c r="U173">
        <v>0.76097340214972131</v>
      </c>
      <c r="V173">
        <v>0.67436807828429379</v>
      </c>
      <c r="W173">
        <v>0.49267881032992583</v>
      </c>
      <c r="X173">
        <v>0.46991507039703762</v>
      </c>
      <c r="Y173">
        <v>0.43962143844210583</v>
      </c>
      <c r="Z173">
        <v>0.42496689601493237</v>
      </c>
      <c r="AA173">
        <v>0.59617690488359865</v>
      </c>
      <c r="AB173">
        <v>0.76648447884486348</v>
      </c>
      <c r="AC173">
        <v>0.67156148453769604</v>
      </c>
      <c r="AD173">
        <v>0.61220544253315945</v>
      </c>
      <c r="AE173">
        <v>163.72284463793645</v>
      </c>
      <c r="AF173">
        <v>1013.5189494311468</v>
      </c>
      <c r="AG173">
        <v>2128.2001690710599</v>
      </c>
      <c r="AH173">
        <v>9471.0675286138594</v>
      </c>
      <c r="AI173">
        <v>15753.360838922974</v>
      </c>
      <c r="AJ173">
        <v>43132.567651265417</v>
      </c>
      <c r="AK173">
        <v>16909.332055619238</v>
      </c>
      <c r="AL173">
        <v>1715.5486662178694</v>
      </c>
      <c r="AM173">
        <v>290.74101909841846</v>
      </c>
      <c r="AO173">
        <v>39373.602135427915</v>
      </c>
      <c r="AP173">
        <v>12.573572029876976</v>
      </c>
      <c r="AQ173">
        <v>44977.921318920511</v>
      </c>
      <c r="AR173">
        <v>12.692638143705896</v>
      </c>
      <c r="AS173" s="2">
        <f t="shared" si="14"/>
        <v>5604.3191834925965</v>
      </c>
      <c r="AT173" s="2">
        <f t="shared" si="15"/>
        <v>0.11906611382891974</v>
      </c>
      <c r="AV173">
        <f t="shared" si="16"/>
        <v>1217983.6008522697</v>
      </c>
      <c r="AW173">
        <f t="shared" si="17"/>
        <v>1224285.893051669</v>
      </c>
      <c r="AY173">
        <f t="shared" si="18"/>
        <v>0</v>
      </c>
      <c r="AZ173">
        <f t="shared" si="19"/>
        <v>1</v>
      </c>
    </row>
    <row r="174" spans="1:52" x14ac:dyDescent="0.2">
      <c r="A174">
        <f t="shared" si="20"/>
        <v>170</v>
      </c>
      <c r="B174">
        <v>2.3817053337679521E-2</v>
      </c>
      <c r="C174">
        <v>3.5510801628030282E-2</v>
      </c>
      <c r="D174">
        <v>3.4911368035439802E-2</v>
      </c>
      <c r="E174">
        <v>2.5303780535699039E-2</v>
      </c>
      <c r="F174">
        <v>3.2434384632519229E-3</v>
      </c>
      <c r="G174">
        <v>6.5344750492932081E-3</v>
      </c>
      <c r="H174">
        <v>1.6093425372954686E-2</v>
      </c>
      <c r="I174">
        <v>0.12874037909963928</v>
      </c>
      <c r="J174">
        <v>0</v>
      </c>
      <c r="K174">
        <v>0.42667342641032707</v>
      </c>
      <c r="L174">
        <v>0.16346834486339679</v>
      </c>
      <c r="M174">
        <v>0.83653165513660321</v>
      </c>
      <c r="N174">
        <v>3.623638839738804E-2</v>
      </c>
      <c r="O174" s="72">
        <v>0.98951179888114571</v>
      </c>
      <c r="P174">
        <v>0.98007712915519607</v>
      </c>
      <c r="Q174">
        <v>0.98497567415089726</v>
      </c>
      <c r="R174">
        <v>0.52446157715350461</v>
      </c>
      <c r="S174">
        <v>0.40279316612048333</v>
      </c>
      <c r="T174">
        <v>0.18190902315767188</v>
      </c>
      <c r="U174">
        <v>0.77597469669208263</v>
      </c>
      <c r="V174">
        <v>0.61074578249512401</v>
      </c>
      <c r="W174">
        <v>0.47750387157420993</v>
      </c>
      <c r="X174">
        <v>0.46933628969205976</v>
      </c>
      <c r="Y174">
        <v>0.48807162776941815</v>
      </c>
      <c r="Z174">
        <v>0.43279492034501188</v>
      </c>
      <c r="AA174">
        <v>0.66117084048432173</v>
      </c>
      <c r="AB174">
        <v>0.78378421411562427</v>
      </c>
      <c r="AC174">
        <v>0.65656962785203721</v>
      </c>
      <c r="AD174">
        <v>0.62811655327543592</v>
      </c>
      <c r="AE174">
        <v>302.09577700532338</v>
      </c>
      <c r="AF174">
        <v>1112.8157567940914</v>
      </c>
      <c r="AG174">
        <v>1951.7341199334146</v>
      </c>
      <c r="AH174">
        <v>13009.759864568008</v>
      </c>
      <c r="AI174">
        <v>12707.121643081869</v>
      </c>
      <c r="AJ174">
        <v>39337.895865441722</v>
      </c>
      <c r="AK174">
        <v>9001.1886501443641</v>
      </c>
      <c r="AL174">
        <v>2805.9834067892721</v>
      </c>
      <c r="AM174">
        <v>442.64812753630923</v>
      </c>
      <c r="AO174">
        <v>43551.568880887724</v>
      </c>
      <c r="AP174">
        <v>12.715943216811183</v>
      </c>
      <c r="AQ174">
        <v>48125.549140980569</v>
      </c>
      <c r="AR174">
        <v>12.927666704398433</v>
      </c>
      <c r="AS174" s="2">
        <f t="shared" si="14"/>
        <v>4573.9802600928451</v>
      </c>
      <c r="AT174" s="2">
        <f t="shared" si="15"/>
        <v>0.21172348758724979</v>
      </c>
      <c r="AV174">
        <f t="shared" si="16"/>
        <v>1228042.7528002306</v>
      </c>
      <c r="AW174">
        <f t="shared" si="17"/>
        <v>1244641.1212988629</v>
      </c>
      <c r="AY174">
        <f t="shared" si="18"/>
        <v>0</v>
      </c>
      <c r="AZ174">
        <f t="shared" si="19"/>
        <v>1</v>
      </c>
    </row>
    <row r="175" spans="1:52" x14ac:dyDescent="0.2">
      <c r="A175">
        <f t="shared" si="20"/>
        <v>171</v>
      </c>
      <c r="B175">
        <v>2.6160461897937193E-2</v>
      </c>
      <c r="C175">
        <v>3.2278578326684695E-2</v>
      </c>
      <c r="D175">
        <v>5.9558924808824076E-2</v>
      </c>
      <c r="E175">
        <v>1.9794608314238515E-2</v>
      </c>
      <c r="F175">
        <v>3.3550098699638431E-3</v>
      </c>
      <c r="G175">
        <v>7.3396861440376679E-3</v>
      </c>
      <c r="H175">
        <v>2.6371855604972058E-2</v>
      </c>
      <c r="I175">
        <v>0.14762512576031661</v>
      </c>
      <c r="J175">
        <v>0</v>
      </c>
      <c r="K175">
        <v>0.3558875707671012</v>
      </c>
      <c r="L175">
        <v>0.25994993914218711</v>
      </c>
      <c r="M175">
        <v>0.74005006085781289</v>
      </c>
      <c r="N175">
        <v>6.3304556019374791E-2</v>
      </c>
      <c r="O175" s="72">
        <v>0.99984094660384615</v>
      </c>
      <c r="P175">
        <v>0.95744065015494106</v>
      </c>
      <c r="Q175">
        <v>0.93606742492409811</v>
      </c>
      <c r="R175">
        <v>0.54822942373921879</v>
      </c>
      <c r="S175">
        <v>0.44908279444786148</v>
      </c>
      <c r="T175">
        <v>0.28319165065755514</v>
      </c>
      <c r="U175">
        <v>0.75285915242731261</v>
      </c>
      <c r="V175">
        <v>0.62684770687391533</v>
      </c>
      <c r="W175">
        <v>0.63041521694116653</v>
      </c>
      <c r="X175">
        <v>0.40122489567658637</v>
      </c>
      <c r="Y175">
        <v>0.45368733644609882</v>
      </c>
      <c r="Z175">
        <v>0.46094292265383796</v>
      </c>
      <c r="AA175">
        <v>0.75048866802209702</v>
      </c>
      <c r="AB175">
        <v>0.80384783732460352</v>
      </c>
      <c r="AC175">
        <v>0.65370167613807573</v>
      </c>
      <c r="AD175">
        <v>0.54320055803340861</v>
      </c>
      <c r="AE175">
        <v>270.16437028380437</v>
      </c>
      <c r="AF175">
        <v>953.90462712626618</v>
      </c>
      <c r="AG175">
        <v>1793.0004827901848</v>
      </c>
      <c r="AH175">
        <v>16920.099366039405</v>
      </c>
      <c r="AI175">
        <v>12336.6619990578</v>
      </c>
      <c r="AJ175">
        <v>46529.820298094732</v>
      </c>
      <c r="AK175">
        <v>12849.649083841538</v>
      </c>
      <c r="AL175">
        <v>1708.7997485090889</v>
      </c>
      <c r="AM175">
        <v>425.79509007893273</v>
      </c>
      <c r="AO175">
        <v>40073.466262252186</v>
      </c>
      <c r="AP175">
        <v>12.92598764923677</v>
      </c>
      <c r="AQ175">
        <v>48751.652330284945</v>
      </c>
      <c r="AR175">
        <v>13.07691642805837</v>
      </c>
      <c r="AS175" s="2">
        <f t="shared" si="14"/>
        <v>8678.1860680327591</v>
      </c>
      <c r="AT175" s="2">
        <f t="shared" si="15"/>
        <v>0.15092877882159961</v>
      </c>
      <c r="AV175">
        <f t="shared" si="16"/>
        <v>1252525.2986614248</v>
      </c>
      <c r="AW175">
        <f t="shared" si="17"/>
        <v>1258939.9904755522</v>
      </c>
      <c r="AY175">
        <f t="shared" si="18"/>
        <v>0</v>
      </c>
      <c r="AZ175">
        <f t="shared" si="19"/>
        <v>1</v>
      </c>
    </row>
    <row r="176" spans="1:52" x14ac:dyDescent="0.2">
      <c r="A176">
        <f t="shared" si="20"/>
        <v>172</v>
      </c>
      <c r="B176">
        <v>2.9600965718510008E-2</v>
      </c>
      <c r="C176">
        <v>4.835881724965807E-2</v>
      </c>
      <c r="D176">
        <v>3.5795944087256157E-2</v>
      </c>
      <c r="E176">
        <v>5.2009097732763883E-3</v>
      </c>
      <c r="F176">
        <v>3.301766225007306E-3</v>
      </c>
      <c r="G176">
        <v>2.99997747734275E-3</v>
      </c>
      <c r="H176">
        <v>1.7821440109269789E-2</v>
      </c>
      <c r="I176">
        <v>0.11413980780759182</v>
      </c>
      <c r="J176">
        <v>0</v>
      </c>
      <c r="K176">
        <v>0.38716946171770383</v>
      </c>
      <c r="L176">
        <v>0.14546923801726411</v>
      </c>
      <c r="M176">
        <v>0.85453076198273592</v>
      </c>
      <c r="N176">
        <v>5.930412517600725E-2</v>
      </c>
      <c r="O176" s="72">
        <v>0.99942726406149185</v>
      </c>
      <c r="P176">
        <v>0.9983597470844251</v>
      </c>
      <c r="Q176">
        <v>0.99754771668500919</v>
      </c>
      <c r="R176">
        <v>0.48289283265838556</v>
      </c>
      <c r="S176">
        <v>0.32078871802505871</v>
      </c>
      <c r="T176">
        <v>0.28889013589635226</v>
      </c>
      <c r="U176">
        <v>0.76008275471103737</v>
      </c>
      <c r="V176">
        <v>0.6501859686750171</v>
      </c>
      <c r="W176">
        <v>0.54641484253456318</v>
      </c>
      <c r="X176">
        <v>0.46249104956027487</v>
      </c>
      <c r="Y176">
        <v>0.40937786522401676</v>
      </c>
      <c r="Z176">
        <v>0.4028921994653738</v>
      </c>
      <c r="AA176">
        <v>0.62756557584514594</v>
      </c>
      <c r="AB176">
        <v>0.79417605222403764</v>
      </c>
      <c r="AC176">
        <v>0.75439628301166084</v>
      </c>
      <c r="AD176">
        <v>0.58126221871054484</v>
      </c>
      <c r="AE176">
        <v>224.75088466251532</v>
      </c>
      <c r="AF176">
        <v>1058.3118024506266</v>
      </c>
      <c r="AG176">
        <v>1068.9552080403298</v>
      </c>
      <c r="AH176">
        <v>10847.106618807369</v>
      </c>
      <c r="AI176">
        <v>10037.612739192895</v>
      </c>
      <c r="AJ176">
        <v>39707.473507016679</v>
      </c>
      <c r="AK176">
        <v>9725.1173877558194</v>
      </c>
      <c r="AL176">
        <v>2138.0804290735696</v>
      </c>
      <c r="AM176">
        <v>413.12029081616049</v>
      </c>
      <c r="AO176">
        <v>43924.596210296753</v>
      </c>
      <c r="AP176">
        <v>13.03324622041373</v>
      </c>
      <c r="AQ176">
        <v>46837.102792543956</v>
      </c>
      <c r="AR176">
        <v>13.186508152001752</v>
      </c>
      <c r="AS176" s="2">
        <f t="shared" si="14"/>
        <v>2912.5065822472025</v>
      </c>
      <c r="AT176" s="2">
        <f t="shared" si="15"/>
        <v>0.15326193158802148</v>
      </c>
      <c r="AV176">
        <f t="shared" si="16"/>
        <v>1259400.0258310763</v>
      </c>
      <c r="AW176">
        <f t="shared" si="17"/>
        <v>1271813.7124076311</v>
      </c>
      <c r="AY176">
        <f t="shared" si="18"/>
        <v>0</v>
      </c>
      <c r="AZ176">
        <f t="shared" si="19"/>
        <v>1</v>
      </c>
    </row>
    <row r="177" spans="1:52" x14ac:dyDescent="0.2">
      <c r="A177">
        <f t="shared" si="20"/>
        <v>173</v>
      </c>
      <c r="B177">
        <v>3.3355790255475082E-2</v>
      </c>
      <c r="C177">
        <v>3.7230805042241299E-2</v>
      </c>
      <c r="D177">
        <v>4.1621409736891879E-2</v>
      </c>
      <c r="E177">
        <v>2.1793353871781385E-2</v>
      </c>
      <c r="F177">
        <v>3.3334334585195819E-3</v>
      </c>
      <c r="G177">
        <v>1.5901415533468355E-2</v>
      </c>
      <c r="H177">
        <v>4.156845619934002E-2</v>
      </c>
      <c r="I177">
        <v>0.12528415889092603</v>
      </c>
      <c r="J177">
        <v>0</v>
      </c>
      <c r="K177">
        <v>0.40686911398816639</v>
      </c>
      <c r="L177">
        <v>0.20134669331120283</v>
      </c>
      <c r="M177">
        <v>0.79865330668879719</v>
      </c>
      <c r="N177">
        <v>7.4878745881112319E-2</v>
      </c>
      <c r="O177" s="72">
        <v>0.99587612116727731</v>
      </c>
      <c r="P177">
        <v>0.97220205865569098</v>
      </c>
      <c r="Q177">
        <v>0.99162776951301523</v>
      </c>
      <c r="R177">
        <v>0.53263777945583457</v>
      </c>
      <c r="S177">
        <v>0.38611197269318198</v>
      </c>
      <c r="T177">
        <v>0.2362162363782393</v>
      </c>
      <c r="U177">
        <v>0.77476357147018926</v>
      </c>
      <c r="V177">
        <v>0.68085512468377929</v>
      </c>
      <c r="W177">
        <v>0.59969606765155903</v>
      </c>
      <c r="X177">
        <v>0.43415708100780254</v>
      </c>
      <c r="Y177">
        <v>0.42328368899825947</v>
      </c>
      <c r="Z177">
        <v>0.44499344127679613</v>
      </c>
      <c r="AA177">
        <v>0.71874584080854764</v>
      </c>
      <c r="AB177">
        <v>0.90449768966286104</v>
      </c>
      <c r="AC177">
        <v>0.73811686407942734</v>
      </c>
      <c r="AD177">
        <v>0.65584013683207121</v>
      </c>
      <c r="AE177">
        <v>202.84724613122296</v>
      </c>
      <c r="AF177">
        <v>1083.346053864545</v>
      </c>
      <c r="AG177">
        <v>1681.7591923091941</v>
      </c>
      <c r="AH177">
        <v>14440.022500275796</v>
      </c>
      <c r="AI177">
        <v>10509.633981714167</v>
      </c>
      <c r="AJ177">
        <v>39662.180798466426</v>
      </c>
      <c r="AK177">
        <v>16466.628450710148</v>
      </c>
      <c r="AL177">
        <v>2487.3354756760009</v>
      </c>
      <c r="AM177">
        <v>360.56024012224731</v>
      </c>
      <c r="AO177">
        <v>40956.96526511824</v>
      </c>
      <c r="AP177">
        <v>14.503333600609309</v>
      </c>
      <c r="AQ177">
        <v>46970.427627057237</v>
      </c>
      <c r="AR177">
        <v>14.782690370077439</v>
      </c>
      <c r="AS177" s="2">
        <f t="shared" si="14"/>
        <v>6013.4623619389968</v>
      </c>
      <c r="AT177" s="2">
        <f t="shared" si="15"/>
        <v>0.27935676946813004</v>
      </c>
      <c r="AV177">
        <f t="shared" si="16"/>
        <v>1409376.3947958127</v>
      </c>
      <c r="AW177">
        <f t="shared" si="17"/>
        <v>1431298.6093806867</v>
      </c>
      <c r="AY177">
        <f t="shared" si="18"/>
        <v>0</v>
      </c>
      <c r="AZ177">
        <f t="shared" si="19"/>
        <v>1</v>
      </c>
    </row>
    <row r="178" spans="1:52" x14ac:dyDescent="0.2">
      <c r="A178">
        <f t="shared" si="20"/>
        <v>174</v>
      </c>
      <c r="B178">
        <v>2.7745235269408419E-2</v>
      </c>
      <c r="C178">
        <v>3.7140662833318627E-2</v>
      </c>
      <c r="D178">
        <v>5.2049924774332901E-2</v>
      </c>
      <c r="E178">
        <v>3.3773287712805522E-2</v>
      </c>
      <c r="F178">
        <v>3.2682313534770457E-3</v>
      </c>
      <c r="G178">
        <v>1.1171601069827876E-2</v>
      </c>
      <c r="H178">
        <v>5.0295504187394258E-2</v>
      </c>
      <c r="I178">
        <v>0.13464394226912069</v>
      </c>
      <c r="J178">
        <v>0</v>
      </c>
      <c r="K178">
        <v>0.42292775743350502</v>
      </c>
      <c r="L178">
        <v>0.28983237190117528</v>
      </c>
      <c r="M178">
        <v>0.71016762809882472</v>
      </c>
      <c r="N178">
        <v>5.686236734668626E-2</v>
      </c>
      <c r="O178" s="72">
        <v>0.99808154443659092</v>
      </c>
      <c r="P178">
        <v>0.9987173807346279</v>
      </c>
      <c r="Q178">
        <v>0.92899044781176676</v>
      </c>
      <c r="R178">
        <v>0.50119258992295812</v>
      </c>
      <c r="S178">
        <v>0.32453648654803935</v>
      </c>
      <c r="T178">
        <v>0.13306961743540113</v>
      </c>
      <c r="U178">
        <v>0.77547411734821192</v>
      </c>
      <c r="V178">
        <v>0.61701272600009704</v>
      </c>
      <c r="W178">
        <v>0.46312301496701225</v>
      </c>
      <c r="X178">
        <v>0.45844162869718585</v>
      </c>
      <c r="Y178">
        <v>0.49149236612346803</v>
      </c>
      <c r="Z178">
        <v>0.48294582086337945</v>
      </c>
      <c r="AA178">
        <v>0.69701296251202938</v>
      </c>
      <c r="AB178">
        <v>0.80923635253469639</v>
      </c>
      <c r="AC178">
        <v>0.77826278913665281</v>
      </c>
      <c r="AD178">
        <v>0.48792321884406747</v>
      </c>
      <c r="AE178">
        <v>190.04383343896203</v>
      </c>
      <c r="AF178">
        <v>963.13460357022575</v>
      </c>
      <c r="AG178">
        <v>1833.3412325614561</v>
      </c>
      <c r="AH178">
        <v>15283.727181645965</v>
      </c>
      <c r="AI178">
        <v>8594.2166468400446</v>
      </c>
      <c r="AJ178">
        <v>33263.12932780273</v>
      </c>
      <c r="AK178">
        <v>18609.350102833017</v>
      </c>
      <c r="AL178">
        <v>2316.4355650856196</v>
      </c>
      <c r="AM178">
        <v>336.11353076027473</v>
      </c>
      <c r="AO178">
        <v>45175.91261069927</v>
      </c>
      <c r="AP178">
        <v>13.042509286745231</v>
      </c>
      <c r="AQ178">
        <v>45949.271600701541</v>
      </c>
      <c r="AR178">
        <v>13.307113386239946</v>
      </c>
      <c r="AS178" s="2">
        <f t="shared" si="14"/>
        <v>773.35899000227073</v>
      </c>
      <c r="AT178" s="2">
        <f t="shared" si="15"/>
        <v>0.26460409949471497</v>
      </c>
      <c r="AV178">
        <f t="shared" si="16"/>
        <v>1259075.0160638238</v>
      </c>
      <c r="AW178">
        <f t="shared" si="17"/>
        <v>1284762.0670232929</v>
      </c>
      <c r="AY178">
        <f t="shared" si="18"/>
        <v>0</v>
      </c>
      <c r="AZ178">
        <f t="shared" si="19"/>
        <v>1</v>
      </c>
    </row>
    <row r="179" spans="1:52" x14ac:dyDescent="0.2">
      <c r="A179">
        <f t="shared" si="20"/>
        <v>175</v>
      </c>
      <c r="B179">
        <v>2.475085824002413E-2</v>
      </c>
      <c r="C179">
        <v>4.0115969806412854E-2</v>
      </c>
      <c r="D179">
        <v>4.4650146282678382E-2</v>
      </c>
      <c r="E179">
        <v>5.1980909624777475E-3</v>
      </c>
      <c r="F179">
        <v>3.4603930114454062E-3</v>
      </c>
      <c r="G179">
        <v>3.0553288033397111E-3</v>
      </c>
      <c r="H179">
        <v>3.6598098718443994E-2</v>
      </c>
      <c r="I179">
        <v>0.12943964587142406</v>
      </c>
      <c r="J179">
        <v>0</v>
      </c>
      <c r="K179">
        <v>0.44277195303619088</v>
      </c>
      <c r="L179">
        <v>0.13868219713475138</v>
      </c>
      <c r="M179">
        <v>0.86131780286524862</v>
      </c>
      <c r="N179">
        <v>6.8509937049050396E-2</v>
      </c>
      <c r="O179" s="72">
        <v>0.99658708971110055</v>
      </c>
      <c r="P179">
        <v>0.99354491765079944</v>
      </c>
      <c r="Q179">
        <v>0.93701867518914628</v>
      </c>
      <c r="R179">
        <v>0.51756509944040097</v>
      </c>
      <c r="S179">
        <v>0.43963859899266511</v>
      </c>
      <c r="T179">
        <v>0.20113832329356796</v>
      </c>
      <c r="U179">
        <v>0.74088373503305049</v>
      </c>
      <c r="V179">
        <v>0.70236163705758492</v>
      </c>
      <c r="W179">
        <v>0.56001472870530289</v>
      </c>
      <c r="X179">
        <v>0.43304354702612363</v>
      </c>
      <c r="Y179">
        <v>0.43894675655062143</v>
      </c>
      <c r="Z179">
        <v>0.40527535541948662</v>
      </c>
      <c r="AA179">
        <v>0.65925601222836661</v>
      </c>
      <c r="AB179">
        <v>0.78029186056875566</v>
      </c>
      <c r="AC179">
        <v>0.75684150795607807</v>
      </c>
      <c r="AD179">
        <v>0.57750630776883805</v>
      </c>
      <c r="AE179">
        <v>169.80066751719082</v>
      </c>
      <c r="AF179">
        <v>979.23753136736934</v>
      </c>
      <c r="AG179">
        <v>1366.9073714327883</v>
      </c>
      <c r="AH179">
        <v>13657.633537855967</v>
      </c>
      <c r="AI179">
        <v>11890.081659050751</v>
      </c>
      <c r="AJ179">
        <v>49565.74658305425</v>
      </c>
      <c r="AK179">
        <v>12622.26553357999</v>
      </c>
      <c r="AL179">
        <v>1152.6346595927375</v>
      </c>
      <c r="AM179">
        <v>438.33657236791714</v>
      </c>
      <c r="AO179">
        <v>42856.836546757724</v>
      </c>
      <c r="AP179">
        <v>12.850688148322503</v>
      </c>
      <c r="AQ179">
        <v>47642.888041751808</v>
      </c>
      <c r="AR179">
        <v>12.989499687610865</v>
      </c>
      <c r="AS179" s="2">
        <f t="shared" si="14"/>
        <v>4786.0514949940844</v>
      </c>
      <c r="AT179" s="2">
        <f t="shared" si="15"/>
        <v>0.13881153928836198</v>
      </c>
      <c r="AV179">
        <f t="shared" si="16"/>
        <v>1242211.9782854926</v>
      </c>
      <c r="AW179">
        <f t="shared" si="17"/>
        <v>1251307.0807193345</v>
      </c>
      <c r="AY179">
        <f t="shared" si="18"/>
        <v>0</v>
      </c>
      <c r="AZ179">
        <f t="shared" si="19"/>
        <v>1</v>
      </c>
    </row>
    <row r="180" spans="1:52" x14ac:dyDescent="0.2">
      <c r="A180">
        <f t="shared" si="20"/>
        <v>176</v>
      </c>
      <c r="B180">
        <v>2.1186334864762173E-2</v>
      </c>
      <c r="C180">
        <v>4.6157320816956005E-2</v>
      </c>
      <c r="D180">
        <v>3.7379951464805522E-2</v>
      </c>
      <c r="E180">
        <v>2.8115430193250801E-2</v>
      </c>
      <c r="F180">
        <v>3.2960544437324558E-3</v>
      </c>
      <c r="G180">
        <v>1.602901232745646E-2</v>
      </c>
      <c r="H180">
        <v>3.978481395956579E-2</v>
      </c>
      <c r="I180">
        <v>0.11359901889961596</v>
      </c>
      <c r="J180">
        <v>0</v>
      </c>
      <c r="K180">
        <v>0.48333448556808845</v>
      </c>
      <c r="L180">
        <v>0.29961925475839024</v>
      </c>
      <c r="M180">
        <v>0.70038074524160976</v>
      </c>
      <c r="N180">
        <v>6.3846286116096218E-2</v>
      </c>
      <c r="O180" s="72">
        <v>0.9876764872325231</v>
      </c>
      <c r="P180">
        <v>0.99999819495812503</v>
      </c>
      <c r="Q180">
        <v>0.97757625724808495</v>
      </c>
      <c r="R180">
        <v>0.55447539162611759</v>
      </c>
      <c r="S180">
        <v>0.25212435947241263</v>
      </c>
      <c r="T180">
        <v>0.15909538581645155</v>
      </c>
      <c r="U180">
        <v>0.78176987368742989</v>
      </c>
      <c r="V180">
        <v>0.63848833329755983</v>
      </c>
      <c r="W180">
        <v>0.50464882828880109</v>
      </c>
      <c r="X180">
        <v>0.43260201067705306</v>
      </c>
      <c r="Y180">
        <v>0.45682687052386595</v>
      </c>
      <c r="Z180">
        <v>0.43992190881805521</v>
      </c>
      <c r="AA180">
        <v>0.66988637192930989</v>
      </c>
      <c r="AB180">
        <v>0.90804646120245924</v>
      </c>
      <c r="AC180">
        <v>0.74715586328820316</v>
      </c>
      <c r="AD180">
        <v>0.67073600362271035</v>
      </c>
      <c r="AE180">
        <v>148.60549616623155</v>
      </c>
      <c r="AF180">
        <v>1114.4206312170802</v>
      </c>
      <c r="AG180">
        <v>1876.1199754430947</v>
      </c>
      <c r="AH180">
        <v>12279.747204110894</v>
      </c>
      <c r="AI180">
        <v>13941.230362684504</v>
      </c>
      <c r="AJ180">
        <v>38985.753230554597</v>
      </c>
      <c r="AK180">
        <v>10990.461210157602</v>
      </c>
      <c r="AL180">
        <v>1811.5522666066324</v>
      </c>
      <c r="AM180">
        <v>318.87709597386424</v>
      </c>
      <c r="AO180">
        <v>43295.821607933474</v>
      </c>
      <c r="AP180">
        <v>14.493103924310766</v>
      </c>
      <c r="AQ180">
        <v>45456.403130291204</v>
      </c>
      <c r="AR180">
        <v>14.872847461968629</v>
      </c>
      <c r="AS180" s="2">
        <f t="shared" si="14"/>
        <v>2160.5815223577301</v>
      </c>
      <c r="AT180" s="2">
        <f t="shared" si="15"/>
        <v>0.37974353765786262</v>
      </c>
      <c r="AV180">
        <f t="shared" si="16"/>
        <v>1406014.5708231432</v>
      </c>
      <c r="AW180">
        <f t="shared" si="17"/>
        <v>1441828.3430665715</v>
      </c>
      <c r="AY180">
        <f t="shared" si="18"/>
        <v>0</v>
      </c>
      <c r="AZ180">
        <f t="shared" si="19"/>
        <v>1</v>
      </c>
    </row>
    <row r="181" spans="1:52" x14ac:dyDescent="0.2">
      <c r="A181">
        <f t="shared" si="20"/>
        <v>177</v>
      </c>
      <c r="B181">
        <v>2.7538860424813905E-2</v>
      </c>
      <c r="C181">
        <v>4.3423645445699544E-2</v>
      </c>
      <c r="D181">
        <v>2.6085408078357918E-2</v>
      </c>
      <c r="E181">
        <v>2.2706417285231373E-2</v>
      </c>
      <c r="F181">
        <v>3.4213988088286351E-3</v>
      </c>
      <c r="G181">
        <v>2.8713615352290223E-2</v>
      </c>
      <c r="H181">
        <v>3.6744616830124532E-2</v>
      </c>
      <c r="I181">
        <v>0.12744368397456954</v>
      </c>
      <c r="J181">
        <v>0</v>
      </c>
      <c r="K181">
        <v>0.43363787044943181</v>
      </c>
      <c r="L181">
        <v>0.17432129462610085</v>
      </c>
      <c r="M181">
        <v>0.8256787053738992</v>
      </c>
      <c r="N181">
        <v>5.4682110972424453E-2</v>
      </c>
      <c r="O181" s="72">
        <v>0.94874223069907493</v>
      </c>
      <c r="P181">
        <v>0.9973861248271263</v>
      </c>
      <c r="Q181">
        <v>0.99053782132266621</v>
      </c>
      <c r="R181">
        <v>0.49921543704725302</v>
      </c>
      <c r="S181">
        <v>0.42520756704881413</v>
      </c>
      <c r="T181">
        <v>0.20265134947748897</v>
      </c>
      <c r="U181">
        <v>0.76422484317932016</v>
      </c>
      <c r="V181">
        <v>0.69912731780927095</v>
      </c>
      <c r="W181">
        <v>0.44314144624896779</v>
      </c>
      <c r="X181">
        <v>0.42893119174594291</v>
      </c>
      <c r="Y181">
        <v>0.44283670007654752</v>
      </c>
      <c r="Z181">
        <v>0.45555542441275731</v>
      </c>
      <c r="AA181">
        <v>0.70245143333537086</v>
      </c>
      <c r="AB181">
        <v>0.78421756657678832</v>
      </c>
      <c r="AC181">
        <v>0.68295592216715195</v>
      </c>
      <c r="AD181">
        <v>0.58778249270127458</v>
      </c>
      <c r="AE181">
        <v>264.06771390657076</v>
      </c>
      <c r="AF181">
        <v>965.16580902885744</v>
      </c>
      <c r="AG181">
        <v>1405.6244726078132</v>
      </c>
      <c r="AH181">
        <v>13915.515114812444</v>
      </c>
      <c r="AI181">
        <v>11212.646338625744</v>
      </c>
      <c r="AJ181">
        <v>39535.44021939447</v>
      </c>
      <c r="AK181">
        <v>14756.151741185016</v>
      </c>
      <c r="AL181">
        <v>2620.7162096644292</v>
      </c>
      <c r="AM181">
        <v>377.75150148877202</v>
      </c>
      <c r="AO181">
        <v>42798.120285546</v>
      </c>
      <c r="AP181">
        <v>12.743047870698589</v>
      </c>
      <c r="AQ181">
        <v>46645.603719399274</v>
      </c>
      <c r="AR181">
        <v>12.92538639916741</v>
      </c>
      <c r="AS181" s="2">
        <f t="shared" si="14"/>
        <v>3847.4834338532746</v>
      </c>
      <c r="AT181" s="2">
        <f t="shared" si="15"/>
        <v>0.18233852846882037</v>
      </c>
      <c r="AV181">
        <f t="shared" si="16"/>
        <v>1231506.666784313</v>
      </c>
      <c r="AW181">
        <f t="shared" si="17"/>
        <v>1245893.0361973417</v>
      </c>
      <c r="AY181">
        <f t="shared" si="18"/>
        <v>0</v>
      </c>
      <c r="AZ181">
        <f t="shared" si="19"/>
        <v>1</v>
      </c>
    </row>
    <row r="182" spans="1:52" x14ac:dyDescent="0.2">
      <c r="A182">
        <f t="shared" si="20"/>
        <v>178</v>
      </c>
      <c r="B182">
        <v>2.3658240808500156E-2</v>
      </c>
      <c r="C182">
        <v>3.7930574185838895E-2</v>
      </c>
      <c r="D182">
        <v>4.3244428349850539E-2</v>
      </c>
      <c r="E182">
        <v>7.8744276512312597E-3</v>
      </c>
      <c r="F182">
        <v>3.3096443304294031E-3</v>
      </c>
      <c r="G182">
        <v>6.6241009616018658E-3</v>
      </c>
      <c r="H182">
        <v>3.5781413165766551E-2</v>
      </c>
      <c r="I182">
        <v>0.13681333624762648</v>
      </c>
      <c r="J182">
        <v>0</v>
      </c>
      <c r="K182">
        <v>0.4166493502088805</v>
      </c>
      <c r="L182">
        <v>0.20647997507416332</v>
      </c>
      <c r="M182">
        <v>0.79352002492583673</v>
      </c>
      <c r="N182">
        <v>4.8086021701141922E-2</v>
      </c>
      <c r="O182" s="72">
        <v>0.99983556974113519</v>
      </c>
      <c r="P182">
        <v>0.99358948016063176</v>
      </c>
      <c r="Q182">
        <v>0.99828975196400982</v>
      </c>
      <c r="R182">
        <v>0.46761544600211913</v>
      </c>
      <c r="S182">
        <v>0.37766340360300321</v>
      </c>
      <c r="T182">
        <v>0.1867955315057358</v>
      </c>
      <c r="U182">
        <v>0.76694583026445506</v>
      </c>
      <c r="V182">
        <v>0.64063669257112488</v>
      </c>
      <c r="W182">
        <v>0.54839368004954658</v>
      </c>
      <c r="X182">
        <v>0.51337429308040017</v>
      </c>
      <c r="Y182">
        <v>0.4545644888343956</v>
      </c>
      <c r="Z182">
        <v>0.47364428920228774</v>
      </c>
      <c r="AA182">
        <v>0.7090616143250128</v>
      </c>
      <c r="AB182">
        <v>0.83973976981254739</v>
      </c>
      <c r="AC182">
        <v>0.72040016904783988</v>
      </c>
      <c r="AD182">
        <v>0.55491572930103505</v>
      </c>
      <c r="AE182">
        <v>317.6443032382391</v>
      </c>
      <c r="AF182">
        <v>1022.8214865099033</v>
      </c>
      <c r="AG182">
        <v>1545.2872162554077</v>
      </c>
      <c r="AH182">
        <v>13158.152439787986</v>
      </c>
      <c r="AI182">
        <v>13890.925010704452</v>
      </c>
      <c r="AJ182">
        <v>37244.378075199405</v>
      </c>
      <c r="AK182">
        <v>13717.469076977541</v>
      </c>
      <c r="AL182">
        <v>1224.0997591934331</v>
      </c>
      <c r="AM182">
        <v>277.32134702558403</v>
      </c>
      <c r="AO182">
        <v>44138.249656549044</v>
      </c>
      <c r="AP182">
        <v>13.506611772258058</v>
      </c>
      <c r="AQ182">
        <v>44980.434510200168</v>
      </c>
      <c r="AR182">
        <v>13.720838119239625</v>
      </c>
      <c r="AS182" s="2">
        <f t="shared" si="14"/>
        <v>842.18485365112429</v>
      </c>
      <c r="AT182" s="2">
        <f t="shared" si="15"/>
        <v>0.21422634698156706</v>
      </c>
      <c r="AV182">
        <f t="shared" si="16"/>
        <v>1306522.9275692569</v>
      </c>
      <c r="AW182">
        <f t="shared" si="17"/>
        <v>1327103.3774137623</v>
      </c>
      <c r="AY182">
        <f t="shared" si="18"/>
        <v>0</v>
      </c>
      <c r="AZ182">
        <f t="shared" si="19"/>
        <v>1</v>
      </c>
    </row>
    <row r="183" spans="1:52" x14ac:dyDescent="0.2">
      <c r="A183">
        <f t="shared" si="20"/>
        <v>179</v>
      </c>
      <c r="B183">
        <v>2.6803662480020418E-2</v>
      </c>
      <c r="C183">
        <v>3.6419401757396046E-2</v>
      </c>
      <c r="D183">
        <v>2.4762591224314921E-2</v>
      </c>
      <c r="E183">
        <v>9.1865766410218971E-3</v>
      </c>
      <c r="F183">
        <v>3.3179322448896845E-3</v>
      </c>
      <c r="G183">
        <v>1.108538837059604E-2</v>
      </c>
      <c r="H183">
        <v>4.9647844493257542E-2</v>
      </c>
      <c r="I183">
        <v>0.12907443149542569</v>
      </c>
      <c r="J183">
        <v>0</v>
      </c>
      <c r="K183">
        <v>0.46109026760898908</v>
      </c>
      <c r="L183">
        <v>0.18290653673304413</v>
      </c>
      <c r="M183">
        <v>0.81709346326695587</v>
      </c>
      <c r="N183">
        <v>5.3585239638958192E-2</v>
      </c>
      <c r="O183" s="72">
        <v>0.99913491659560583</v>
      </c>
      <c r="P183">
        <v>0.9994641142425037</v>
      </c>
      <c r="Q183">
        <v>0.98747757878931586</v>
      </c>
      <c r="R183">
        <v>0.55734924647661788</v>
      </c>
      <c r="S183">
        <v>0.37113169770189036</v>
      </c>
      <c r="T183">
        <v>0.20422005964159595</v>
      </c>
      <c r="U183">
        <v>0.79412920658467578</v>
      </c>
      <c r="V183">
        <v>0.66287791677546704</v>
      </c>
      <c r="W183">
        <v>0.55465879068909885</v>
      </c>
      <c r="X183">
        <v>0.48060084897726862</v>
      </c>
      <c r="Y183">
        <v>0.40820417479813192</v>
      </c>
      <c r="Z183">
        <v>0.42290386144043612</v>
      </c>
      <c r="AA183">
        <v>0.61542488628050529</v>
      </c>
      <c r="AB183">
        <v>0.79062287356601479</v>
      </c>
      <c r="AC183">
        <v>0.72491005255839935</v>
      </c>
      <c r="AD183">
        <v>0.62830632060783431</v>
      </c>
      <c r="AE183">
        <v>233.78002039143098</v>
      </c>
      <c r="AF183">
        <v>1273.3393545879135</v>
      </c>
      <c r="AG183">
        <v>1690.8201672746104</v>
      </c>
      <c r="AH183">
        <v>13919.567919596531</v>
      </c>
      <c r="AI183">
        <v>6943.6791646770653</v>
      </c>
      <c r="AJ183">
        <v>39975.742928823733</v>
      </c>
      <c r="AK183">
        <v>16203.140696211149</v>
      </c>
      <c r="AL183">
        <v>2906.1316140840477</v>
      </c>
      <c r="AM183">
        <v>417.05838738494782</v>
      </c>
      <c r="AO183">
        <v>41765.734442537112</v>
      </c>
      <c r="AP183">
        <v>13.027921812247339</v>
      </c>
      <c r="AQ183">
        <v>47027.892314732366</v>
      </c>
      <c r="AR183">
        <v>13.148088252182717</v>
      </c>
      <c r="AS183" s="2">
        <f t="shared" si="14"/>
        <v>5262.1578721952537</v>
      </c>
      <c r="AT183" s="2">
        <f t="shared" si="15"/>
        <v>0.12016643993537812</v>
      </c>
      <c r="AV183">
        <f t="shared" si="16"/>
        <v>1261026.4467821966</v>
      </c>
      <c r="AW183">
        <f t="shared" si="17"/>
        <v>1267780.9329035394</v>
      </c>
      <c r="AY183">
        <f t="shared" si="18"/>
        <v>0</v>
      </c>
      <c r="AZ183">
        <f t="shared" si="19"/>
        <v>1</v>
      </c>
    </row>
    <row r="184" spans="1:52" x14ac:dyDescent="0.2">
      <c r="A184">
        <f t="shared" si="20"/>
        <v>180</v>
      </c>
      <c r="B184">
        <v>2.1387841166682103E-2</v>
      </c>
      <c r="C184">
        <v>4.6833811680565995E-2</v>
      </c>
      <c r="D184">
        <v>4.1453024928736149E-2</v>
      </c>
      <c r="E184">
        <v>4.6939706844450939E-3</v>
      </c>
      <c r="F184">
        <v>3.3026436050410052E-3</v>
      </c>
      <c r="G184">
        <v>6.8331013084683345E-3</v>
      </c>
      <c r="H184">
        <v>3.6824804839419301E-2</v>
      </c>
      <c r="I184">
        <v>0.12071072980893073</v>
      </c>
      <c r="J184">
        <v>0</v>
      </c>
      <c r="K184">
        <v>0.4406293971730344</v>
      </c>
      <c r="L184">
        <v>0.2406318932872441</v>
      </c>
      <c r="M184">
        <v>0.7593681067127559</v>
      </c>
      <c r="N184">
        <v>5.4412240354189186E-2</v>
      </c>
      <c r="O184" s="72">
        <v>0.99911393766905954</v>
      </c>
      <c r="P184">
        <v>0.99993915417181989</v>
      </c>
      <c r="Q184">
        <v>0.96569658595902386</v>
      </c>
      <c r="R184">
        <v>0.50655719218507667</v>
      </c>
      <c r="S184">
        <v>0.37473260275387754</v>
      </c>
      <c r="T184">
        <v>0.28615936647417195</v>
      </c>
      <c r="U184">
        <v>0.78336159834687391</v>
      </c>
      <c r="V184">
        <v>0.62370776877750822</v>
      </c>
      <c r="W184">
        <v>0.62638773986498664</v>
      </c>
      <c r="X184">
        <v>0.50699566151153763</v>
      </c>
      <c r="Y184">
        <v>0.44206250370251077</v>
      </c>
      <c r="Z184">
        <v>0.45438974448667369</v>
      </c>
      <c r="AA184">
        <v>0.71075598224380943</v>
      </c>
      <c r="AB184">
        <v>0.77463347045313891</v>
      </c>
      <c r="AC184">
        <v>0.76783162806419036</v>
      </c>
      <c r="AD184">
        <v>0.67814965921721693</v>
      </c>
      <c r="AE184">
        <v>191.38442442882638</v>
      </c>
      <c r="AF184">
        <v>1088.6156903828487</v>
      </c>
      <c r="AG184">
        <v>1770.0024137920502</v>
      </c>
      <c r="AH184">
        <v>12692.898511790016</v>
      </c>
      <c r="AI184">
        <v>8966.7640732714681</v>
      </c>
      <c r="AJ184">
        <v>44697.428088738932</v>
      </c>
      <c r="AK184">
        <v>9206.6886088605115</v>
      </c>
      <c r="AL184">
        <v>1643.117583709256</v>
      </c>
      <c r="AM184">
        <v>328.34356354495168</v>
      </c>
      <c r="AO184">
        <v>40944.790096848134</v>
      </c>
      <c r="AP184">
        <v>12.967279679897553</v>
      </c>
      <c r="AQ184">
        <v>45634.964082351289</v>
      </c>
      <c r="AR184">
        <v>13.072505200703807</v>
      </c>
      <c r="AS184" s="2">
        <f t="shared" si="14"/>
        <v>4690.1739855031556</v>
      </c>
      <c r="AT184" s="2">
        <f t="shared" si="15"/>
        <v>0.10522552080625402</v>
      </c>
      <c r="AV184">
        <f t="shared" si="16"/>
        <v>1255783.1778929073</v>
      </c>
      <c r="AW184">
        <f t="shared" si="17"/>
        <v>1261615.5559880296</v>
      </c>
      <c r="AY184">
        <f t="shared" si="18"/>
        <v>0</v>
      </c>
      <c r="AZ184">
        <f t="shared" si="19"/>
        <v>1</v>
      </c>
    </row>
    <row r="185" spans="1:52" x14ac:dyDescent="0.2">
      <c r="A185">
        <f t="shared" si="20"/>
        <v>181</v>
      </c>
      <c r="B185">
        <v>1.906044072636871E-2</v>
      </c>
      <c r="C185">
        <v>3.3785129554982585E-2</v>
      </c>
      <c r="D185">
        <v>3.9430984439525529E-2</v>
      </c>
      <c r="E185">
        <v>1.0537645923283273E-2</v>
      </c>
      <c r="F185">
        <v>3.363966535347096E-3</v>
      </c>
      <c r="G185">
        <v>3.6189180813545385E-2</v>
      </c>
      <c r="H185">
        <v>3.8423147886266551E-2</v>
      </c>
      <c r="I185">
        <v>0.12000838890467416</v>
      </c>
      <c r="J185">
        <v>0</v>
      </c>
      <c r="K185">
        <v>0.47142470584146312</v>
      </c>
      <c r="L185">
        <v>0.16461820503361257</v>
      </c>
      <c r="M185">
        <v>0.83538179496638743</v>
      </c>
      <c r="N185">
        <v>6.7242889788849292E-2</v>
      </c>
      <c r="O185" s="72">
        <v>0.99844974940501086</v>
      </c>
      <c r="P185">
        <v>0.99989425626840522</v>
      </c>
      <c r="Q185">
        <v>0.98262870042940587</v>
      </c>
      <c r="R185">
        <v>0.53032241501321686</v>
      </c>
      <c r="S185">
        <v>0.39122024137512879</v>
      </c>
      <c r="T185">
        <v>0.23950194394964808</v>
      </c>
      <c r="U185">
        <v>0.77071779960250331</v>
      </c>
      <c r="V185">
        <v>0.66324285090471646</v>
      </c>
      <c r="W185">
        <v>0.55093618236794373</v>
      </c>
      <c r="X185">
        <v>0.43980577796868686</v>
      </c>
      <c r="Y185">
        <v>0.46379233551081955</v>
      </c>
      <c r="Z185">
        <v>0.46071421813316116</v>
      </c>
      <c r="AA185">
        <v>0.62053357941406473</v>
      </c>
      <c r="AB185">
        <v>0.86478178878841039</v>
      </c>
      <c r="AC185">
        <v>0.77878279467917022</v>
      </c>
      <c r="AD185">
        <v>0.58955250278494797</v>
      </c>
      <c r="AE185">
        <v>236.14895106929228</v>
      </c>
      <c r="AF185">
        <v>1195.9684374673122</v>
      </c>
      <c r="AG185">
        <v>1596.1594063597172</v>
      </c>
      <c r="AH185">
        <v>13906.725483744749</v>
      </c>
      <c r="AI185">
        <v>14032.312645706663</v>
      </c>
      <c r="AJ185">
        <v>36151.851629641133</v>
      </c>
      <c r="AK185">
        <v>18402.67530654712</v>
      </c>
      <c r="AL185">
        <v>1375.0557820898318</v>
      </c>
      <c r="AM185">
        <v>381.49491197009667</v>
      </c>
      <c r="AO185">
        <v>41209.341512864463</v>
      </c>
      <c r="AP185">
        <v>14.022085163680822</v>
      </c>
      <c r="AQ185">
        <v>46453.254032619341</v>
      </c>
      <c r="AR185">
        <v>14.218964954441532</v>
      </c>
      <c r="AS185" s="2">
        <f t="shared" si="14"/>
        <v>5243.9125197548783</v>
      </c>
      <c r="AT185" s="2">
        <f t="shared" si="15"/>
        <v>0.19687979076070938</v>
      </c>
      <c r="AV185">
        <f t="shared" si="16"/>
        <v>1360999.1748552178</v>
      </c>
      <c r="AW185">
        <f t="shared" si="17"/>
        <v>1375443.2414115339</v>
      </c>
      <c r="AY185">
        <f t="shared" si="18"/>
        <v>0</v>
      </c>
      <c r="AZ185">
        <f t="shared" si="19"/>
        <v>1</v>
      </c>
    </row>
    <row r="186" spans="1:52" x14ac:dyDescent="0.2">
      <c r="A186">
        <f t="shared" si="20"/>
        <v>182</v>
      </c>
      <c r="B186">
        <v>2.1479872308307651E-2</v>
      </c>
      <c r="C186">
        <v>4.3201940733710309E-2</v>
      </c>
      <c r="D186">
        <v>3.1795652746529991E-2</v>
      </c>
      <c r="E186">
        <v>2.5964617978269217E-3</v>
      </c>
      <c r="F186">
        <v>3.4281891370793183E-3</v>
      </c>
      <c r="G186">
        <v>7.288614861556398E-3</v>
      </c>
      <c r="H186">
        <v>1.74439738268026E-2</v>
      </c>
      <c r="I186">
        <v>0.12218753797035713</v>
      </c>
      <c r="J186">
        <v>0</v>
      </c>
      <c r="K186">
        <v>0.42922710244261203</v>
      </c>
      <c r="L186">
        <v>0.1015350677472683</v>
      </c>
      <c r="M186">
        <v>0.89846493225273172</v>
      </c>
      <c r="N186">
        <v>6.4524723062925782E-2</v>
      </c>
      <c r="O186" s="72">
        <v>0.99981280797400729</v>
      </c>
      <c r="P186">
        <v>0.91647929352267732</v>
      </c>
      <c r="Q186">
        <v>0.99180481035852452</v>
      </c>
      <c r="R186">
        <v>0.52891334961133363</v>
      </c>
      <c r="S186">
        <v>0.44819440530566557</v>
      </c>
      <c r="T186">
        <v>0.25007499251795895</v>
      </c>
      <c r="U186">
        <v>0.75209972498627353</v>
      </c>
      <c r="V186">
        <v>0.70921320867272175</v>
      </c>
      <c r="W186">
        <v>0.51860156430929161</v>
      </c>
      <c r="X186">
        <v>0.43414209182266716</v>
      </c>
      <c r="Y186">
        <v>0.40013184293937443</v>
      </c>
      <c r="Z186">
        <v>0.43646533309042723</v>
      </c>
      <c r="AA186">
        <v>0.7365986544016232</v>
      </c>
      <c r="AB186">
        <v>0.84107837485974946</v>
      </c>
      <c r="AC186">
        <v>0.71514287473812388</v>
      </c>
      <c r="AD186">
        <v>0.55429738514358384</v>
      </c>
      <c r="AE186">
        <v>230.44507464737433</v>
      </c>
      <c r="AF186">
        <v>1086.6562398702986</v>
      </c>
      <c r="AG186">
        <v>1763.3287632930869</v>
      </c>
      <c r="AH186">
        <v>9175.1470294893807</v>
      </c>
      <c r="AI186">
        <v>9744.7942466817749</v>
      </c>
      <c r="AJ186">
        <v>41391.807889004071</v>
      </c>
      <c r="AK186">
        <v>10139.105673513515</v>
      </c>
      <c r="AL186">
        <v>1871.9593668008906</v>
      </c>
      <c r="AM186">
        <v>395.52742807396436</v>
      </c>
      <c r="AO186">
        <v>40612.471666349513</v>
      </c>
      <c r="AP186">
        <v>13.572747727302836</v>
      </c>
      <c r="AQ186">
        <v>49350.02224684268</v>
      </c>
      <c r="AR186">
        <v>13.717855838443757</v>
      </c>
      <c r="AS186" s="2">
        <f t="shared" si="14"/>
        <v>8737.5505804931672</v>
      </c>
      <c r="AT186" s="2">
        <f t="shared" si="15"/>
        <v>0.14510811114092093</v>
      </c>
      <c r="AV186">
        <f t="shared" si="16"/>
        <v>1316662.3010639341</v>
      </c>
      <c r="AW186">
        <f t="shared" si="17"/>
        <v>1322435.5615975331</v>
      </c>
      <c r="AY186">
        <f t="shared" si="18"/>
        <v>0</v>
      </c>
      <c r="AZ186">
        <f t="shared" si="19"/>
        <v>1</v>
      </c>
    </row>
    <row r="187" spans="1:52" x14ac:dyDescent="0.2">
      <c r="A187">
        <f t="shared" si="20"/>
        <v>183</v>
      </c>
      <c r="B187">
        <v>2.6180204659729034E-2</v>
      </c>
      <c r="C187">
        <v>3.512598547744647E-2</v>
      </c>
      <c r="D187">
        <v>2.8480174222493777E-2</v>
      </c>
      <c r="E187">
        <v>4.2061983316761123E-3</v>
      </c>
      <c r="F187">
        <v>3.3045528020660369E-3</v>
      </c>
      <c r="G187">
        <v>1.9623889191480171E-2</v>
      </c>
      <c r="H187">
        <v>1.2974760807996477E-2</v>
      </c>
      <c r="I187">
        <v>0.14425087403580883</v>
      </c>
      <c r="J187">
        <v>0</v>
      </c>
      <c r="K187">
        <v>0.39363993629936428</v>
      </c>
      <c r="L187">
        <v>0.1890602503393676</v>
      </c>
      <c r="M187">
        <v>0.81093974966063243</v>
      </c>
      <c r="N187">
        <v>5.1718701023822526E-2</v>
      </c>
      <c r="O187" s="72">
        <v>0.95869244765538919</v>
      </c>
      <c r="P187">
        <v>0.9456956410341627</v>
      </c>
      <c r="Q187">
        <v>0.97043378487154486</v>
      </c>
      <c r="R187">
        <v>0.44766927951080326</v>
      </c>
      <c r="S187">
        <v>0.32291345355707635</v>
      </c>
      <c r="T187">
        <v>0.21009656577053204</v>
      </c>
      <c r="U187">
        <v>0.75953912164646753</v>
      </c>
      <c r="V187">
        <v>0.64675054435719226</v>
      </c>
      <c r="W187">
        <v>0.54982310899382625</v>
      </c>
      <c r="X187">
        <v>0.48121291470157235</v>
      </c>
      <c r="Y187">
        <v>0.42798016675210776</v>
      </c>
      <c r="Z187">
        <v>0.43367675898742408</v>
      </c>
      <c r="AA187">
        <v>0.71444813328111212</v>
      </c>
      <c r="AB187">
        <v>0.86427485198277887</v>
      </c>
      <c r="AC187">
        <v>0.60678627212944602</v>
      </c>
      <c r="AD187">
        <v>0.67384387168781879</v>
      </c>
      <c r="AE187">
        <v>166.5540499592351</v>
      </c>
      <c r="AF187">
        <v>1069.8938160891494</v>
      </c>
      <c r="AG187">
        <v>1527.0996287506655</v>
      </c>
      <c r="AH187">
        <v>13513.953776880042</v>
      </c>
      <c r="AI187">
        <v>6990.5884166344549</v>
      </c>
      <c r="AJ187">
        <v>39492.909327377711</v>
      </c>
      <c r="AK187">
        <v>11475.639419632942</v>
      </c>
      <c r="AL187">
        <v>2414.9575567497823</v>
      </c>
      <c r="AM187">
        <v>412.31129383299589</v>
      </c>
      <c r="AO187">
        <v>47237.903676024638</v>
      </c>
      <c r="AP187">
        <v>13.740520594182644</v>
      </c>
      <c r="AQ187">
        <v>48801.707508556647</v>
      </c>
      <c r="AR187">
        <v>14.006354020158938</v>
      </c>
      <c r="AS187" s="2">
        <f t="shared" si="14"/>
        <v>1563.8038325320085</v>
      </c>
      <c r="AT187" s="2">
        <f t="shared" si="15"/>
        <v>0.26583342597629311</v>
      </c>
      <c r="AV187">
        <f t="shared" si="16"/>
        <v>1326814.1557422399</v>
      </c>
      <c r="AW187">
        <f t="shared" si="17"/>
        <v>1351833.6945073372</v>
      </c>
      <c r="AY187">
        <f t="shared" si="18"/>
        <v>0</v>
      </c>
      <c r="AZ187">
        <f t="shared" si="19"/>
        <v>1</v>
      </c>
    </row>
    <row r="188" spans="1:52" x14ac:dyDescent="0.2">
      <c r="A188">
        <f t="shared" si="20"/>
        <v>184</v>
      </c>
      <c r="B188">
        <v>2.4818596464245446E-2</v>
      </c>
      <c r="C188">
        <v>4.8407964947287829E-2</v>
      </c>
      <c r="D188">
        <v>4.3244240651514443E-2</v>
      </c>
      <c r="E188">
        <v>1.9425383999593149E-2</v>
      </c>
      <c r="F188">
        <v>3.324471023989666E-3</v>
      </c>
      <c r="G188">
        <v>8.607079763306864E-3</v>
      </c>
      <c r="H188">
        <v>2.7302432089015737E-2</v>
      </c>
      <c r="I188">
        <v>0.136677368665862</v>
      </c>
      <c r="J188">
        <v>0</v>
      </c>
      <c r="K188">
        <v>0.44029207595767927</v>
      </c>
      <c r="L188">
        <v>0.22445209985390235</v>
      </c>
      <c r="M188">
        <v>0.77554790014609765</v>
      </c>
      <c r="N188">
        <v>5.0446065529604518E-2</v>
      </c>
      <c r="O188" s="72">
        <v>0.99995775540152276</v>
      </c>
      <c r="P188">
        <v>0.87368842276662151</v>
      </c>
      <c r="Q188">
        <v>0.88578168238609289</v>
      </c>
      <c r="R188">
        <v>0.46533670857020515</v>
      </c>
      <c r="S188">
        <v>0.42404530058089585</v>
      </c>
      <c r="T188">
        <v>0.22777422964644523</v>
      </c>
      <c r="U188">
        <v>0.76875978843136838</v>
      </c>
      <c r="V188">
        <v>0.6136152464321234</v>
      </c>
      <c r="W188">
        <v>0.57218854233696637</v>
      </c>
      <c r="X188">
        <v>0.42333624882603638</v>
      </c>
      <c r="Y188">
        <v>0.44504390576168673</v>
      </c>
      <c r="Z188">
        <v>0.42316979540681521</v>
      </c>
      <c r="AA188">
        <v>0.72064851154864762</v>
      </c>
      <c r="AB188">
        <v>0.79988695454259229</v>
      </c>
      <c r="AC188">
        <v>0.77471188582515016</v>
      </c>
      <c r="AD188">
        <v>0.60538935101400171</v>
      </c>
      <c r="AE188">
        <v>235.15571920029728</v>
      </c>
      <c r="AF188">
        <v>986.22772657055691</v>
      </c>
      <c r="AG188">
        <v>2013.3353352667218</v>
      </c>
      <c r="AH188">
        <v>15014.945289862493</v>
      </c>
      <c r="AI188">
        <v>12168.462228373039</v>
      </c>
      <c r="AJ188">
        <v>32665.788956502234</v>
      </c>
      <c r="AK188">
        <v>10035.189515956039</v>
      </c>
      <c r="AL188">
        <v>1393.7080370290125</v>
      </c>
      <c r="AM188">
        <v>315.26147403634741</v>
      </c>
      <c r="AO188">
        <v>43342.909081130631</v>
      </c>
      <c r="AP188">
        <v>13.14230571100167</v>
      </c>
      <c r="AQ188">
        <v>50239.330916644401</v>
      </c>
      <c r="AR188">
        <v>13.323540264564107</v>
      </c>
      <c r="AS188" s="2">
        <f t="shared" si="14"/>
        <v>6896.4218355137709</v>
      </c>
      <c r="AT188" s="2">
        <f t="shared" si="15"/>
        <v>0.18123455356243667</v>
      </c>
      <c r="AV188">
        <f t="shared" si="16"/>
        <v>1270887.6620190365</v>
      </c>
      <c r="AW188">
        <f t="shared" si="17"/>
        <v>1282114.6955397665</v>
      </c>
      <c r="AY188">
        <f t="shared" si="18"/>
        <v>0</v>
      </c>
      <c r="AZ188">
        <f t="shared" si="19"/>
        <v>1</v>
      </c>
    </row>
    <row r="189" spans="1:52" x14ac:dyDescent="0.2">
      <c r="A189">
        <f t="shared" si="20"/>
        <v>185</v>
      </c>
      <c r="B189">
        <v>2.8823263465211579E-2</v>
      </c>
      <c r="C189">
        <v>4.2333999108982723E-2</v>
      </c>
      <c r="D189">
        <v>3.9843709685488893E-2</v>
      </c>
      <c r="E189">
        <v>8.0089095305119762E-3</v>
      </c>
      <c r="F189">
        <v>3.2303398640618351E-3</v>
      </c>
      <c r="G189">
        <v>4.2899948608805328E-3</v>
      </c>
      <c r="H189">
        <v>5.4866626937634222E-2</v>
      </c>
      <c r="I189">
        <v>0.14276673924910233</v>
      </c>
      <c r="J189">
        <v>0</v>
      </c>
      <c r="K189">
        <v>0.41361344555475338</v>
      </c>
      <c r="L189">
        <v>0.17539666412473418</v>
      </c>
      <c r="M189">
        <v>0.8246033358752658</v>
      </c>
      <c r="N189">
        <v>4.9040374931415436E-2</v>
      </c>
      <c r="O189" s="72">
        <v>0.99950118952064959</v>
      </c>
      <c r="P189">
        <v>0.99613490671300609</v>
      </c>
      <c r="Q189">
        <v>0.89501399618273203</v>
      </c>
      <c r="R189">
        <v>0.47957338982225073</v>
      </c>
      <c r="S189">
        <v>0.35212468838700728</v>
      </c>
      <c r="T189">
        <v>0.2021917212293981</v>
      </c>
      <c r="U189">
        <v>0.77002159284909388</v>
      </c>
      <c r="V189">
        <v>0.64967543779649484</v>
      </c>
      <c r="W189">
        <v>0.5119221947883047</v>
      </c>
      <c r="X189">
        <v>0.45532839809336512</v>
      </c>
      <c r="Y189">
        <v>0.42102599162372661</v>
      </c>
      <c r="Z189">
        <v>0.45238816905203905</v>
      </c>
      <c r="AA189">
        <v>0.6697618332784574</v>
      </c>
      <c r="AB189">
        <v>0.81241599867601211</v>
      </c>
      <c r="AC189">
        <v>0.6300565118434257</v>
      </c>
      <c r="AD189">
        <v>0.57039141526030612</v>
      </c>
      <c r="AE189">
        <v>205.4555513263762</v>
      </c>
      <c r="AF189">
        <v>964.87265875054618</v>
      </c>
      <c r="AG189">
        <v>1323.2314680665452</v>
      </c>
      <c r="AH189">
        <v>9593.5449413635197</v>
      </c>
      <c r="AI189">
        <v>9211.8148562516399</v>
      </c>
      <c r="AJ189">
        <v>43688.754548456978</v>
      </c>
      <c r="AK189">
        <v>11357.417336443486</v>
      </c>
      <c r="AL189">
        <v>1789.220806556149</v>
      </c>
      <c r="AM189">
        <v>371.29508092156073</v>
      </c>
      <c r="AO189">
        <v>44410.626085890312</v>
      </c>
      <c r="AP189">
        <v>12.999538362900861</v>
      </c>
      <c r="AQ189">
        <v>46568.630016453077</v>
      </c>
      <c r="AR189">
        <v>13.19618728077978</v>
      </c>
      <c r="AS189" s="2">
        <f t="shared" si="14"/>
        <v>2158.0039305627652</v>
      </c>
      <c r="AT189" s="2">
        <f t="shared" si="15"/>
        <v>0.19664891787891925</v>
      </c>
      <c r="AV189">
        <f t="shared" si="16"/>
        <v>1255543.2102041959</v>
      </c>
      <c r="AW189">
        <f t="shared" si="17"/>
        <v>1273050.0980615248</v>
      </c>
      <c r="AY189">
        <f t="shared" si="18"/>
        <v>0</v>
      </c>
      <c r="AZ189">
        <f t="shared" si="19"/>
        <v>1</v>
      </c>
    </row>
    <row r="190" spans="1:52" x14ac:dyDescent="0.2">
      <c r="A190">
        <f t="shared" si="20"/>
        <v>186</v>
      </c>
      <c r="B190">
        <v>2.1303174609447782E-2</v>
      </c>
      <c r="C190">
        <v>2.7620554809210503E-2</v>
      </c>
      <c r="D190">
        <v>4.1055338426938981E-2</v>
      </c>
      <c r="E190">
        <v>2.2180915808187263E-2</v>
      </c>
      <c r="F190">
        <v>3.2988837668605506E-3</v>
      </c>
      <c r="G190">
        <v>7.7185861323134548E-3</v>
      </c>
      <c r="H190">
        <v>2.2462165856177784E-2</v>
      </c>
      <c r="I190">
        <v>0.13688201410324119</v>
      </c>
      <c r="J190">
        <v>0</v>
      </c>
      <c r="K190">
        <v>0.3905009947388508</v>
      </c>
      <c r="L190">
        <v>0.19187910586229276</v>
      </c>
      <c r="M190">
        <v>0.80812089413770727</v>
      </c>
      <c r="N190">
        <v>7.5418352797317345E-2</v>
      </c>
      <c r="O190" s="72">
        <v>0.94125603571373928</v>
      </c>
      <c r="P190">
        <v>0.99615835007398634</v>
      </c>
      <c r="Q190">
        <v>0.9877166381139012</v>
      </c>
      <c r="R190">
        <v>0.43446473698178989</v>
      </c>
      <c r="S190">
        <v>0.37820557571869384</v>
      </c>
      <c r="T190">
        <v>0.25148785634346738</v>
      </c>
      <c r="U190">
        <v>0.76006138614712293</v>
      </c>
      <c r="V190">
        <v>0.65518975165901139</v>
      </c>
      <c r="W190">
        <v>0.52512694569842333</v>
      </c>
      <c r="X190">
        <v>0.45223525441593626</v>
      </c>
      <c r="Y190">
        <v>0.45894918776402194</v>
      </c>
      <c r="Z190">
        <v>0.47103546875813285</v>
      </c>
      <c r="AA190">
        <v>0.62398995167265747</v>
      </c>
      <c r="AB190">
        <v>0.76983289504230212</v>
      </c>
      <c r="AC190">
        <v>0.69364683626379475</v>
      </c>
      <c r="AD190">
        <v>0.60782846025710269</v>
      </c>
      <c r="AE190">
        <v>164.83160795999919</v>
      </c>
      <c r="AF190">
        <v>1173.5037434493806</v>
      </c>
      <c r="AG190">
        <v>1681.3126396667794</v>
      </c>
      <c r="AH190">
        <v>14409.539710254519</v>
      </c>
      <c r="AI190">
        <v>12140.653359986882</v>
      </c>
      <c r="AJ190">
        <v>39989.091416118506</v>
      </c>
      <c r="AK190">
        <v>17675.577077142872</v>
      </c>
      <c r="AL190">
        <v>2335.9852003214432</v>
      </c>
      <c r="AM190">
        <v>329.89583303091189</v>
      </c>
      <c r="AO190">
        <v>45150.139155255558</v>
      </c>
      <c r="AP190">
        <v>12.614927662241612</v>
      </c>
      <c r="AQ190">
        <v>45948.766988214782</v>
      </c>
      <c r="AR190">
        <v>12.772714264477232</v>
      </c>
      <c r="AS190" s="2">
        <f t="shared" si="14"/>
        <v>798.62783295922418</v>
      </c>
      <c r="AT190" s="2">
        <f t="shared" si="15"/>
        <v>0.15778660223561936</v>
      </c>
      <c r="AV190">
        <f t="shared" si="16"/>
        <v>1216342.6270689056</v>
      </c>
      <c r="AW190">
        <f t="shared" si="17"/>
        <v>1231322.6594595085</v>
      </c>
      <c r="AY190">
        <f t="shared" si="18"/>
        <v>0</v>
      </c>
      <c r="AZ190">
        <f t="shared" si="19"/>
        <v>1</v>
      </c>
    </row>
    <row r="191" spans="1:52" x14ac:dyDescent="0.2">
      <c r="A191">
        <f>A190+1</f>
        <v>187</v>
      </c>
      <c r="B191">
        <v>2.3823750606601794E-2</v>
      </c>
      <c r="C191">
        <v>3.0589640459977013E-2</v>
      </c>
      <c r="D191">
        <v>5.2278323328329046E-2</v>
      </c>
      <c r="E191">
        <v>1.389743151502254E-2</v>
      </c>
      <c r="F191">
        <v>3.408568652088384E-3</v>
      </c>
      <c r="G191">
        <v>1.494632800711293E-2</v>
      </c>
      <c r="H191">
        <v>1.7705276832542399E-2</v>
      </c>
      <c r="I191">
        <v>0.12655447985031124</v>
      </c>
      <c r="J191">
        <v>0</v>
      </c>
      <c r="K191">
        <v>0.41660823266732666</v>
      </c>
      <c r="L191">
        <v>0.29516281937303923</v>
      </c>
      <c r="M191">
        <v>0.70483718062696077</v>
      </c>
      <c r="N191">
        <v>4.6963550609017961E-2</v>
      </c>
      <c r="O191" s="72">
        <v>0.99600021925618609</v>
      </c>
      <c r="P191">
        <v>0.99905572229967876</v>
      </c>
      <c r="Q191">
        <v>0.96048005590736119</v>
      </c>
      <c r="R191">
        <v>0.52123463613360554</v>
      </c>
      <c r="S191">
        <v>0.42917786647375389</v>
      </c>
      <c r="T191">
        <v>0.15158946516087068</v>
      </c>
      <c r="U191">
        <v>0.76609101142140335</v>
      </c>
      <c r="V191">
        <v>0.69723761427159481</v>
      </c>
      <c r="W191">
        <v>0.57991806801045531</v>
      </c>
      <c r="X191">
        <v>0.4087791085373752</v>
      </c>
      <c r="Y191">
        <v>0.45080085750492438</v>
      </c>
      <c r="Z191">
        <v>0.40739874909400325</v>
      </c>
      <c r="AA191">
        <v>0.72177544592789267</v>
      </c>
      <c r="AB191">
        <v>0.77005601685441238</v>
      </c>
      <c r="AC191">
        <v>0.73564813572568499</v>
      </c>
      <c r="AD191">
        <v>0.59248054050989096</v>
      </c>
      <c r="AE191">
        <v>267.05161663086068</v>
      </c>
      <c r="AF191">
        <v>1172.8255283369665</v>
      </c>
      <c r="AG191">
        <v>2412.9014775706969</v>
      </c>
      <c r="AH191">
        <v>14989.1202854289</v>
      </c>
      <c r="AI191">
        <v>13517.802923285522</v>
      </c>
      <c r="AJ191">
        <v>39086.386178783541</v>
      </c>
      <c r="AK191">
        <v>16142.247024470149</v>
      </c>
      <c r="AL191">
        <v>2060.9628327224582</v>
      </c>
      <c r="AM191">
        <v>297.87557719864901</v>
      </c>
      <c r="AO191">
        <v>42569.837335300923</v>
      </c>
      <c r="AP191">
        <v>12.660920131764307</v>
      </c>
      <c r="AQ191">
        <v>45393.300191077207</v>
      </c>
      <c r="AR191">
        <v>12.829053354457132</v>
      </c>
      <c r="AS191" s="2">
        <f t="shared" si="14"/>
        <v>2823.4628557762844</v>
      </c>
      <c r="AT191" s="2">
        <f t="shared" si="15"/>
        <v>0.16813322269282516</v>
      </c>
      <c r="AV191">
        <f t="shared" si="16"/>
        <v>1223522.1758411299</v>
      </c>
      <c r="AW191">
        <f t="shared" si="17"/>
        <v>1237512.0352546361</v>
      </c>
      <c r="AY191">
        <f t="shared" si="18"/>
        <v>0</v>
      </c>
      <c r="AZ191">
        <f t="shared" si="19"/>
        <v>1</v>
      </c>
    </row>
    <row r="192" spans="1:52" x14ac:dyDescent="0.2">
      <c r="A192">
        <f t="shared" ref="A192:A255" si="21">A191+1</f>
        <v>188</v>
      </c>
      <c r="B192">
        <v>2.8747751299625812E-2</v>
      </c>
      <c r="C192">
        <v>2.5912234794431326E-2</v>
      </c>
      <c r="D192">
        <v>4.6778573405078627E-2</v>
      </c>
      <c r="E192">
        <v>3.9939722685094492E-2</v>
      </c>
      <c r="F192">
        <v>3.4281000532894179E-3</v>
      </c>
      <c r="G192">
        <v>1.1171301464463981E-2</v>
      </c>
      <c r="H192">
        <v>2.7216760876289089E-2</v>
      </c>
      <c r="I192">
        <v>0.14447355233892045</v>
      </c>
      <c r="J192">
        <v>0</v>
      </c>
      <c r="K192">
        <v>0.38088567136305373</v>
      </c>
      <c r="L192">
        <v>0.2224911051588464</v>
      </c>
      <c r="M192">
        <v>0.7775088948411536</v>
      </c>
      <c r="N192">
        <v>7.255809927532153E-2</v>
      </c>
      <c r="O192" s="72">
        <v>0.99309304639681628</v>
      </c>
      <c r="P192">
        <v>0.99660165907377851</v>
      </c>
      <c r="Q192">
        <v>0.96558292935399925</v>
      </c>
      <c r="R192">
        <v>0.49691736894481719</v>
      </c>
      <c r="S192">
        <v>0.52780000456490983</v>
      </c>
      <c r="T192">
        <v>0.20413719463173086</v>
      </c>
      <c r="U192">
        <v>0.79577378260962772</v>
      </c>
      <c r="V192">
        <v>0.6463734977714779</v>
      </c>
      <c r="W192">
        <v>0.56670723471963014</v>
      </c>
      <c r="X192">
        <v>0.4213026528743043</v>
      </c>
      <c r="Y192">
        <v>0.44459353933747364</v>
      </c>
      <c r="Z192">
        <v>0.43495606453368502</v>
      </c>
      <c r="AA192">
        <v>0.71980666975306051</v>
      </c>
      <c r="AB192">
        <v>0.80285058730440195</v>
      </c>
      <c r="AC192">
        <v>0.69988376952780407</v>
      </c>
      <c r="AD192">
        <v>0.58836045549802363</v>
      </c>
      <c r="AE192">
        <v>145.65952814113348</v>
      </c>
      <c r="AF192">
        <v>954.88023997865753</v>
      </c>
      <c r="AG192">
        <v>1362.7764159284245</v>
      </c>
      <c r="AH192">
        <v>10202.481280840244</v>
      </c>
      <c r="AI192">
        <v>9180.0253329282441</v>
      </c>
      <c r="AJ192">
        <v>39989.307192607725</v>
      </c>
      <c r="AK192">
        <v>9076.6389647328178</v>
      </c>
      <c r="AL192">
        <v>1875.6634402959107</v>
      </c>
      <c r="AM192">
        <v>285.23339559451318</v>
      </c>
      <c r="AO192">
        <v>39858.779576223737</v>
      </c>
      <c r="AP192">
        <v>13.013028795303997</v>
      </c>
      <c r="AQ192">
        <v>44924.466171434186</v>
      </c>
      <c r="AR192">
        <v>13.212746726450957</v>
      </c>
      <c r="AS192" s="2">
        <f t="shared" si="14"/>
        <v>5065.686595210449</v>
      </c>
      <c r="AT192" s="2">
        <f t="shared" si="15"/>
        <v>0.19971793114696013</v>
      </c>
      <c r="AV192">
        <f t="shared" si="16"/>
        <v>1261444.099954176</v>
      </c>
      <c r="AW192">
        <f t="shared" si="17"/>
        <v>1276350.2064736616</v>
      </c>
      <c r="AY192">
        <f t="shared" si="18"/>
        <v>0</v>
      </c>
      <c r="AZ192">
        <f t="shared" si="19"/>
        <v>1</v>
      </c>
    </row>
    <row r="193" spans="1:52" x14ac:dyDescent="0.2">
      <c r="A193">
        <f t="shared" si="21"/>
        <v>189</v>
      </c>
      <c r="B193">
        <v>2.2646545740218182E-2</v>
      </c>
      <c r="C193">
        <v>3.212151584398755E-2</v>
      </c>
      <c r="D193">
        <v>3.8300180670741368E-2</v>
      </c>
      <c r="E193">
        <v>6.9236829670379103E-3</v>
      </c>
      <c r="F193">
        <v>3.3295682464825494E-3</v>
      </c>
      <c r="G193">
        <v>6.9074255855989738E-3</v>
      </c>
      <c r="H193">
        <v>2.5308090675342915E-2</v>
      </c>
      <c r="I193">
        <v>0.15487262158855963</v>
      </c>
      <c r="J193">
        <v>0</v>
      </c>
      <c r="K193">
        <v>0.42370221128052177</v>
      </c>
      <c r="L193">
        <v>0.22381272229554261</v>
      </c>
      <c r="M193">
        <v>0.77618727770445739</v>
      </c>
      <c r="N193">
        <v>4.4157040478887834E-2</v>
      </c>
      <c r="O193" s="72">
        <v>0.99062473457057498</v>
      </c>
      <c r="P193">
        <v>0.9935668720861669</v>
      </c>
      <c r="Q193">
        <v>0.96611889421729069</v>
      </c>
      <c r="R193">
        <v>0.51703628999473406</v>
      </c>
      <c r="S193">
        <v>0.43458287148249897</v>
      </c>
      <c r="T193">
        <v>0.27511566825297007</v>
      </c>
      <c r="U193">
        <v>0.77279818540802325</v>
      </c>
      <c r="V193">
        <v>0.67142582931970562</v>
      </c>
      <c r="W193">
        <v>0.50144810702060394</v>
      </c>
      <c r="X193">
        <v>0.44254298985400758</v>
      </c>
      <c r="Y193">
        <v>0.43758527267145447</v>
      </c>
      <c r="Z193">
        <v>0.47086046238232326</v>
      </c>
      <c r="AA193">
        <v>0.70809926384901622</v>
      </c>
      <c r="AB193">
        <v>0.83495282407298133</v>
      </c>
      <c r="AC193">
        <v>0.7797759503384829</v>
      </c>
      <c r="AD193">
        <v>0.64054811936612566</v>
      </c>
      <c r="AE193">
        <v>162.21156408794707</v>
      </c>
      <c r="AF193">
        <v>992.18131114963046</v>
      </c>
      <c r="AG193">
        <v>2302.2405101369791</v>
      </c>
      <c r="AH193">
        <v>13280.09409566837</v>
      </c>
      <c r="AI193">
        <v>8530.9188813330566</v>
      </c>
      <c r="AJ193">
        <v>33893.087506477154</v>
      </c>
      <c r="AK193">
        <v>19192.97589747551</v>
      </c>
      <c r="AL193">
        <v>1695.5136112571417</v>
      </c>
      <c r="AM193">
        <v>469.10717712360423</v>
      </c>
      <c r="AO193">
        <v>41994.393243930739</v>
      </c>
      <c r="AP193">
        <v>13.704239976308235</v>
      </c>
      <c r="AQ193">
        <v>48056.019593973528</v>
      </c>
      <c r="AR193">
        <v>13.875015008662311</v>
      </c>
      <c r="AS193" s="2">
        <f t="shared" si="14"/>
        <v>6061.6263500427885</v>
      </c>
      <c r="AT193" s="2">
        <f t="shared" si="15"/>
        <v>0.17077503235407576</v>
      </c>
      <c r="AV193">
        <f t="shared" si="16"/>
        <v>1328429.6043868929</v>
      </c>
      <c r="AW193">
        <f t="shared" si="17"/>
        <v>1339445.4812722574</v>
      </c>
      <c r="AY193">
        <f t="shared" si="18"/>
        <v>0</v>
      </c>
      <c r="AZ193">
        <f t="shared" si="19"/>
        <v>1</v>
      </c>
    </row>
    <row r="194" spans="1:52" x14ac:dyDescent="0.2">
      <c r="A194">
        <f t="shared" si="21"/>
        <v>190</v>
      </c>
      <c r="B194">
        <v>2.8928653835834428E-2</v>
      </c>
      <c r="C194">
        <v>3.3270195979204546E-2</v>
      </c>
      <c r="D194">
        <v>5.007635593772608E-2</v>
      </c>
      <c r="E194">
        <v>3.2855060892121646E-2</v>
      </c>
      <c r="F194">
        <v>3.3424422054219027E-3</v>
      </c>
      <c r="G194">
        <v>3.5109551658093485E-2</v>
      </c>
      <c r="H194">
        <v>3.1890442865418089E-2</v>
      </c>
      <c r="I194">
        <v>0.13677288089367512</v>
      </c>
      <c r="J194">
        <v>0</v>
      </c>
      <c r="K194">
        <v>0.42931446569888204</v>
      </c>
      <c r="L194">
        <v>0.1772932056466508</v>
      </c>
      <c r="M194">
        <v>0.82270679435334926</v>
      </c>
      <c r="N194">
        <v>4.5741291632573532E-2</v>
      </c>
      <c r="O194" s="72">
        <v>0.98849462263939392</v>
      </c>
      <c r="P194">
        <v>0.9996008764638088</v>
      </c>
      <c r="Q194">
        <v>0.98698553783677212</v>
      </c>
      <c r="R194">
        <v>0.50380666252516682</v>
      </c>
      <c r="S194">
        <v>0.3959050186514288</v>
      </c>
      <c r="T194">
        <v>0.24797910348257268</v>
      </c>
      <c r="U194">
        <v>0.7826705939778027</v>
      </c>
      <c r="V194">
        <v>0.66422047531920003</v>
      </c>
      <c r="W194">
        <v>0.52727752769976155</v>
      </c>
      <c r="X194">
        <v>0.38939084203046526</v>
      </c>
      <c r="Y194">
        <v>0.45735831021129036</v>
      </c>
      <c r="Z194">
        <v>0.4795175861478167</v>
      </c>
      <c r="AA194">
        <v>0.6816958596825291</v>
      </c>
      <c r="AB194">
        <v>0.84748787074969822</v>
      </c>
      <c r="AC194">
        <v>0.76128913370571882</v>
      </c>
      <c r="AD194">
        <v>0.59808072214191577</v>
      </c>
      <c r="AE194">
        <v>272.91314214675168</v>
      </c>
      <c r="AF194">
        <v>1031.4167258587504</v>
      </c>
      <c r="AG194">
        <v>1957.1080770430419</v>
      </c>
      <c r="AH194">
        <v>16850.532305612811</v>
      </c>
      <c r="AI194">
        <v>11110.644483430216</v>
      </c>
      <c r="AJ194">
        <v>37156.916044013757</v>
      </c>
      <c r="AK194">
        <v>9738.7911406409021</v>
      </c>
      <c r="AL194">
        <v>1511.8428244130332</v>
      </c>
      <c r="AM194">
        <v>335.45454426522571</v>
      </c>
      <c r="AO194">
        <v>41598.828611294775</v>
      </c>
      <c r="AP194">
        <v>13.713316647550457</v>
      </c>
      <c r="AQ194">
        <v>45836.125569090123</v>
      </c>
      <c r="AR194">
        <v>13.957606544167486</v>
      </c>
      <c r="AS194" s="2">
        <f t="shared" si="14"/>
        <v>4237.2969577953481</v>
      </c>
      <c r="AT194" s="2">
        <f t="shared" si="15"/>
        <v>0.24428989661702971</v>
      </c>
      <c r="AV194">
        <f t="shared" si="16"/>
        <v>1329732.8361437509</v>
      </c>
      <c r="AW194">
        <f t="shared" si="17"/>
        <v>1349924.5288476585</v>
      </c>
      <c r="AY194">
        <f t="shared" si="18"/>
        <v>0</v>
      </c>
      <c r="AZ194">
        <f t="shared" si="19"/>
        <v>1</v>
      </c>
    </row>
    <row r="195" spans="1:52" x14ac:dyDescent="0.2">
      <c r="A195">
        <f t="shared" si="21"/>
        <v>191</v>
      </c>
      <c r="B195">
        <v>3.0772550775333252E-2</v>
      </c>
      <c r="C195">
        <v>4.0775917988885246E-2</v>
      </c>
      <c r="D195">
        <v>3.1203623511436584E-2</v>
      </c>
      <c r="E195">
        <v>1.7333887990908958E-2</v>
      </c>
      <c r="F195">
        <v>3.2925609261031121E-3</v>
      </c>
      <c r="G195">
        <v>1.2454743775988208E-2</v>
      </c>
      <c r="H195">
        <v>4.5530112342850204E-2</v>
      </c>
      <c r="I195">
        <v>0.12832681095060444</v>
      </c>
      <c r="J195">
        <v>0</v>
      </c>
      <c r="K195">
        <v>0.44725165848519055</v>
      </c>
      <c r="L195">
        <v>0.22045556519721821</v>
      </c>
      <c r="M195">
        <v>0.77954443480278179</v>
      </c>
      <c r="N195">
        <v>5.3898124312230511E-2</v>
      </c>
      <c r="O195" s="72">
        <v>0.98870644718184242</v>
      </c>
      <c r="P195">
        <v>0.99977802958307038</v>
      </c>
      <c r="Q195">
        <v>0.97451763416963488</v>
      </c>
      <c r="R195">
        <v>0.46762831378518988</v>
      </c>
      <c r="S195">
        <v>0.43788407828597531</v>
      </c>
      <c r="T195">
        <v>0.19305198652151501</v>
      </c>
      <c r="U195">
        <v>0.77382739863301653</v>
      </c>
      <c r="V195">
        <v>0.63895334272684501</v>
      </c>
      <c r="W195">
        <v>0.68149100078242353</v>
      </c>
      <c r="X195">
        <v>0.48272012675451903</v>
      </c>
      <c r="Y195">
        <v>0.41678973793231128</v>
      </c>
      <c r="Z195">
        <v>0.46599474296928844</v>
      </c>
      <c r="AA195">
        <v>0.75468700957293411</v>
      </c>
      <c r="AB195">
        <v>0.79113108709399593</v>
      </c>
      <c r="AC195">
        <v>0.76450295503067212</v>
      </c>
      <c r="AD195">
        <v>0.63664548991474934</v>
      </c>
      <c r="AE195">
        <v>304.45253615861168</v>
      </c>
      <c r="AF195">
        <v>1139.3252673890872</v>
      </c>
      <c r="AG195">
        <v>1392.8584982985894</v>
      </c>
      <c r="AH195">
        <v>15525.492977770586</v>
      </c>
      <c r="AI195">
        <v>12808.173164817805</v>
      </c>
      <c r="AJ195">
        <v>36510.048277772192</v>
      </c>
      <c r="AK195">
        <v>15428.517439622043</v>
      </c>
      <c r="AL195">
        <v>3442.5062847307804</v>
      </c>
      <c r="AM195">
        <v>382.36938607414947</v>
      </c>
      <c r="AO195">
        <v>44860.457799826632</v>
      </c>
      <c r="AP195">
        <v>13.095317292173876</v>
      </c>
      <c r="AQ195">
        <v>46609.034295486148</v>
      </c>
      <c r="AR195">
        <v>13.238168724747757</v>
      </c>
      <c r="AS195" s="2">
        <f t="shared" si="14"/>
        <v>1748.5764956595158</v>
      </c>
      <c r="AT195" s="2">
        <f t="shared" si="15"/>
        <v>0.142851432573881</v>
      </c>
      <c r="AV195">
        <f t="shared" si="16"/>
        <v>1264671.271417561</v>
      </c>
      <c r="AW195">
        <f t="shared" si="17"/>
        <v>1277207.8381792896</v>
      </c>
      <c r="AY195">
        <f t="shared" si="18"/>
        <v>0</v>
      </c>
      <c r="AZ195">
        <f t="shared" si="19"/>
        <v>1</v>
      </c>
    </row>
    <row r="196" spans="1:52" x14ac:dyDescent="0.2">
      <c r="A196">
        <f t="shared" si="21"/>
        <v>192</v>
      </c>
      <c r="B196">
        <v>2.4680494393384777E-2</v>
      </c>
      <c r="C196">
        <v>2.871272645466396E-2</v>
      </c>
      <c r="D196">
        <v>4.6632355793989166E-2</v>
      </c>
      <c r="E196">
        <v>1.9619562977263194E-2</v>
      </c>
      <c r="F196">
        <v>3.4298846088526291E-3</v>
      </c>
      <c r="G196">
        <v>1.3284424662238004E-2</v>
      </c>
      <c r="H196">
        <v>6.4171750452526211E-2</v>
      </c>
      <c r="I196">
        <v>0.12213846307206896</v>
      </c>
      <c r="J196">
        <v>0</v>
      </c>
      <c r="K196">
        <v>0.42378045594150099</v>
      </c>
      <c r="L196">
        <v>0.19033147188922614</v>
      </c>
      <c r="M196">
        <v>0.80966852811077383</v>
      </c>
      <c r="N196">
        <v>7.4538763887223469E-2</v>
      </c>
      <c r="O196" s="72">
        <v>0.99846162866442012</v>
      </c>
      <c r="P196">
        <v>0.99999707297091578</v>
      </c>
      <c r="Q196">
        <v>0.99356377374431104</v>
      </c>
      <c r="R196">
        <v>0.50953066301557404</v>
      </c>
      <c r="S196">
        <v>0.40881358699833514</v>
      </c>
      <c r="T196">
        <v>0.3628569332601117</v>
      </c>
      <c r="U196">
        <v>0.77298057291711286</v>
      </c>
      <c r="V196">
        <v>0.56370285613134341</v>
      </c>
      <c r="W196">
        <v>0.52883253686745513</v>
      </c>
      <c r="X196">
        <v>0.44662852813856546</v>
      </c>
      <c r="Y196">
        <v>0.45948992009806733</v>
      </c>
      <c r="Z196">
        <v>0.43015176681560313</v>
      </c>
      <c r="AA196">
        <v>0.63023231090573029</v>
      </c>
      <c r="AB196">
        <v>0.90337320653691366</v>
      </c>
      <c r="AC196">
        <v>0.82688170524407567</v>
      </c>
      <c r="AD196">
        <v>0.59162222546128462</v>
      </c>
      <c r="AE196">
        <v>204.11034119332467</v>
      </c>
      <c r="AF196">
        <v>1061.0940158957856</v>
      </c>
      <c r="AG196">
        <v>2107.9491290384794</v>
      </c>
      <c r="AH196">
        <v>15441.602441241846</v>
      </c>
      <c r="AI196">
        <v>12328.122287763661</v>
      </c>
      <c r="AJ196">
        <v>41431.391142638226</v>
      </c>
      <c r="AK196">
        <v>15610.120684146976</v>
      </c>
      <c r="AL196">
        <v>1877.2621900137397</v>
      </c>
      <c r="AM196">
        <v>364.78638731379192</v>
      </c>
      <c r="AO196">
        <v>40175.521234554239</v>
      </c>
      <c r="AP196">
        <v>14.601715030457822</v>
      </c>
      <c r="AQ196">
        <v>46203.794623452952</v>
      </c>
      <c r="AR196">
        <v>14.844981893841837</v>
      </c>
      <c r="AS196" s="2">
        <f t="shared" si="14"/>
        <v>6028.2733888987132</v>
      </c>
      <c r="AT196" s="2">
        <f t="shared" si="15"/>
        <v>0.24326686338401515</v>
      </c>
      <c r="AV196">
        <f t="shared" si="16"/>
        <v>1419995.981811228</v>
      </c>
      <c r="AW196">
        <f t="shared" si="17"/>
        <v>1438294.3947607307</v>
      </c>
      <c r="AY196">
        <f t="shared" si="18"/>
        <v>0</v>
      </c>
      <c r="AZ196">
        <f t="shared" si="19"/>
        <v>1</v>
      </c>
    </row>
    <row r="197" spans="1:52" x14ac:dyDescent="0.2">
      <c r="A197">
        <f t="shared" si="21"/>
        <v>193</v>
      </c>
      <c r="B197">
        <v>2.0001705606392622E-2</v>
      </c>
      <c r="C197">
        <v>4.8628267663026636E-2</v>
      </c>
      <c r="D197">
        <v>3.0800388452579552E-2</v>
      </c>
      <c r="E197">
        <v>6.4868017086634078E-3</v>
      </c>
      <c r="F197">
        <v>3.3124814590330424E-3</v>
      </c>
      <c r="G197">
        <v>2.5356917642765254E-3</v>
      </c>
      <c r="H197">
        <v>2.6435169710483809E-2</v>
      </c>
      <c r="I197">
        <v>0.11971431100319696</v>
      </c>
      <c r="J197">
        <v>0</v>
      </c>
      <c r="K197">
        <v>0.43284130502352458</v>
      </c>
      <c r="L197">
        <v>0.22529456748812149</v>
      </c>
      <c r="M197">
        <v>0.77470543251187851</v>
      </c>
      <c r="N197">
        <v>3.9672576314896436E-2</v>
      </c>
      <c r="O197" s="72">
        <v>0.99802028341663607</v>
      </c>
      <c r="P197">
        <v>0.99931577577308528</v>
      </c>
      <c r="Q197">
        <v>0.9925338736409367</v>
      </c>
      <c r="R197">
        <v>0.49646316392501588</v>
      </c>
      <c r="S197">
        <v>0.38393629185192346</v>
      </c>
      <c r="T197">
        <v>0.28872118934149682</v>
      </c>
      <c r="U197">
        <v>0.79429111017993981</v>
      </c>
      <c r="V197">
        <v>0.64845185845271802</v>
      </c>
      <c r="W197">
        <v>0.53045654164877265</v>
      </c>
      <c r="X197">
        <v>0.46155633716394029</v>
      </c>
      <c r="Y197">
        <v>0.45810268770542961</v>
      </c>
      <c r="Z197">
        <v>0.44565092948050194</v>
      </c>
      <c r="AA197">
        <v>0.73304416300809372</v>
      </c>
      <c r="AB197">
        <v>0.81421561665517783</v>
      </c>
      <c r="AC197">
        <v>0.76652860672456269</v>
      </c>
      <c r="AD197">
        <v>0.6604370015537091</v>
      </c>
      <c r="AE197">
        <v>193.4920206540107</v>
      </c>
      <c r="AF197">
        <v>964.89925464949226</v>
      </c>
      <c r="AG197">
        <v>2149.2354177697475</v>
      </c>
      <c r="AH197">
        <v>17631.108511715767</v>
      </c>
      <c r="AI197">
        <v>12758.760146851782</v>
      </c>
      <c r="AJ197">
        <v>42581.269826392469</v>
      </c>
      <c r="AK197">
        <v>10278.356337383429</v>
      </c>
      <c r="AL197">
        <v>2339.6509771715419</v>
      </c>
      <c r="AM197">
        <v>347.94923154681339</v>
      </c>
      <c r="AO197">
        <v>41863.889260613731</v>
      </c>
      <c r="AP197">
        <v>13.458240093997498</v>
      </c>
      <c r="AQ197">
        <v>46010.80798512866</v>
      </c>
      <c r="AR197">
        <v>13.594887769097305</v>
      </c>
      <c r="AS197" s="2">
        <f t="shared" si="14"/>
        <v>4146.9187245149296</v>
      </c>
      <c r="AT197" s="2">
        <f t="shared" si="15"/>
        <v>0.13664767509980713</v>
      </c>
      <c r="AV197">
        <f t="shared" si="16"/>
        <v>1303960.120139136</v>
      </c>
      <c r="AW197">
        <f t="shared" si="17"/>
        <v>1313477.9689246018</v>
      </c>
      <c r="AY197">
        <f t="shared" si="18"/>
        <v>0</v>
      </c>
      <c r="AZ197">
        <f t="shared" si="19"/>
        <v>1</v>
      </c>
    </row>
    <row r="198" spans="1:52" x14ac:dyDescent="0.2">
      <c r="A198">
        <f t="shared" si="21"/>
        <v>194</v>
      </c>
      <c r="B198">
        <v>2.5499636417963378E-2</v>
      </c>
      <c r="C198">
        <v>2.9803005452475884E-2</v>
      </c>
      <c r="D198">
        <v>2.7170321591499666E-2</v>
      </c>
      <c r="E198">
        <v>8.9448030979384814E-3</v>
      </c>
      <c r="F198">
        <v>3.3808160192352332E-3</v>
      </c>
      <c r="G198">
        <v>7.4285858679573429E-3</v>
      </c>
      <c r="H198">
        <v>4.3367288523892711E-2</v>
      </c>
      <c r="I198">
        <v>0.12667854022544492</v>
      </c>
      <c r="J198">
        <v>0</v>
      </c>
      <c r="K198">
        <v>0.42241688627777674</v>
      </c>
      <c r="L198">
        <v>0.24219091040797469</v>
      </c>
      <c r="M198">
        <v>0.75780908959202531</v>
      </c>
      <c r="N198">
        <v>4.9462092691981381E-2</v>
      </c>
      <c r="O198" s="72">
        <v>0.98338517857821117</v>
      </c>
      <c r="P198">
        <v>0.99999281550081531</v>
      </c>
      <c r="Q198">
        <v>0.96426875262336786</v>
      </c>
      <c r="R198">
        <v>0.519257898883416</v>
      </c>
      <c r="S198">
        <v>0.38479057429970176</v>
      </c>
      <c r="T198">
        <v>0.2407912527885957</v>
      </c>
      <c r="U198">
        <v>0.80734466196359833</v>
      </c>
      <c r="V198">
        <v>0.57932876416789481</v>
      </c>
      <c r="W198">
        <v>0.56655736901652776</v>
      </c>
      <c r="X198">
        <v>0.4390079098308271</v>
      </c>
      <c r="Y198">
        <v>0.4584751461388259</v>
      </c>
      <c r="Z198">
        <v>0.42947457989131105</v>
      </c>
      <c r="AA198">
        <v>0.6508812655738746</v>
      </c>
      <c r="AB198">
        <v>0.73398684996169716</v>
      </c>
      <c r="AC198">
        <v>0.74607164221904565</v>
      </c>
      <c r="AD198">
        <v>0.56052766110180241</v>
      </c>
      <c r="AE198">
        <v>123.2107404138789</v>
      </c>
      <c r="AF198">
        <v>1211.5386864533195</v>
      </c>
      <c r="AG198">
        <v>1249.9041485399846</v>
      </c>
      <c r="AH198">
        <v>15111.735357043361</v>
      </c>
      <c r="AI198">
        <v>13918.014674778507</v>
      </c>
      <c r="AJ198">
        <v>39421.926154895373</v>
      </c>
      <c r="AK198">
        <v>15420.084051347432</v>
      </c>
      <c r="AL198">
        <v>1922.4929777146883</v>
      </c>
      <c r="AM198">
        <v>428.21011944278507</v>
      </c>
      <c r="AO198">
        <v>42303.16528610704</v>
      </c>
      <c r="AP198">
        <v>12.266474667487683</v>
      </c>
      <c r="AQ198">
        <v>47232.854986155035</v>
      </c>
      <c r="AR198">
        <v>12.306382474305167</v>
      </c>
      <c r="AS198" s="2">
        <f t="shared" ref="AS198:AS261" si="22">AQ198-AO198</f>
        <v>4929.6897000479948</v>
      </c>
      <c r="AT198" s="2">
        <f t="shared" ref="AT198:AT261" si="23">AR198-AP198</f>
        <v>3.9907806817483404E-2</v>
      </c>
      <c r="AV198">
        <f t="shared" ref="AV198:AV261" si="24">$AW$1*AP198-AO198</f>
        <v>1184344.3014626612</v>
      </c>
      <c r="AW198">
        <f t="shared" ref="AW198:AW261" si="25">$AW$1*AR198-AQ198</f>
        <v>1183405.3924443617</v>
      </c>
      <c r="AY198">
        <f t="shared" ref="AY198:AY261" si="26">IF(AV198=MAX($AV198:$AW198),1,0)</f>
        <v>1</v>
      </c>
      <c r="AZ198">
        <f t="shared" ref="AZ198:AZ261" si="27">IF(AW198=MAX($AV198:$AW198),1,0)</f>
        <v>0</v>
      </c>
    </row>
    <row r="199" spans="1:52" x14ac:dyDescent="0.2">
      <c r="A199">
        <f t="shared" si="21"/>
        <v>195</v>
      </c>
      <c r="B199">
        <v>1.9745617704964916E-2</v>
      </c>
      <c r="C199">
        <v>3.7023603429401475E-2</v>
      </c>
      <c r="D199">
        <v>4.3326470877951384E-2</v>
      </c>
      <c r="E199">
        <v>3.5401629794828164E-3</v>
      </c>
      <c r="F199">
        <v>3.2928955368916454E-3</v>
      </c>
      <c r="G199">
        <v>1.5639830113883701E-2</v>
      </c>
      <c r="H199">
        <v>2.8119775858813829E-2</v>
      </c>
      <c r="I199">
        <v>0.13866865965387654</v>
      </c>
      <c r="J199">
        <v>0</v>
      </c>
      <c r="K199">
        <v>0.41778632917156677</v>
      </c>
      <c r="L199">
        <v>0.2662705503468028</v>
      </c>
      <c r="M199">
        <v>0.7337294496531972</v>
      </c>
      <c r="N199">
        <v>5.5263188258195345E-2</v>
      </c>
      <c r="O199" s="72">
        <v>0.99986083100163514</v>
      </c>
      <c r="P199">
        <v>0.99676548116738428</v>
      </c>
      <c r="Q199">
        <v>0.97628020674441063</v>
      </c>
      <c r="R199">
        <v>0.46019880279057535</v>
      </c>
      <c r="S199">
        <v>0.47542177780930672</v>
      </c>
      <c r="T199">
        <v>0.30090708542745725</v>
      </c>
      <c r="U199">
        <v>0.78012683805260874</v>
      </c>
      <c r="V199">
        <v>0.62015046298755661</v>
      </c>
      <c r="W199">
        <v>0.53924854560298552</v>
      </c>
      <c r="X199">
        <v>0.44492444819557281</v>
      </c>
      <c r="Y199">
        <v>0.45512882590654824</v>
      </c>
      <c r="Z199">
        <v>0.46226733435381895</v>
      </c>
      <c r="AA199">
        <v>0.65156448314182769</v>
      </c>
      <c r="AB199">
        <v>0.79536919401614858</v>
      </c>
      <c r="AC199">
        <v>0.69459702003259205</v>
      </c>
      <c r="AD199">
        <v>0.64149287325512838</v>
      </c>
      <c r="AE199">
        <v>143.36401220227307</v>
      </c>
      <c r="AF199">
        <v>1198.0269953380223</v>
      </c>
      <c r="AG199">
        <v>1676.0515463698098</v>
      </c>
      <c r="AH199">
        <v>15308.029029496935</v>
      </c>
      <c r="AI199">
        <v>12106.77940321355</v>
      </c>
      <c r="AJ199">
        <v>44549.366044980336</v>
      </c>
      <c r="AK199">
        <v>12854.133363543353</v>
      </c>
      <c r="AL199">
        <v>2306.8531478552713</v>
      </c>
      <c r="AM199">
        <v>426.83332308271747</v>
      </c>
      <c r="AO199">
        <v>43455.87683792234</v>
      </c>
      <c r="AP199">
        <v>13.044312738128198</v>
      </c>
      <c r="AQ199">
        <v>47226.29207319385</v>
      </c>
      <c r="AR199">
        <v>13.174729986914357</v>
      </c>
      <c r="AS199" s="2">
        <f t="shared" si="22"/>
        <v>3770.41523527151</v>
      </c>
      <c r="AT199" s="2">
        <f t="shared" si="23"/>
        <v>0.13041724878615923</v>
      </c>
      <c r="AV199">
        <f t="shared" si="24"/>
        <v>1260975.3969748975</v>
      </c>
      <c r="AW199">
        <f t="shared" si="25"/>
        <v>1270246.7066182417</v>
      </c>
      <c r="AY199">
        <f t="shared" si="26"/>
        <v>0</v>
      </c>
      <c r="AZ199">
        <f t="shared" si="27"/>
        <v>1</v>
      </c>
    </row>
    <row r="200" spans="1:52" x14ac:dyDescent="0.2">
      <c r="A200">
        <f t="shared" si="21"/>
        <v>196</v>
      </c>
      <c r="B200">
        <v>2.9107600792115274E-2</v>
      </c>
      <c r="C200">
        <v>3.7941139464108931E-2</v>
      </c>
      <c r="D200">
        <v>5.1452319762852805E-2</v>
      </c>
      <c r="E200">
        <v>7.1257761398998568E-3</v>
      </c>
      <c r="F200">
        <v>3.2670425426734027E-3</v>
      </c>
      <c r="G200">
        <v>2.5889269320126806E-2</v>
      </c>
      <c r="H200">
        <v>4.6772568345176846E-2</v>
      </c>
      <c r="I200">
        <v>0.1345009470038262</v>
      </c>
      <c r="J200">
        <v>0</v>
      </c>
      <c r="K200">
        <v>0.41491526812018026</v>
      </c>
      <c r="L200">
        <v>0.3103263965261851</v>
      </c>
      <c r="M200">
        <v>0.6896736034738149</v>
      </c>
      <c r="N200">
        <v>5.0691146263014138E-2</v>
      </c>
      <c r="O200" s="72">
        <v>0.99993156861545351</v>
      </c>
      <c r="P200">
        <v>0.96915660201817166</v>
      </c>
      <c r="Q200">
        <v>0.97499477597494433</v>
      </c>
      <c r="R200">
        <v>0.42903098223357905</v>
      </c>
      <c r="S200">
        <v>0.31120838249062199</v>
      </c>
      <c r="T200">
        <v>0.16887838651207698</v>
      </c>
      <c r="U200">
        <v>0.78381035437885593</v>
      </c>
      <c r="V200">
        <v>0.63733264059563455</v>
      </c>
      <c r="W200">
        <v>0.54156308848601042</v>
      </c>
      <c r="X200">
        <v>0.46017524468638948</v>
      </c>
      <c r="Y200">
        <v>0.42694925336963013</v>
      </c>
      <c r="Z200">
        <v>0.48244630193975235</v>
      </c>
      <c r="AA200">
        <v>0.69518486622105291</v>
      </c>
      <c r="AB200">
        <v>0.80834045591254078</v>
      </c>
      <c r="AC200">
        <v>0.63314351564672056</v>
      </c>
      <c r="AD200">
        <v>0.55453853598987701</v>
      </c>
      <c r="AE200">
        <v>193.95895410949311</v>
      </c>
      <c r="AF200">
        <v>1202.6024764576225</v>
      </c>
      <c r="AG200">
        <v>2289.1002433486829</v>
      </c>
      <c r="AH200">
        <v>14321.939822901817</v>
      </c>
      <c r="AI200">
        <v>7469.2108933356531</v>
      </c>
      <c r="AJ200">
        <v>34881.203516490554</v>
      </c>
      <c r="AK200">
        <v>17829.285252125672</v>
      </c>
      <c r="AL200">
        <v>1519.6943376015458</v>
      </c>
      <c r="AM200">
        <v>409.57376927656918</v>
      </c>
      <c r="AO200">
        <v>50032.961797292199</v>
      </c>
      <c r="AP200">
        <v>12.900134362302191</v>
      </c>
      <c r="AQ200">
        <v>47898.218471163476</v>
      </c>
      <c r="AR200">
        <v>13.122695472572882</v>
      </c>
      <c r="AS200" s="2">
        <f t="shared" si="22"/>
        <v>-2134.7433261287224</v>
      </c>
      <c r="AT200" s="2">
        <f t="shared" si="23"/>
        <v>0.22256111027069103</v>
      </c>
      <c r="AV200">
        <f t="shared" si="24"/>
        <v>1239980.4744329271</v>
      </c>
      <c r="AW200">
        <f t="shared" si="25"/>
        <v>1264371.3287861247</v>
      </c>
      <c r="AY200">
        <f t="shared" si="26"/>
        <v>0</v>
      </c>
      <c r="AZ200">
        <f t="shared" si="27"/>
        <v>1</v>
      </c>
    </row>
    <row r="201" spans="1:52" x14ac:dyDescent="0.2">
      <c r="A201">
        <f t="shared" si="21"/>
        <v>197</v>
      </c>
      <c r="B201">
        <v>2.8943672483105698E-2</v>
      </c>
      <c r="C201">
        <v>3.3730237879499109E-2</v>
      </c>
      <c r="D201">
        <v>2.5545063183387388E-2</v>
      </c>
      <c r="E201">
        <v>3.1106153457755551E-3</v>
      </c>
      <c r="F201">
        <v>3.2064004969284167E-3</v>
      </c>
      <c r="G201">
        <v>8.6851064695061177E-3</v>
      </c>
      <c r="H201">
        <v>3.6523684988256866E-2</v>
      </c>
      <c r="I201">
        <v>0.14766513517667734</v>
      </c>
      <c r="J201">
        <v>0</v>
      </c>
      <c r="K201">
        <v>0.43115106605543008</v>
      </c>
      <c r="L201">
        <v>0.22246330794287905</v>
      </c>
      <c r="M201">
        <v>0.77753669205712095</v>
      </c>
      <c r="N201">
        <v>5.210737803128325E-2</v>
      </c>
      <c r="O201" s="72">
        <v>0.99224213609427148</v>
      </c>
      <c r="P201">
        <v>0.97770287041239268</v>
      </c>
      <c r="Q201">
        <v>0.98704561889564046</v>
      </c>
      <c r="R201">
        <v>0.38719880849019084</v>
      </c>
      <c r="S201">
        <v>0.44738187309595179</v>
      </c>
      <c r="T201">
        <v>0.14337500539254433</v>
      </c>
      <c r="U201">
        <v>0.77472183567629149</v>
      </c>
      <c r="V201">
        <v>0.67261956564926995</v>
      </c>
      <c r="W201">
        <v>0.61192253255476026</v>
      </c>
      <c r="X201">
        <v>0.44915793572529739</v>
      </c>
      <c r="Y201">
        <v>0.40792966413464282</v>
      </c>
      <c r="Z201">
        <v>0.43267825623788436</v>
      </c>
      <c r="AA201">
        <v>0.61772202781918306</v>
      </c>
      <c r="AB201">
        <v>0.78970516222254594</v>
      </c>
      <c r="AC201">
        <v>0.79815390672589293</v>
      </c>
      <c r="AD201">
        <v>0.62968136376090245</v>
      </c>
      <c r="AE201">
        <v>171.95665482047821</v>
      </c>
      <c r="AF201">
        <v>1236.2130093090295</v>
      </c>
      <c r="AG201">
        <v>1611.5806754332768</v>
      </c>
      <c r="AH201">
        <v>22522.701058570212</v>
      </c>
      <c r="AI201">
        <v>11286.460076176223</v>
      </c>
      <c r="AJ201">
        <v>38855.337032974909</v>
      </c>
      <c r="AK201">
        <v>21356.047834444671</v>
      </c>
      <c r="AL201">
        <v>834.12099483548081</v>
      </c>
      <c r="AM201">
        <v>355.60523462901995</v>
      </c>
      <c r="AO201">
        <v>51360.812670586478</v>
      </c>
      <c r="AP201">
        <v>13.144711668005685</v>
      </c>
      <c r="AQ201">
        <v>46837.889808734115</v>
      </c>
      <c r="AR201">
        <v>13.268387954859755</v>
      </c>
      <c r="AS201" s="2">
        <f t="shared" si="22"/>
        <v>-4522.922861852363</v>
      </c>
      <c r="AT201" s="2">
        <f t="shared" si="23"/>
        <v>0.12367628685406906</v>
      </c>
      <c r="AV201">
        <f t="shared" si="24"/>
        <v>1263110.3541299822</v>
      </c>
      <c r="AW201">
        <f t="shared" si="25"/>
        <v>1280000.9056772413</v>
      </c>
      <c r="AY201">
        <f t="shared" si="26"/>
        <v>0</v>
      </c>
      <c r="AZ201">
        <f t="shared" si="27"/>
        <v>1</v>
      </c>
    </row>
    <row r="202" spans="1:52" x14ac:dyDescent="0.2">
      <c r="A202">
        <f t="shared" si="21"/>
        <v>198</v>
      </c>
      <c r="B202">
        <v>2.82678003904695E-2</v>
      </c>
      <c r="C202">
        <v>3.8521933922456619E-2</v>
      </c>
      <c r="D202">
        <v>3.8662861029265083E-2</v>
      </c>
      <c r="E202">
        <v>9.5003811955673978E-3</v>
      </c>
      <c r="F202">
        <v>3.3364623544036771E-3</v>
      </c>
      <c r="G202">
        <v>2.4889178548981317E-2</v>
      </c>
      <c r="H202">
        <v>7.9727196906355779E-3</v>
      </c>
      <c r="I202">
        <v>0.12377064259677595</v>
      </c>
      <c r="J202">
        <v>0</v>
      </c>
      <c r="K202">
        <v>0.42943455828289984</v>
      </c>
      <c r="L202">
        <v>0.25629818766056844</v>
      </c>
      <c r="M202">
        <v>0.74370181233943156</v>
      </c>
      <c r="N202">
        <v>3.8194827848346033E-2</v>
      </c>
      <c r="O202" s="72">
        <v>0.99979911379475239</v>
      </c>
      <c r="P202">
        <v>0.99998951328128538</v>
      </c>
      <c r="Q202">
        <v>0.99427846975634715</v>
      </c>
      <c r="R202">
        <v>0.48429801566161557</v>
      </c>
      <c r="S202">
        <v>0.44656150310183806</v>
      </c>
      <c r="T202">
        <v>0.18914756921545839</v>
      </c>
      <c r="U202">
        <v>0.77606390615842935</v>
      </c>
      <c r="V202">
        <v>0.61057416328510772</v>
      </c>
      <c r="W202">
        <v>0.49541938377533673</v>
      </c>
      <c r="X202">
        <v>0.50734833383624478</v>
      </c>
      <c r="Y202">
        <v>0.46730824027493267</v>
      </c>
      <c r="Z202">
        <v>0.47183719631538112</v>
      </c>
      <c r="AA202">
        <v>0.60247662230719168</v>
      </c>
      <c r="AB202">
        <v>0.81983760859929955</v>
      </c>
      <c r="AC202">
        <v>0.79755611511823243</v>
      </c>
      <c r="AD202">
        <v>0.53367914805893213</v>
      </c>
      <c r="AE202">
        <v>173.17514450149332</v>
      </c>
      <c r="AF202">
        <v>862.61084502023925</v>
      </c>
      <c r="AG202">
        <v>2297.6767338996997</v>
      </c>
      <c r="AH202">
        <v>15414.876038722343</v>
      </c>
      <c r="AI202">
        <v>12330.416217254549</v>
      </c>
      <c r="AJ202">
        <v>36422.583222913483</v>
      </c>
      <c r="AK202">
        <v>8881.3881335564129</v>
      </c>
      <c r="AL202">
        <v>1303.9788621519749</v>
      </c>
      <c r="AM202">
        <v>426.91072937722214</v>
      </c>
      <c r="AO202">
        <v>44787.497889871724</v>
      </c>
      <c r="AP202">
        <v>13.375461316646783</v>
      </c>
      <c r="AQ202">
        <v>47123.871252610319</v>
      </c>
      <c r="AR202">
        <v>13.554506531056489</v>
      </c>
      <c r="AS202" s="2">
        <f t="shared" si="22"/>
        <v>2336.3733627385955</v>
      </c>
      <c r="AT202" s="2">
        <f t="shared" si="23"/>
        <v>0.17904521440970633</v>
      </c>
      <c r="AV202">
        <f t="shared" si="24"/>
        <v>1292758.6337748065</v>
      </c>
      <c r="AW202">
        <f t="shared" si="25"/>
        <v>1308326.7818530386</v>
      </c>
      <c r="AY202">
        <f t="shared" si="26"/>
        <v>0</v>
      </c>
      <c r="AZ202">
        <f t="shared" si="27"/>
        <v>1</v>
      </c>
    </row>
    <row r="203" spans="1:52" x14ac:dyDescent="0.2">
      <c r="A203">
        <f t="shared" si="21"/>
        <v>199</v>
      </c>
      <c r="B203">
        <v>2.5895907672402574E-2</v>
      </c>
      <c r="C203">
        <v>3.5317818431764014E-2</v>
      </c>
      <c r="D203">
        <v>2.6943718694413046E-2</v>
      </c>
      <c r="E203">
        <v>6.3703713037605346E-3</v>
      </c>
      <c r="F203">
        <v>3.2500951108748689E-3</v>
      </c>
      <c r="G203">
        <v>1.0910606515169121E-2</v>
      </c>
      <c r="H203">
        <v>1.604564077921241E-2</v>
      </c>
      <c r="I203">
        <v>0.12878635230495877</v>
      </c>
      <c r="J203">
        <v>0</v>
      </c>
      <c r="K203">
        <v>0.45383052351288877</v>
      </c>
      <c r="L203">
        <v>0.20915432459099559</v>
      </c>
      <c r="M203">
        <v>0.79084567540900441</v>
      </c>
      <c r="N203">
        <v>4.5294956741192861E-2</v>
      </c>
      <c r="O203" s="72">
        <v>0.99880117503147414</v>
      </c>
      <c r="P203">
        <v>0.99988223362007889</v>
      </c>
      <c r="Q203">
        <v>0.97939983921093743</v>
      </c>
      <c r="R203">
        <v>0.44502427286027535</v>
      </c>
      <c r="S203">
        <v>0.4498188310233423</v>
      </c>
      <c r="T203">
        <v>0.21857516581137226</v>
      </c>
      <c r="U203">
        <v>0.77691795040968692</v>
      </c>
      <c r="V203">
        <v>0.63662915046793489</v>
      </c>
      <c r="W203">
        <v>0.57955495383443689</v>
      </c>
      <c r="X203">
        <v>0.45791609169788006</v>
      </c>
      <c r="Y203">
        <v>0.43142638600208055</v>
      </c>
      <c r="Z203">
        <v>0.45108522285612984</v>
      </c>
      <c r="AA203">
        <v>0.57531040404072709</v>
      </c>
      <c r="AB203">
        <v>0.90315862032630434</v>
      </c>
      <c r="AC203">
        <v>0.77675940379966457</v>
      </c>
      <c r="AD203">
        <v>0.63996059592215349</v>
      </c>
      <c r="AE203">
        <v>210.92941982694884</v>
      </c>
      <c r="AF203">
        <v>1014.2802938914612</v>
      </c>
      <c r="AG203">
        <v>1568.9975895861319</v>
      </c>
      <c r="AH203">
        <v>12788.729212174667</v>
      </c>
      <c r="AI203">
        <v>16688.964397250988</v>
      </c>
      <c r="AJ203">
        <v>39687.722301110152</v>
      </c>
      <c r="AK203">
        <v>13220.499259427774</v>
      </c>
      <c r="AL203">
        <v>1945.0962539186048</v>
      </c>
      <c r="AM203">
        <v>324.73174567469539</v>
      </c>
      <c r="AO203">
        <v>44376.645112075035</v>
      </c>
      <c r="AP203">
        <v>14.547736093753386</v>
      </c>
      <c r="AQ203">
        <v>45510.244183014176</v>
      </c>
      <c r="AR203">
        <v>14.817293207893716</v>
      </c>
      <c r="AS203" s="2">
        <f t="shared" si="22"/>
        <v>1133.5990709391408</v>
      </c>
      <c r="AT203" s="2">
        <f t="shared" si="23"/>
        <v>0.2695571141403299</v>
      </c>
      <c r="AV203">
        <f t="shared" si="24"/>
        <v>1410396.9642632634</v>
      </c>
      <c r="AW203">
        <f t="shared" si="25"/>
        <v>1436219.0766063575</v>
      </c>
      <c r="AY203">
        <f t="shared" si="26"/>
        <v>0</v>
      </c>
      <c r="AZ203">
        <f t="shared" si="27"/>
        <v>1</v>
      </c>
    </row>
    <row r="204" spans="1:52" x14ac:dyDescent="0.2">
      <c r="A204">
        <f t="shared" si="21"/>
        <v>200</v>
      </c>
      <c r="B204">
        <v>2.839052413595311E-2</v>
      </c>
      <c r="C204">
        <v>3.9632577135873315E-2</v>
      </c>
      <c r="D204">
        <v>4.1262306125582682E-2</v>
      </c>
      <c r="E204">
        <v>8.1131512193398057E-3</v>
      </c>
      <c r="F204">
        <v>3.2544137319058526E-3</v>
      </c>
      <c r="G204">
        <v>2.2674113201731405E-2</v>
      </c>
      <c r="H204">
        <v>3.1496914256029296E-2</v>
      </c>
      <c r="I204">
        <v>0.13935094934808978</v>
      </c>
      <c r="J204">
        <v>0</v>
      </c>
      <c r="K204">
        <v>0.45157003672948604</v>
      </c>
      <c r="L204">
        <v>0.2350970456678525</v>
      </c>
      <c r="M204">
        <v>0.7649029543321475</v>
      </c>
      <c r="N204">
        <v>5.4222044185742738E-2</v>
      </c>
      <c r="O204" s="72">
        <v>0.9999999670381009</v>
      </c>
      <c r="P204">
        <v>0.9997828625141213</v>
      </c>
      <c r="Q204">
        <v>0.98165533428489282</v>
      </c>
      <c r="R204">
        <v>0.52482722873486787</v>
      </c>
      <c r="S204">
        <v>0.39338598016002135</v>
      </c>
      <c r="T204">
        <v>0.15870807877286075</v>
      </c>
      <c r="U204">
        <v>0.7452938069536007</v>
      </c>
      <c r="V204">
        <v>0.63937553016239235</v>
      </c>
      <c r="W204">
        <v>0.61949172163304544</v>
      </c>
      <c r="X204">
        <v>0.45912141413672014</v>
      </c>
      <c r="Y204">
        <v>0.45845455687118164</v>
      </c>
      <c r="Z204">
        <v>0.42706667419772104</v>
      </c>
      <c r="AA204">
        <v>0.70542040316827814</v>
      </c>
      <c r="AB204">
        <v>0.84617320262137607</v>
      </c>
      <c r="AC204">
        <v>0.78653137422514952</v>
      </c>
      <c r="AD204">
        <v>0.68023746352360948</v>
      </c>
      <c r="AE204">
        <v>197.19729707512036</v>
      </c>
      <c r="AF204">
        <v>1056.5215297470925</v>
      </c>
      <c r="AG204">
        <v>1378.3169086564558</v>
      </c>
      <c r="AH204">
        <v>18965.785814222945</v>
      </c>
      <c r="AI204">
        <v>9237.4076748431235</v>
      </c>
      <c r="AJ204">
        <v>37366.607674059807</v>
      </c>
      <c r="AK204">
        <v>16760.602026614946</v>
      </c>
      <c r="AL204">
        <v>1236.3054787952181</v>
      </c>
      <c r="AM204">
        <v>281.75849324195201</v>
      </c>
      <c r="AO204">
        <v>42170.377205224366</v>
      </c>
      <c r="AP204">
        <v>13.834948923771565</v>
      </c>
      <c r="AQ204">
        <v>44889.969519968807</v>
      </c>
      <c r="AR204">
        <v>14.099576414686359</v>
      </c>
      <c r="AS204" s="2">
        <f t="shared" si="22"/>
        <v>2719.592314744441</v>
      </c>
      <c r="AT204" s="2">
        <f t="shared" si="23"/>
        <v>0.26462749091479409</v>
      </c>
      <c r="AV204">
        <f t="shared" si="24"/>
        <v>1341324.5151719321</v>
      </c>
      <c r="AW204">
        <f t="shared" si="25"/>
        <v>1365067.6719486671</v>
      </c>
      <c r="AY204">
        <f t="shared" si="26"/>
        <v>0</v>
      </c>
      <c r="AZ204">
        <f t="shared" si="27"/>
        <v>1</v>
      </c>
    </row>
    <row r="205" spans="1:52" x14ac:dyDescent="0.2">
      <c r="A205">
        <f t="shared" si="21"/>
        <v>201</v>
      </c>
      <c r="B205">
        <v>2.1224573618091956E-2</v>
      </c>
      <c r="C205">
        <v>4.717505418180068E-2</v>
      </c>
      <c r="D205">
        <v>4.3199739003812354E-2</v>
      </c>
      <c r="E205">
        <v>4.833398323105198E-3</v>
      </c>
      <c r="F205">
        <v>3.3700281846108515E-3</v>
      </c>
      <c r="G205">
        <v>8.0202682942092703E-3</v>
      </c>
      <c r="H205">
        <v>4.9116428427108616E-2</v>
      </c>
      <c r="I205">
        <v>0.125930309573345</v>
      </c>
      <c r="J205">
        <v>0</v>
      </c>
      <c r="K205">
        <v>0.46879426345447006</v>
      </c>
      <c r="L205">
        <v>0.32094542484549615</v>
      </c>
      <c r="M205">
        <v>0.67905457515450385</v>
      </c>
      <c r="N205">
        <v>5.4273866555214198E-2</v>
      </c>
      <c r="O205" s="72">
        <v>0.99922849682033643</v>
      </c>
      <c r="P205">
        <v>0.98539308066554976</v>
      </c>
      <c r="Q205">
        <v>0.93845861987189472</v>
      </c>
      <c r="R205">
        <v>0.50715031901701968</v>
      </c>
      <c r="S205">
        <v>0.35986429664800956</v>
      </c>
      <c r="T205">
        <v>0.28059559116180088</v>
      </c>
      <c r="U205">
        <v>0.74266686381225855</v>
      </c>
      <c r="V205">
        <v>0.69984817707182634</v>
      </c>
      <c r="W205">
        <v>0.54038051474545834</v>
      </c>
      <c r="X205">
        <v>0.45689547845567524</v>
      </c>
      <c r="Y205">
        <v>0.39873436927015021</v>
      </c>
      <c r="Z205">
        <v>0.43612749435284526</v>
      </c>
      <c r="AA205">
        <v>0.66824143160806448</v>
      </c>
      <c r="AB205">
        <v>0.88314769762806689</v>
      </c>
      <c r="AC205">
        <v>0.71140017149224577</v>
      </c>
      <c r="AD205">
        <v>0.71348259045360773</v>
      </c>
      <c r="AE205">
        <v>151.08213085025517</v>
      </c>
      <c r="AF205">
        <v>1109.8090319884197</v>
      </c>
      <c r="AG205">
        <v>1914.093601447255</v>
      </c>
      <c r="AH205">
        <v>15065.449793122414</v>
      </c>
      <c r="AI205">
        <v>8679.3680514457574</v>
      </c>
      <c r="AJ205">
        <v>37843.250157339091</v>
      </c>
      <c r="AK205">
        <v>8910.8939287554713</v>
      </c>
      <c r="AL205">
        <v>2247.0396761721499</v>
      </c>
      <c r="AM205">
        <v>350.55620410230409</v>
      </c>
      <c r="AO205">
        <v>41596.513576018602</v>
      </c>
      <c r="AP205">
        <v>14.268431608074865</v>
      </c>
      <c r="AQ205">
        <v>46561.521191529064</v>
      </c>
      <c r="AR205">
        <v>14.517445387592085</v>
      </c>
      <c r="AS205" s="2">
        <f t="shared" si="22"/>
        <v>4965.0076155104616</v>
      </c>
      <c r="AT205" s="2">
        <f t="shared" si="23"/>
        <v>0.24901377951722026</v>
      </c>
      <c r="AV205">
        <f t="shared" si="24"/>
        <v>1385246.6472314678</v>
      </c>
      <c r="AW205">
        <f t="shared" si="25"/>
        <v>1405183.0175676795</v>
      </c>
      <c r="AY205">
        <f t="shared" si="26"/>
        <v>0</v>
      </c>
      <c r="AZ205">
        <f t="shared" si="27"/>
        <v>1</v>
      </c>
    </row>
    <row r="206" spans="1:52" x14ac:dyDescent="0.2">
      <c r="A206">
        <f t="shared" si="21"/>
        <v>202</v>
      </c>
      <c r="B206">
        <v>2.1689655676170712E-2</v>
      </c>
      <c r="C206">
        <v>4.4487859626566761E-2</v>
      </c>
      <c r="D206">
        <v>4.506725041650983E-2</v>
      </c>
      <c r="E206">
        <v>1.2785561498496301E-2</v>
      </c>
      <c r="F206">
        <v>3.3481592004582783E-3</v>
      </c>
      <c r="G206">
        <v>9.632038572467477E-3</v>
      </c>
      <c r="H206">
        <v>3.8760058638207973E-2</v>
      </c>
      <c r="I206">
        <v>0.14145548852840117</v>
      </c>
      <c r="J206">
        <v>0</v>
      </c>
      <c r="K206">
        <v>0.46279429712695153</v>
      </c>
      <c r="L206">
        <v>0.20580216051708669</v>
      </c>
      <c r="M206">
        <v>0.79419783948291334</v>
      </c>
      <c r="N206">
        <v>4.7266121470662968E-2</v>
      </c>
      <c r="O206" s="72">
        <v>0.99881912610470902</v>
      </c>
      <c r="P206">
        <v>0.99997899520782818</v>
      </c>
      <c r="Q206">
        <v>0.98963336656757506</v>
      </c>
      <c r="R206">
        <v>0.45990727634838768</v>
      </c>
      <c r="S206">
        <v>0.36409119713997662</v>
      </c>
      <c r="T206">
        <v>0.24208633341767516</v>
      </c>
      <c r="U206">
        <v>0.78544157773219037</v>
      </c>
      <c r="V206">
        <v>0.70249687777272918</v>
      </c>
      <c r="W206">
        <v>0.50497977110785175</v>
      </c>
      <c r="X206">
        <v>0.48600585616431147</v>
      </c>
      <c r="Y206">
        <v>0.47315925456817953</v>
      </c>
      <c r="Z206">
        <v>0.39191951183694312</v>
      </c>
      <c r="AA206">
        <v>0.6542675980795285</v>
      </c>
      <c r="AB206">
        <v>0.82090936469833919</v>
      </c>
      <c r="AC206">
        <v>0.74122793785859153</v>
      </c>
      <c r="AD206">
        <v>0.62039456175799712</v>
      </c>
      <c r="AE206">
        <v>156.38455023434565</v>
      </c>
      <c r="AF206">
        <v>982.60866820645356</v>
      </c>
      <c r="AG206">
        <v>1795.8250312233492</v>
      </c>
      <c r="AH206">
        <v>17699.911063100422</v>
      </c>
      <c r="AI206">
        <v>13287.745119569425</v>
      </c>
      <c r="AJ206">
        <v>37579.539672743093</v>
      </c>
      <c r="AK206">
        <v>9480.3635887670043</v>
      </c>
      <c r="AL206">
        <v>1798.8680108663832</v>
      </c>
      <c r="AM206">
        <v>269.54346099304513</v>
      </c>
      <c r="AO206">
        <v>43399.120625564225</v>
      </c>
      <c r="AP206">
        <v>13.393205908960251</v>
      </c>
      <c r="AQ206">
        <v>44658.911959069257</v>
      </c>
      <c r="AR206">
        <v>13.585960266402934</v>
      </c>
      <c r="AS206" s="2">
        <f t="shared" si="22"/>
        <v>1259.7913335050325</v>
      </c>
      <c r="AT206" s="2">
        <f t="shared" si="23"/>
        <v>0.19275435744268243</v>
      </c>
      <c r="AV206">
        <f t="shared" si="24"/>
        <v>1295921.4702704609</v>
      </c>
      <c r="AW206">
        <f t="shared" si="25"/>
        <v>1313937.1146812241</v>
      </c>
      <c r="AY206">
        <f t="shared" si="26"/>
        <v>0</v>
      </c>
      <c r="AZ206">
        <f t="shared" si="27"/>
        <v>1</v>
      </c>
    </row>
    <row r="207" spans="1:52" x14ac:dyDescent="0.2">
      <c r="A207">
        <f t="shared" si="21"/>
        <v>203</v>
      </c>
      <c r="B207">
        <v>2.2707719933086921E-2</v>
      </c>
      <c r="C207">
        <v>2.682298406741318E-2</v>
      </c>
      <c r="D207">
        <v>2.7923899571065586E-2</v>
      </c>
      <c r="E207">
        <v>8.5117659876232307E-3</v>
      </c>
      <c r="F207">
        <v>3.3642177985648836E-3</v>
      </c>
      <c r="G207">
        <v>3.5379542094895167E-3</v>
      </c>
      <c r="H207">
        <v>2.9383074853728486E-2</v>
      </c>
      <c r="I207">
        <v>0.12801350609666376</v>
      </c>
      <c r="J207">
        <v>0</v>
      </c>
      <c r="K207">
        <v>0.41331244057918809</v>
      </c>
      <c r="L207">
        <v>0.24939470880147019</v>
      </c>
      <c r="M207">
        <v>0.75060529119852981</v>
      </c>
      <c r="N207">
        <v>5.5524696754634791E-2</v>
      </c>
      <c r="O207" s="72">
        <v>0.98882423897194205</v>
      </c>
      <c r="P207">
        <v>0.99115822885788762</v>
      </c>
      <c r="Q207">
        <v>0.99158476623679437</v>
      </c>
      <c r="R207">
        <v>0.47268184235809596</v>
      </c>
      <c r="S207">
        <v>0.34986501516878676</v>
      </c>
      <c r="T207">
        <v>0.25425712298812475</v>
      </c>
      <c r="U207">
        <v>0.75219154235064656</v>
      </c>
      <c r="V207">
        <v>0.69513413424388792</v>
      </c>
      <c r="W207">
        <v>0.54991168044133609</v>
      </c>
      <c r="X207">
        <v>0.43275348918753315</v>
      </c>
      <c r="Y207">
        <v>0.42209339300412219</v>
      </c>
      <c r="Z207">
        <v>0.45640491139174844</v>
      </c>
      <c r="AA207">
        <v>0.60609915588115693</v>
      </c>
      <c r="AB207">
        <v>0.79536070975991291</v>
      </c>
      <c r="AC207">
        <v>0.54985523359124278</v>
      </c>
      <c r="AD207">
        <v>0.64428083125983449</v>
      </c>
      <c r="AE207">
        <v>193.5595452840632</v>
      </c>
      <c r="AF207">
        <v>1033.9908355775076</v>
      </c>
      <c r="AG207">
        <v>1849.0389773826821</v>
      </c>
      <c r="AH207">
        <v>11566.076672585194</v>
      </c>
      <c r="AI207">
        <v>13333.507501937831</v>
      </c>
      <c r="AJ207">
        <v>37227.468308360614</v>
      </c>
      <c r="AK207">
        <v>10424.258520764439</v>
      </c>
      <c r="AL207">
        <v>1725.2050703665343</v>
      </c>
      <c r="AM207">
        <v>368.54045305879112</v>
      </c>
      <c r="AO207">
        <v>43912.276606294443</v>
      </c>
      <c r="AP207">
        <v>12.767352739523616</v>
      </c>
      <c r="AQ207">
        <v>46464.624628412006</v>
      </c>
      <c r="AR207">
        <v>12.916649702175448</v>
      </c>
      <c r="AS207" s="2">
        <f t="shared" si="22"/>
        <v>2552.3480221175632</v>
      </c>
      <c r="AT207" s="2">
        <f t="shared" si="23"/>
        <v>0.14929696265183168</v>
      </c>
      <c r="AV207">
        <f t="shared" si="24"/>
        <v>1232822.9973460673</v>
      </c>
      <c r="AW207">
        <f t="shared" si="25"/>
        <v>1245200.3455891327</v>
      </c>
      <c r="AY207">
        <f t="shared" si="26"/>
        <v>0</v>
      </c>
      <c r="AZ207">
        <f t="shared" si="27"/>
        <v>1</v>
      </c>
    </row>
    <row r="208" spans="1:52" x14ac:dyDescent="0.2">
      <c r="A208">
        <f t="shared" si="21"/>
        <v>204</v>
      </c>
      <c r="B208">
        <v>2.735903656771288E-2</v>
      </c>
      <c r="C208">
        <v>3.3117354415734691E-2</v>
      </c>
      <c r="D208">
        <v>3.6062517727520484E-2</v>
      </c>
      <c r="E208">
        <v>7.1799563904778717E-3</v>
      </c>
      <c r="F208">
        <v>3.2336183819098186E-3</v>
      </c>
      <c r="G208">
        <v>4.2616942106812744E-3</v>
      </c>
      <c r="H208">
        <v>2.9755752957773218E-2</v>
      </c>
      <c r="I208">
        <v>0.13472173389002773</v>
      </c>
      <c r="J208">
        <v>0</v>
      </c>
      <c r="K208">
        <v>0.43040309517679698</v>
      </c>
      <c r="L208">
        <v>0.19462146972667865</v>
      </c>
      <c r="M208">
        <v>0.8053785302733214</v>
      </c>
      <c r="N208">
        <v>5.278560907897533E-2</v>
      </c>
      <c r="O208" s="72">
        <v>0.98943632601458709</v>
      </c>
      <c r="P208">
        <v>0.99709985495312736</v>
      </c>
      <c r="Q208">
        <v>0.98693376129444799</v>
      </c>
      <c r="R208">
        <v>0.48431105173042233</v>
      </c>
      <c r="S208">
        <v>0.32876786317336626</v>
      </c>
      <c r="T208">
        <v>0.2640603422265968</v>
      </c>
      <c r="U208">
        <v>0.75880111895253632</v>
      </c>
      <c r="V208">
        <v>0.67297724076103393</v>
      </c>
      <c r="W208">
        <v>0.57501619608887089</v>
      </c>
      <c r="X208">
        <v>0.46665409453500428</v>
      </c>
      <c r="Y208">
        <v>0.42456002657404301</v>
      </c>
      <c r="Z208">
        <v>0.47386366203941388</v>
      </c>
      <c r="AA208">
        <v>0.71786897203567923</v>
      </c>
      <c r="AB208">
        <v>0.91175859789728375</v>
      </c>
      <c r="AC208">
        <v>0.73014257488520129</v>
      </c>
      <c r="AD208">
        <v>0.65940032677505145</v>
      </c>
      <c r="AE208">
        <v>149.10323722557948</v>
      </c>
      <c r="AF208">
        <v>928.57834811640851</v>
      </c>
      <c r="AG208">
        <v>1593.6219733558294</v>
      </c>
      <c r="AH208">
        <v>12994.160023363032</v>
      </c>
      <c r="AI208">
        <v>12501.909523128521</v>
      </c>
      <c r="AJ208">
        <v>38225.407482258204</v>
      </c>
      <c r="AK208">
        <v>6605.0289348247225</v>
      </c>
      <c r="AL208">
        <v>3282.3109834835286</v>
      </c>
      <c r="AM208">
        <v>318.10221927153685</v>
      </c>
      <c r="AO208">
        <v>42694.713340364913</v>
      </c>
      <c r="AP208">
        <v>14.592617490324567</v>
      </c>
      <c r="AQ208">
        <v>45446.678655018586</v>
      </c>
      <c r="AR208">
        <v>14.879353374518313</v>
      </c>
      <c r="AS208" s="2">
        <f t="shared" si="22"/>
        <v>2751.965314653673</v>
      </c>
      <c r="AT208" s="2">
        <f t="shared" si="23"/>
        <v>0.28673588419374596</v>
      </c>
      <c r="AV208">
        <f t="shared" si="24"/>
        <v>1416567.0356920918</v>
      </c>
      <c r="AW208">
        <f t="shared" si="25"/>
        <v>1442488.6587968129</v>
      </c>
      <c r="AY208">
        <f t="shared" si="26"/>
        <v>0</v>
      </c>
      <c r="AZ208">
        <f t="shared" si="27"/>
        <v>1</v>
      </c>
    </row>
    <row r="209" spans="1:52" x14ac:dyDescent="0.2">
      <c r="A209">
        <f t="shared" si="21"/>
        <v>205</v>
      </c>
      <c r="B209">
        <v>2.208548539274529E-2</v>
      </c>
      <c r="C209">
        <v>4.4682272557315827E-2</v>
      </c>
      <c r="D209">
        <v>4.1992277251589716E-2</v>
      </c>
      <c r="E209">
        <v>1.2633960372776087E-2</v>
      </c>
      <c r="F209">
        <v>3.3663318507543005E-3</v>
      </c>
      <c r="G209">
        <v>1.6514928431514808E-2</v>
      </c>
      <c r="H209">
        <v>3.4150430044495805E-2</v>
      </c>
      <c r="I209">
        <v>0.1365311956444486</v>
      </c>
      <c r="J209">
        <v>0</v>
      </c>
      <c r="K209">
        <v>0.42901904719829864</v>
      </c>
      <c r="L209">
        <v>0.20048217631908694</v>
      </c>
      <c r="M209">
        <v>0.79951782368091306</v>
      </c>
      <c r="N209">
        <v>7.4179964265820186E-2</v>
      </c>
      <c r="O209" s="72">
        <v>0.99688388844913045</v>
      </c>
      <c r="P209">
        <v>0.99789271909597532</v>
      </c>
      <c r="Q209">
        <v>0.96322255661588396</v>
      </c>
      <c r="R209">
        <v>0.47264384399914439</v>
      </c>
      <c r="S209">
        <v>0.38906085488288145</v>
      </c>
      <c r="T209">
        <v>0.21850080330935862</v>
      </c>
      <c r="U209">
        <v>0.75476910959883148</v>
      </c>
      <c r="V209">
        <v>0.57623447721864673</v>
      </c>
      <c r="W209">
        <v>0.55002114277059033</v>
      </c>
      <c r="X209">
        <v>0.43208425812571588</v>
      </c>
      <c r="Y209">
        <v>0.44415990576858883</v>
      </c>
      <c r="Z209">
        <v>0.44985182886896102</v>
      </c>
      <c r="AA209">
        <v>0.73137557843006196</v>
      </c>
      <c r="AB209">
        <v>0.82131349611570781</v>
      </c>
      <c r="AC209">
        <v>0.64077882386207274</v>
      </c>
      <c r="AD209">
        <v>0.5714897404899616</v>
      </c>
      <c r="AE209">
        <v>231.82789582648741</v>
      </c>
      <c r="AF209">
        <v>952.45891389310805</v>
      </c>
      <c r="AG209">
        <v>1412.3916608108318</v>
      </c>
      <c r="AH209">
        <v>20393.928117123687</v>
      </c>
      <c r="AI209">
        <v>10538.610070940344</v>
      </c>
      <c r="AJ209">
        <v>43742.496505212643</v>
      </c>
      <c r="AK209">
        <v>7166.1118724317885</v>
      </c>
      <c r="AL209">
        <v>1832.4263871851306</v>
      </c>
      <c r="AM209">
        <v>236.97066975101586</v>
      </c>
      <c r="AO209">
        <v>42545.332532041954</v>
      </c>
      <c r="AP209">
        <v>13.12124232239114</v>
      </c>
      <c r="AQ209">
        <v>44397.643867697465</v>
      </c>
      <c r="AR209">
        <v>13.340628292243347</v>
      </c>
      <c r="AS209" s="2">
        <f t="shared" si="22"/>
        <v>1852.3113356555114</v>
      </c>
      <c r="AT209" s="2">
        <f t="shared" si="23"/>
        <v>0.21938596985220649</v>
      </c>
      <c r="AV209">
        <f t="shared" si="24"/>
        <v>1269578.8997070722</v>
      </c>
      <c r="AW209">
        <f t="shared" si="25"/>
        <v>1289665.185356637</v>
      </c>
      <c r="AY209">
        <f t="shared" si="26"/>
        <v>0</v>
      </c>
      <c r="AZ209">
        <f t="shared" si="27"/>
        <v>1</v>
      </c>
    </row>
    <row r="210" spans="1:52" x14ac:dyDescent="0.2">
      <c r="A210">
        <f t="shared" si="21"/>
        <v>206</v>
      </c>
      <c r="B210">
        <v>2.5980863697240286E-2</v>
      </c>
      <c r="C210">
        <v>4.0668739640046359E-2</v>
      </c>
      <c r="D210">
        <v>3.4607756912143205E-2</v>
      </c>
      <c r="E210">
        <v>3.8485034009708729E-3</v>
      </c>
      <c r="F210">
        <v>3.2568385049877371E-3</v>
      </c>
      <c r="G210">
        <v>1.679940617684994E-2</v>
      </c>
      <c r="H210">
        <v>2.9745751919060259E-2</v>
      </c>
      <c r="I210">
        <v>0.13432806033124067</v>
      </c>
      <c r="J210">
        <v>0</v>
      </c>
      <c r="K210">
        <v>0.42759329731084589</v>
      </c>
      <c r="L210">
        <v>0.13565067524510396</v>
      </c>
      <c r="M210">
        <v>0.86434932475489601</v>
      </c>
      <c r="N210">
        <v>5.3968970678686869E-2</v>
      </c>
      <c r="O210" s="72">
        <v>0.99991331382908311</v>
      </c>
      <c r="P210">
        <v>0.99926256451476292</v>
      </c>
      <c r="Q210">
        <v>0.9947412853666443</v>
      </c>
      <c r="R210">
        <v>0.49516562038498657</v>
      </c>
      <c r="S210">
        <v>0.45939498931743639</v>
      </c>
      <c r="T210">
        <v>0.19787279026063054</v>
      </c>
      <c r="U210">
        <v>0.75141036770646763</v>
      </c>
      <c r="V210">
        <v>0.62467457796681614</v>
      </c>
      <c r="W210">
        <v>0.55400239133710683</v>
      </c>
      <c r="X210">
        <v>0.48473088288027433</v>
      </c>
      <c r="Y210">
        <v>0.53181755081106186</v>
      </c>
      <c r="Z210">
        <v>0.39583058050099529</v>
      </c>
      <c r="AA210">
        <v>0.68194994074161719</v>
      </c>
      <c r="AB210">
        <v>0.81284263756762776</v>
      </c>
      <c r="AC210">
        <v>0.81163377371884859</v>
      </c>
      <c r="AD210">
        <v>0.59623945231770392</v>
      </c>
      <c r="AE210">
        <v>197.64298972280147</v>
      </c>
      <c r="AF210">
        <v>922.56710287902888</v>
      </c>
      <c r="AG210">
        <v>1064.7627601137679</v>
      </c>
      <c r="AH210">
        <v>12834.528973921009</v>
      </c>
      <c r="AI210">
        <v>12101.438701138253</v>
      </c>
      <c r="AJ210">
        <v>48287.80134894514</v>
      </c>
      <c r="AK210">
        <v>9871.505190144233</v>
      </c>
      <c r="AL210">
        <v>1297.4950591805612</v>
      </c>
      <c r="AM210">
        <v>353.62405833768685</v>
      </c>
      <c r="AO210">
        <v>42347.569279618758</v>
      </c>
      <c r="AP210">
        <v>13.402845558271197</v>
      </c>
      <c r="AQ210">
        <v>45852.561753754082</v>
      </c>
      <c r="AR210">
        <v>13.56928521322272</v>
      </c>
      <c r="AS210" s="2">
        <f t="shared" si="22"/>
        <v>3504.9924741353243</v>
      </c>
      <c r="AT210" s="2">
        <f t="shared" si="23"/>
        <v>0.1664396549515228</v>
      </c>
      <c r="AV210">
        <f t="shared" si="24"/>
        <v>1297936.9865475011</v>
      </c>
      <c r="AW210">
        <f t="shared" si="25"/>
        <v>1311075.959568518</v>
      </c>
      <c r="AY210">
        <f t="shared" si="26"/>
        <v>0</v>
      </c>
      <c r="AZ210">
        <f t="shared" si="27"/>
        <v>1</v>
      </c>
    </row>
    <row r="211" spans="1:52" x14ac:dyDescent="0.2">
      <c r="A211">
        <f t="shared" si="21"/>
        <v>207</v>
      </c>
      <c r="B211">
        <v>2.1674719925192595E-2</v>
      </c>
      <c r="C211">
        <v>3.0636357644379792E-2</v>
      </c>
      <c r="D211">
        <v>2.5286428056134895E-2</v>
      </c>
      <c r="E211">
        <v>4.1871288144848104E-3</v>
      </c>
      <c r="F211">
        <v>3.4101916589706072E-3</v>
      </c>
      <c r="G211">
        <v>1.6413086148951095E-2</v>
      </c>
      <c r="H211">
        <v>3.7049110189146695E-2</v>
      </c>
      <c r="I211">
        <v>0.13468154664251619</v>
      </c>
      <c r="J211">
        <v>0</v>
      </c>
      <c r="K211">
        <v>0.48625070239573576</v>
      </c>
      <c r="L211">
        <v>0.22277368216630056</v>
      </c>
      <c r="M211">
        <v>0.77722631783369944</v>
      </c>
      <c r="N211">
        <v>5.4807056930584935E-2</v>
      </c>
      <c r="O211" s="72">
        <v>0.99543343282983909</v>
      </c>
      <c r="P211">
        <v>0.99999079248938139</v>
      </c>
      <c r="Q211">
        <v>0.96503311202968722</v>
      </c>
      <c r="R211">
        <v>0.51518139333734181</v>
      </c>
      <c r="S211">
        <v>0.4321370743439934</v>
      </c>
      <c r="T211">
        <v>0.1396209631309453</v>
      </c>
      <c r="U211">
        <v>0.79063073649726467</v>
      </c>
      <c r="V211">
        <v>0.67460600591623665</v>
      </c>
      <c r="W211">
        <v>0.54687654340422165</v>
      </c>
      <c r="X211">
        <v>0.48328805896811233</v>
      </c>
      <c r="Y211">
        <v>0.42561540680606663</v>
      </c>
      <c r="Z211">
        <v>0.4550160715585555</v>
      </c>
      <c r="AA211">
        <v>0.71961216798389316</v>
      </c>
      <c r="AB211">
        <v>0.87861130517518937</v>
      </c>
      <c r="AC211">
        <v>0.71439237452264426</v>
      </c>
      <c r="AD211">
        <v>0.64417365910260038</v>
      </c>
      <c r="AE211">
        <v>172.03313592433875</v>
      </c>
      <c r="AF211">
        <v>918.14439796100817</v>
      </c>
      <c r="AG211">
        <v>1103.1811636987798</v>
      </c>
      <c r="AH211">
        <v>18395.674505619023</v>
      </c>
      <c r="AI211">
        <v>12557.428428243407</v>
      </c>
      <c r="AJ211">
        <v>35182.275590427424</v>
      </c>
      <c r="AK211">
        <v>12830.313675182184</v>
      </c>
      <c r="AL211">
        <v>1359.911190244798</v>
      </c>
      <c r="AM211">
        <v>423.09037260834236</v>
      </c>
      <c r="AO211">
        <v>44771.566211002573</v>
      </c>
      <c r="AP211">
        <v>14.148918502166715</v>
      </c>
      <c r="AQ211">
        <v>47134.738579905417</v>
      </c>
      <c r="AR211">
        <v>14.369404923977971</v>
      </c>
      <c r="AS211" s="2">
        <f t="shared" si="22"/>
        <v>2363.172368902844</v>
      </c>
      <c r="AT211" s="2">
        <f t="shared" si="23"/>
        <v>0.22048642181125544</v>
      </c>
      <c r="AV211">
        <f t="shared" si="24"/>
        <v>1370120.2840056689</v>
      </c>
      <c r="AW211">
        <f t="shared" si="25"/>
        <v>1389805.7538178917</v>
      </c>
      <c r="AY211">
        <f t="shared" si="26"/>
        <v>0</v>
      </c>
      <c r="AZ211">
        <f t="shared" si="27"/>
        <v>1</v>
      </c>
    </row>
    <row r="212" spans="1:52" x14ac:dyDescent="0.2">
      <c r="A212">
        <f t="shared" si="21"/>
        <v>208</v>
      </c>
      <c r="B212">
        <v>2.510269668117171E-2</v>
      </c>
      <c r="C212">
        <v>3.8322904204903141E-2</v>
      </c>
      <c r="D212">
        <v>3.6118430691546133E-2</v>
      </c>
      <c r="E212">
        <v>1.2234374727674968E-2</v>
      </c>
      <c r="F212">
        <v>3.4813010771538311E-3</v>
      </c>
      <c r="G212">
        <v>7.8416510565584019E-3</v>
      </c>
      <c r="H212">
        <v>2.3594034651088846E-2</v>
      </c>
      <c r="I212">
        <v>0.13250052569556836</v>
      </c>
      <c r="J212">
        <v>0</v>
      </c>
      <c r="K212">
        <v>0.40345385892652275</v>
      </c>
      <c r="L212">
        <v>0.12482248998009977</v>
      </c>
      <c r="M212">
        <v>0.87517751001990018</v>
      </c>
      <c r="N212">
        <v>5.2875412762329231E-2</v>
      </c>
      <c r="O212" s="72">
        <v>0.96684670086395186</v>
      </c>
      <c r="P212">
        <v>0.9999084836533193</v>
      </c>
      <c r="Q212">
        <v>0.96183031859835111</v>
      </c>
      <c r="R212">
        <v>0.48409746031300716</v>
      </c>
      <c r="S212">
        <v>0.36441378486963183</v>
      </c>
      <c r="T212">
        <v>0.23901585699338124</v>
      </c>
      <c r="U212">
        <v>0.7374051156759398</v>
      </c>
      <c r="V212">
        <v>0.61139797250689165</v>
      </c>
      <c r="W212">
        <v>0.63999003471040217</v>
      </c>
      <c r="X212">
        <v>0.45433175611086118</v>
      </c>
      <c r="Y212">
        <v>0.48894364578388216</v>
      </c>
      <c r="Z212">
        <v>0.46091811025800322</v>
      </c>
      <c r="AA212">
        <v>0.65929204866291391</v>
      </c>
      <c r="AB212">
        <v>0.81340159901059683</v>
      </c>
      <c r="AC212">
        <v>0.69446839688367668</v>
      </c>
      <c r="AD212">
        <v>0.58686229939665824</v>
      </c>
      <c r="AE212">
        <v>211.72424674996674</v>
      </c>
      <c r="AF212">
        <v>1191.6393384243499</v>
      </c>
      <c r="AG212">
        <v>1369.9391223724142</v>
      </c>
      <c r="AH212">
        <v>16110.394988228598</v>
      </c>
      <c r="AI212">
        <v>11949.409821433483</v>
      </c>
      <c r="AJ212">
        <v>41828.13432949657</v>
      </c>
      <c r="AK212">
        <v>12235.848538933098</v>
      </c>
      <c r="AL212">
        <v>2059.561762741755</v>
      </c>
      <c r="AM212">
        <v>321.91036445798022</v>
      </c>
      <c r="AO212">
        <v>42944.273077204918</v>
      </c>
      <c r="AP212">
        <v>13.162900915946507</v>
      </c>
      <c r="AQ212">
        <v>45757.171973370008</v>
      </c>
      <c r="AR212">
        <v>13.349162956478301</v>
      </c>
      <c r="AS212" s="2">
        <f t="shared" si="22"/>
        <v>2812.8988961650903</v>
      </c>
      <c r="AT212" s="2">
        <f t="shared" si="23"/>
        <v>0.18626204053179407</v>
      </c>
      <c r="AV212">
        <f t="shared" si="24"/>
        <v>1273345.8185174458</v>
      </c>
      <c r="AW212">
        <f t="shared" si="25"/>
        <v>1289159.12367446</v>
      </c>
      <c r="AY212">
        <f t="shared" si="26"/>
        <v>0</v>
      </c>
      <c r="AZ212">
        <f t="shared" si="27"/>
        <v>1</v>
      </c>
    </row>
    <row r="213" spans="1:52" x14ac:dyDescent="0.2">
      <c r="A213">
        <f t="shared" si="21"/>
        <v>209</v>
      </c>
      <c r="B213">
        <v>2.5613397970312701E-2</v>
      </c>
      <c r="C213">
        <v>3.6689986828917109E-2</v>
      </c>
      <c r="D213">
        <v>3.6522553043319729E-2</v>
      </c>
      <c r="E213">
        <v>3.9257880852987426E-2</v>
      </c>
      <c r="F213">
        <v>3.339079889868082E-3</v>
      </c>
      <c r="G213">
        <v>2.5927610385973798E-2</v>
      </c>
      <c r="H213">
        <v>3.0789719538825255E-2</v>
      </c>
      <c r="I213">
        <v>0.13291244421431969</v>
      </c>
      <c r="J213">
        <v>0</v>
      </c>
      <c r="K213">
        <v>0.3908620560360675</v>
      </c>
      <c r="L213">
        <v>0.14719537124441176</v>
      </c>
      <c r="M213">
        <v>0.85280462875558827</v>
      </c>
      <c r="N213">
        <v>4.3013209876302312E-2</v>
      </c>
      <c r="O213" s="72">
        <v>0.99746112471635773</v>
      </c>
      <c r="P213">
        <v>0.99354821699591511</v>
      </c>
      <c r="Q213">
        <v>0.97188987681390993</v>
      </c>
      <c r="R213">
        <v>0.45189032487109848</v>
      </c>
      <c r="S213">
        <v>0.41881600989099244</v>
      </c>
      <c r="T213">
        <v>0.11181713914105296</v>
      </c>
      <c r="U213">
        <v>0.76847527382734326</v>
      </c>
      <c r="V213">
        <v>0.61166764189989742</v>
      </c>
      <c r="W213">
        <v>0.58771976167166895</v>
      </c>
      <c r="X213">
        <v>0.43837636043154676</v>
      </c>
      <c r="Y213">
        <v>0.38127288517839375</v>
      </c>
      <c r="Z213">
        <v>0.46510585132260662</v>
      </c>
      <c r="AA213">
        <v>0.67303400788593826</v>
      </c>
      <c r="AB213">
        <v>0.83948757242568539</v>
      </c>
      <c r="AC213">
        <v>0.73125052693594472</v>
      </c>
      <c r="AD213">
        <v>0.63474597620753781</v>
      </c>
      <c r="AE213">
        <v>168.27204940673781</v>
      </c>
      <c r="AF213">
        <v>1127.4439793344081</v>
      </c>
      <c r="AG213">
        <v>1657.4674369571974</v>
      </c>
      <c r="AH213">
        <v>13699.189996617581</v>
      </c>
      <c r="AI213">
        <v>11298.648481779566</v>
      </c>
      <c r="AJ213">
        <v>39480.954476173247</v>
      </c>
      <c r="AK213">
        <v>21671.920234854453</v>
      </c>
      <c r="AL213">
        <v>1901.5810863427791</v>
      </c>
      <c r="AM213">
        <v>632.54142463418111</v>
      </c>
      <c r="AO213">
        <v>51320.895117529668</v>
      </c>
      <c r="AP213">
        <v>13.478289957272887</v>
      </c>
      <c r="AQ213">
        <v>50560.695146389786</v>
      </c>
      <c r="AR213">
        <v>13.842520697007428</v>
      </c>
      <c r="AS213" s="2">
        <f t="shared" si="22"/>
        <v>-760.19997113988211</v>
      </c>
      <c r="AT213" s="2">
        <f t="shared" si="23"/>
        <v>0.36423073973454123</v>
      </c>
      <c r="AV213">
        <f t="shared" si="24"/>
        <v>1296508.1006097591</v>
      </c>
      <c r="AW213">
        <f t="shared" si="25"/>
        <v>1333691.3745543531</v>
      </c>
      <c r="AY213">
        <f t="shared" si="26"/>
        <v>0</v>
      </c>
      <c r="AZ213">
        <f t="shared" si="27"/>
        <v>1</v>
      </c>
    </row>
    <row r="214" spans="1:52" x14ac:dyDescent="0.2">
      <c r="A214">
        <f t="shared" si="21"/>
        <v>210</v>
      </c>
      <c r="B214">
        <v>2.8949090259907773E-2</v>
      </c>
      <c r="C214">
        <v>3.8830818835251746E-2</v>
      </c>
      <c r="D214">
        <v>3.1063294428751938E-2</v>
      </c>
      <c r="E214">
        <v>1.6067414754024512E-2</v>
      </c>
      <c r="F214">
        <v>3.2542361775984669E-3</v>
      </c>
      <c r="G214">
        <v>4.6774982492710747E-3</v>
      </c>
      <c r="H214">
        <v>3.6957588226020799E-2</v>
      </c>
      <c r="I214">
        <v>0.12722343650347176</v>
      </c>
      <c r="J214">
        <v>0</v>
      </c>
      <c r="K214">
        <v>0.4519253967679675</v>
      </c>
      <c r="L214">
        <v>0.18859024752576969</v>
      </c>
      <c r="M214">
        <v>0.81140975247423031</v>
      </c>
      <c r="N214">
        <v>4.7151430051407449E-2</v>
      </c>
      <c r="O214" s="72">
        <v>0.99894607518981471</v>
      </c>
      <c r="P214">
        <v>0.99842577027152357</v>
      </c>
      <c r="Q214">
        <v>0.95298163537896818</v>
      </c>
      <c r="R214">
        <v>0.46036701542576219</v>
      </c>
      <c r="S214">
        <v>0.44466595122300379</v>
      </c>
      <c r="T214">
        <v>0.23229608323608597</v>
      </c>
      <c r="U214">
        <v>0.78589571133804281</v>
      </c>
      <c r="V214">
        <v>0.6620492370559774</v>
      </c>
      <c r="W214">
        <v>0.48873381062726468</v>
      </c>
      <c r="X214">
        <v>0.52604949025793746</v>
      </c>
      <c r="Y214">
        <v>0.50538606520896245</v>
      </c>
      <c r="Z214">
        <v>0.42060955475907574</v>
      </c>
      <c r="AA214">
        <v>0.67592431089473148</v>
      </c>
      <c r="AB214">
        <v>0.81736995918629163</v>
      </c>
      <c r="AC214">
        <v>0.71648998647001438</v>
      </c>
      <c r="AD214">
        <v>0.60847697400096712</v>
      </c>
      <c r="AE214">
        <v>251.20153359046461</v>
      </c>
      <c r="AF214">
        <v>1192.7753474243498</v>
      </c>
      <c r="AG214">
        <v>2118.3865170092031</v>
      </c>
      <c r="AH214">
        <v>9685.231960513067</v>
      </c>
      <c r="AI214">
        <v>11218.285653678629</v>
      </c>
      <c r="AJ214">
        <v>38175.441571853487</v>
      </c>
      <c r="AK214">
        <v>10013.010703194985</v>
      </c>
      <c r="AL214">
        <v>2844.8544300925196</v>
      </c>
      <c r="AM214">
        <v>396.67677989913341</v>
      </c>
      <c r="AO214">
        <v>44374.666513636359</v>
      </c>
      <c r="AP214">
        <v>13.292490736526648</v>
      </c>
      <c r="AQ214">
        <v>46818.798060013745</v>
      </c>
      <c r="AR214">
        <v>13.476693362934828</v>
      </c>
      <c r="AS214" s="2">
        <f t="shared" si="22"/>
        <v>2444.1315463773863</v>
      </c>
      <c r="AT214" s="2">
        <f t="shared" si="23"/>
        <v>0.18420262640817953</v>
      </c>
      <c r="AV214">
        <f t="shared" si="24"/>
        <v>1284874.4071390284</v>
      </c>
      <c r="AW214">
        <f t="shared" si="25"/>
        <v>1300850.538233469</v>
      </c>
      <c r="AY214">
        <f t="shared" si="26"/>
        <v>0</v>
      </c>
      <c r="AZ214">
        <f t="shared" si="27"/>
        <v>1</v>
      </c>
    </row>
    <row r="215" spans="1:52" x14ac:dyDescent="0.2">
      <c r="A215">
        <f t="shared" si="21"/>
        <v>211</v>
      </c>
      <c r="B215">
        <v>2.4044689684683259E-2</v>
      </c>
      <c r="C215">
        <v>3.1154502442654042E-2</v>
      </c>
      <c r="D215">
        <v>3.1286128718612291E-2</v>
      </c>
      <c r="E215">
        <v>1.3343573033324341E-2</v>
      </c>
      <c r="F215">
        <v>3.3917750767283872E-3</v>
      </c>
      <c r="G215">
        <v>1.1483082869322378E-2</v>
      </c>
      <c r="H215">
        <v>3.6412896948277207E-2</v>
      </c>
      <c r="I215">
        <v>0.12415347454360715</v>
      </c>
      <c r="J215">
        <v>0</v>
      </c>
      <c r="K215">
        <v>0.41599476180067146</v>
      </c>
      <c r="L215">
        <v>0.19286843826427708</v>
      </c>
      <c r="M215">
        <v>0.80713156173572287</v>
      </c>
      <c r="N215">
        <v>5.2430672882715218E-2</v>
      </c>
      <c r="O215" s="72">
        <v>0.99990861434595424</v>
      </c>
      <c r="P215">
        <v>0.98560036934417283</v>
      </c>
      <c r="Q215">
        <v>0.97911201638252632</v>
      </c>
      <c r="R215">
        <v>0.49459904287544521</v>
      </c>
      <c r="S215">
        <v>0.41972410505095736</v>
      </c>
      <c r="T215">
        <v>0.26936143800152246</v>
      </c>
      <c r="U215">
        <v>0.79819509386180942</v>
      </c>
      <c r="V215">
        <v>0.67394236069020486</v>
      </c>
      <c r="W215">
        <v>0.52075426703327254</v>
      </c>
      <c r="X215">
        <v>0.49723204707550328</v>
      </c>
      <c r="Y215">
        <v>0.4453013026118291</v>
      </c>
      <c r="Z215">
        <v>0.49144321694674831</v>
      </c>
      <c r="AA215">
        <v>0.64739761050416633</v>
      </c>
      <c r="AB215">
        <v>0.84642342815822147</v>
      </c>
      <c r="AC215">
        <v>0.74870128729823138</v>
      </c>
      <c r="AD215">
        <v>0.61185972786594001</v>
      </c>
      <c r="AE215">
        <v>174.98542301087642</v>
      </c>
      <c r="AF215">
        <v>950.83313919445607</v>
      </c>
      <c r="AG215">
        <v>1584.7069427901897</v>
      </c>
      <c r="AH215">
        <v>11773.761423497303</v>
      </c>
      <c r="AI215">
        <v>9182.0537671745042</v>
      </c>
      <c r="AJ215">
        <v>36173.151068454084</v>
      </c>
      <c r="AK215">
        <v>15490.266621811719</v>
      </c>
      <c r="AL215">
        <v>1645.6665532836753</v>
      </c>
      <c r="AM215">
        <v>442.25695328294609</v>
      </c>
      <c r="AO215">
        <v>42643.348815990168</v>
      </c>
      <c r="AP215">
        <v>13.777573944749696</v>
      </c>
      <c r="AQ215">
        <v>47752.42375220031</v>
      </c>
      <c r="AR215">
        <v>13.941092800584224</v>
      </c>
      <c r="AS215" s="2">
        <f t="shared" si="22"/>
        <v>5109.0749362101415</v>
      </c>
      <c r="AT215" s="2">
        <f t="shared" si="23"/>
        <v>0.16351885583452841</v>
      </c>
      <c r="AV215">
        <f t="shared" si="24"/>
        <v>1335114.0456589793</v>
      </c>
      <c r="AW215">
        <f t="shared" si="25"/>
        <v>1346356.856306222</v>
      </c>
      <c r="AY215">
        <f t="shared" si="26"/>
        <v>0</v>
      </c>
      <c r="AZ215">
        <f t="shared" si="27"/>
        <v>1</v>
      </c>
    </row>
    <row r="216" spans="1:52" x14ac:dyDescent="0.2">
      <c r="A216">
        <f t="shared" si="21"/>
        <v>212</v>
      </c>
      <c r="B216">
        <v>1.8878579416203512E-2</v>
      </c>
      <c r="C216">
        <v>3.3546352447132562E-2</v>
      </c>
      <c r="D216">
        <v>3.2633940364529032E-2</v>
      </c>
      <c r="E216">
        <v>1.0187833559746734E-2</v>
      </c>
      <c r="F216">
        <v>3.3613769419639228E-3</v>
      </c>
      <c r="G216">
        <v>1.2046955493067668E-2</v>
      </c>
      <c r="H216">
        <v>6.2298036488975472E-2</v>
      </c>
      <c r="I216">
        <v>0.12010608108112297</v>
      </c>
      <c r="J216">
        <v>0</v>
      </c>
      <c r="K216">
        <v>0.44420806615768993</v>
      </c>
      <c r="L216">
        <v>0.18900196756001489</v>
      </c>
      <c r="M216">
        <v>0.81099803243998514</v>
      </c>
      <c r="N216">
        <v>7.8492697120159494E-2</v>
      </c>
      <c r="O216" s="72">
        <v>0.99989861883377873</v>
      </c>
      <c r="P216">
        <v>0.99407113759685595</v>
      </c>
      <c r="Q216">
        <v>0.96670441306405175</v>
      </c>
      <c r="R216">
        <v>0.43817006210999943</v>
      </c>
      <c r="S216">
        <v>0.32016908369446528</v>
      </c>
      <c r="T216">
        <v>0.20096415285966551</v>
      </c>
      <c r="U216">
        <v>0.7727274538230029</v>
      </c>
      <c r="V216">
        <v>0.68882654325474912</v>
      </c>
      <c r="W216">
        <v>0.54328484159731238</v>
      </c>
      <c r="X216">
        <v>0.45617140672345979</v>
      </c>
      <c r="Y216">
        <v>0.4011701813991182</v>
      </c>
      <c r="Z216">
        <v>0.4460525167527441</v>
      </c>
      <c r="AA216">
        <v>0.64559368647414472</v>
      </c>
      <c r="AB216">
        <v>0.75992184679997143</v>
      </c>
      <c r="AC216">
        <v>0.70136144392636857</v>
      </c>
      <c r="AD216">
        <v>0.66671635541716112</v>
      </c>
      <c r="AE216">
        <v>178.45197679671682</v>
      </c>
      <c r="AF216">
        <v>1234.508680825641</v>
      </c>
      <c r="AG216">
        <v>1416.9724127258273</v>
      </c>
      <c r="AH216">
        <v>8958.5248455909841</v>
      </c>
      <c r="AI216">
        <v>5762.6308410935681</v>
      </c>
      <c r="AJ216">
        <v>39217.46368298016</v>
      </c>
      <c r="AK216">
        <v>13773.708651738199</v>
      </c>
      <c r="AL216">
        <v>2236.0778505826088</v>
      </c>
      <c r="AM216">
        <v>309.62965991488358</v>
      </c>
      <c r="AO216">
        <v>46265.174433903565</v>
      </c>
      <c r="AP216">
        <v>12.60044388514374</v>
      </c>
      <c r="AQ216">
        <v>45419.838463116343</v>
      </c>
      <c r="AR216">
        <v>12.730947986029888</v>
      </c>
      <c r="AS216" s="2">
        <f t="shared" si="22"/>
        <v>-845.33597078722232</v>
      </c>
      <c r="AT216" s="2">
        <f t="shared" si="23"/>
        <v>0.13050410088614761</v>
      </c>
      <c r="AV216">
        <f t="shared" si="24"/>
        <v>1213779.2140804704</v>
      </c>
      <c r="AW216">
        <f t="shared" si="25"/>
        <v>1227674.9601398723</v>
      </c>
      <c r="AY216">
        <f t="shared" si="26"/>
        <v>0</v>
      </c>
      <c r="AZ216">
        <f t="shared" si="27"/>
        <v>1</v>
      </c>
    </row>
    <row r="217" spans="1:52" x14ac:dyDescent="0.2">
      <c r="A217">
        <f t="shared" si="21"/>
        <v>213</v>
      </c>
      <c r="B217">
        <v>2.5096735117836055E-2</v>
      </c>
      <c r="C217">
        <v>5.1670575064077462E-2</v>
      </c>
      <c r="D217">
        <v>2.4169261971696544E-2</v>
      </c>
      <c r="E217">
        <v>8.1696470398146034E-3</v>
      </c>
      <c r="F217">
        <v>3.4104489895249168E-3</v>
      </c>
      <c r="G217">
        <v>2.798559786072663E-2</v>
      </c>
      <c r="H217">
        <v>2.3404171303628988E-2</v>
      </c>
      <c r="I217">
        <v>0.12808475063500602</v>
      </c>
      <c r="J217">
        <v>0</v>
      </c>
      <c r="K217">
        <v>0.46709889305336572</v>
      </c>
      <c r="L217">
        <v>0.15369406280922504</v>
      </c>
      <c r="M217">
        <v>0.84630593719077496</v>
      </c>
      <c r="N217">
        <v>6.2939472635579308E-2</v>
      </c>
      <c r="O217" s="72">
        <v>0.99924485596176138</v>
      </c>
      <c r="P217">
        <v>0.99203340935821094</v>
      </c>
      <c r="Q217">
        <v>0.97940824248945657</v>
      </c>
      <c r="R217">
        <v>0.44725113825763174</v>
      </c>
      <c r="S217">
        <v>0.40866672998139364</v>
      </c>
      <c r="T217">
        <v>0.18863961818916097</v>
      </c>
      <c r="U217">
        <v>0.74949812488963641</v>
      </c>
      <c r="V217">
        <v>0.65796556158338471</v>
      </c>
      <c r="W217">
        <v>0.62892795767744603</v>
      </c>
      <c r="X217">
        <v>0.47596671896091491</v>
      </c>
      <c r="Y217">
        <v>0.44945720289426572</v>
      </c>
      <c r="Z217">
        <v>0.4342771230400429</v>
      </c>
      <c r="AA217">
        <v>0.70327572801265315</v>
      </c>
      <c r="AB217">
        <v>0.81587677751765819</v>
      </c>
      <c r="AC217">
        <v>0.77216392234399278</v>
      </c>
      <c r="AD217">
        <v>0.68976749997292042</v>
      </c>
      <c r="AE217">
        <v>267.13895562263582</v>
      </c>
      <c r="AF217">
        <v>1113.3378996678837</v>
      </c>
      <c r="AG217">
        <v>1416.4194999784622</v>
      </c>
      <c r="AH217">
        <v>13395.439955989792</v>
      </c>
      <c r="AI217">
        <v>13473.31730750625</v>
      </c>
      <c r="AJ217">
        <v>42755.232727973278</v>
      </c>
      <c r="AK217">
        <v>11176.618242026774</v>
      </c>
      <c r="AL217">
        <v>1351.168767135227</v>
      </c>
      <c r="AM217">
        <v>367.44913967389107</v>
      </c>
      <c r="AO217">
        <v>46170.127748021841</v>
      </c>
      <c r="AP217">
        <v>13.466647643857231</v>
      </c>
      <c r="AQ217">
        <v>46477.000863539099</v>
      </c>
      <c r="AR217">
        <v>13.665436091007566</v>
      </c>
      <c r="AS217" s="2">
        <f t="shared" si="22"/>
        <v>306.87311551725725</v>
      </c>
      <c r="AT217" s="2">
        <f t="shared" si="23"/>
        <v>0.19878844715033495</v>
      </c>
      <c r="AV217">
        <f t="shared" si="24"/>
        <v>1300494.6366377012</v>
      </c>
      <c r="AW217">
        <f t="shared" si="25"/>
        <v>1320066.6082372174</v>
      </c>
      <c r="AY217">
        <f t="shared" si="26"/>
        <v>0</v>
      </c>
      <c r="AZ217">
        <f t="shared" si="27"/>
        <v>1</v>
      </c>
    </row>
    <row r="218" spans="1:52" x14ac:dyDescent="0.2">
      <c r="A218">
        <f t="shared" si="21"/>
        <v>214</v>
      </c>
      <c r="B218">
        <v>2.537979987596295E-2</v>
      </c>
      <c r="C218">
        <v>3.5120093829553424E-2</v>
      </c>
      <c r="D218">
        <v>4.2906937121519162E-2</v>
      </c>
      <c r="E218">
        <v>1.4590777046491255E-2</v>
      </c>
      <c r="F218">
        <v>3.4595049133802069E-3</v>
      </c>
      <c r="G218">
        <v>2.4918855207015922E-3</v>
      </c>
      <c r="H218">
        <v>2.9907230787297845E-2</v>
      </c>
      <c r="I218">
        <v>0.13451656446576132</v>
      </c>
      <c r="J218">
        <v>0</v>
      </c>
      <c r="K218">
        <v>0.36625363211901046</v>
      </c>
      <c r="L218">
        <v>0.24213124784438766</v>
      </c>
      <c r="M218">
        <v>0.75786875215561234</v>
      </c>
      <c r="N218">
        <v>4.8131433782064893E-2</v>
      </c>
      <c r="O218" s="72">
        <v>0.97219675213944401</v>
      </c>
      <c r="P218">
        <v>0.99160154829082692</v>
      </c>
      <c r="Q218">
        <v>0.99041314117133217</v>
      </c>
      <c r="R218">
        <v>0.41799545154105855</v>
      </c>
      <c r="S218">
        <v>0.47789814158803479</v>
      </c>
      <c r="T218">
        <v>0.28205086003951763</v>
      </c>
      <c r="U218">
        <v>0.78053798596108104</v>
      </c>
      <c r="V218">
        <v>0.59301775821422409</v>
      </c>
      <c r="W218">
        <v>0.67354394350028057</v>
      </c>
      <c r="X218">
        <v>0.50685949089705085</v>
      </c>
      <c r="Y218">
        <v>0.49993181627077077</v>
      </c>
      <c r="Z218">
        <v>0.40297070013317471</v>
      </c>
      <c r="AA218">
        <v>0.67578174333741692</v>
      </c>
      <c r="AB218">
        <v>0.84413594975692796</v>
      </c>
      <c r="AC218">
        <v>0.67570232869625457</v>
      </c>
      <c r="AD218">
        <v>0.62480708999677104</v>
      </c>
      <c r="AE218">
        <v>194.60366851769624</v>
      </c>
      <c r="AF218">
        <v>893.08225817131529</v>
      </c>
      <c r="AG218">
        <v>1375.0069541067883</v>
      </c>
      <c r="AH218">
        <v>16802.619439520578</v>
      </c>
      <c r="AI218">
        <v>10637.009722388368</v>
      </c>
      <c r="AJ218">
        <v>39806.011710995437</v>
      </c>
      <c r="AK218">
        <v>13485.026086357893</v>
      </c>
      <c r="AL218">
        <v>1469.4963952401588</v>
      </c>
      <c r="AM218">
        <v>371.39830134841725</v>
      </c>
      <c r="AO218">
        <v>45377.185228548813</v>
      </c>
      <c r="AP218">
        <v>13.579782529778658</v>
      </c>
      <c r="AQ218">
        <v>46631.083572795367</v>
      </c>
      <c r="AR218">
        <v>13.794537419627533</v>
      </c>
      <c r="AS218" s="2">
        <f t="shared" si="22"/>
        <v>1253.8983442465542</v>
      </c>
      <c r="AT218" s="2">
        <f t="shared" si="23"/>
        <v>0.2147548898488747</v>
      </c>
      <c r="AV218">
        <f t="shared" si="24"/>
        <v>1312601.067749317</v>
      </c>
      <c r="AW218">
        <f t="shared" si="25"/>
        <v>1332822.6583899579</v>
      </c>
      <c r="AY218">
        <f t="shared" si="26"/>
        <v>0</v>
      </c>
      <c r="AZ218">
        <f t="shared" si="27"/>
        <v>1</v>
      </c>
    </row>
    <row r="219" spans="1:52" x14ac:dyDescent="0.2">
      <c r="A219">
        <f t="shared" si="21"/>
        <v>215</v>
      </c>
      <c r="B219">
        <v>2.6157908037576894E-2</v>
      </c>
      <c r="C219">
        <v>3.4526111875383472E-2</v>
      </c>
      <c r="D219">
        <v>3.5141549003144437E-2</v>
      </c>
      <c r="E219">
        <v>9.1333234523675241E-3</v>
      </c>
      <c r="F219">
        <v>3.263070714126271E-3</v>
      </c>
      <c r="G219">
        <v>2.1676458174182955E-2</v>
      </c>
      <c r="H219">
        <v>2.1372399332301607E-2</v>
      </c>
      <c r="I219">
        <v>0.13710069427599314</v>
      </c>
      <c r="J219">
        <v>0</v>
      </c>
      <c r="K219">
        <v>0.45347865125394682</v>
      </c>
      <c r="L219">
        <v>0.21473819541035832</v>
      </c>
      <c r="M219">
        <v>0.78526180458964168</v>
      </c>
      <c r="N219">
        <v>8.1403480217138724E-2</v>
      </c>
      <c r="O219" s="72">
        <v>0.99625022318084355</v>
      </c>
      <c r="P219">
        <v>0.97911841609207084</v>
      </c>
      <c r="Q219">
        <v>0.91915444812629266</v>
      </c>
      <c r="R219">
        <v>0.47397566570496574</v>
      </c>
      <c r="S219">
        <v>0.31291777566468626</v>
      </c>
      <c r="T219">
        <v>0.24625656002335283</v>
      </c>
      <c r="U219">
        <v>0.77498369618352125</v>
      </c>
      <c r="V219">
        <v>0.68280367553833909</v>
      </c>
      <c r="W219">
        <v>0.59871801764676191</v>
      </c>
      <c r="X219">
        <v>0.43526697588348279</v>
      </c>
      <c r="Y219">
        <v>0.42629224106143387</v>
      </c>
      <c r="Z219">
        <v>0.47928029633653035</v>
      </c>
      <c r="AA219">
        <v>0.70814606035243677</v>
      </c>
      <c r="AB219">
        <v>0.87437326529995485</v>
      </c>
      <c r="AC219">
        <v>0.77384568400809217</v>
      </c>
      <c r="AD219">
        <v>0.58378850910961766</v>
      </c>
      <c r="AE219">
        <v>255.16515806750647</v>
      </c>
      <c r="AF219">
        <v>946.71124722345826</v>
      </c>
      <c r="AG219">
        <v>1619.8277428568547</v>
      </c>
      <c r="AH219">
        <v>19728.903665461807</v>
      </c>
      <c r="AI219">
        <v>15358.652626102283</v>
      </c>
      <c r="AJ219">
        <v>34029.915468265492</v>
      </c>
      <c r="AK219">
        <v>15958.971832161766</v>
      </c>
      <c r="AL219">
        <v>2190.2531062425342</v>
      </c>
      <c r="AM219">
        <v>569.08004014609025</v>
      </c>
      <c r="AO219">
        <v>47919.214799637986</v>
      </c>
      <c r="AP219">
        <v>14.108245608449895</v>
      </c>
      <c r="AQ219">
        <v>50379.530318907331</v>
      </c>
      <c r="AR219">
        <v>14.330762456526859</v>
      </c>
      <c r="AS219" s="2">
        <f t="shared" si="22"/>
        <v>2460.3155192693448</v>
      </c>
      <c r="AT219" s="2">
        <f t="shared" si="23"/>
        <v>0.22251684807696392</v>
      </c>
      <c r="AV219">
        <f t="shared" si="24"/>
        <v>1362905.3460453516</v>
      </c>
      <c r="AW219">
        <f t="shared" si="25"/>
        <v>1382696.7153337786</v>
      </c>
      <c r="AY219">
        <f t="shared" si="26"/>
        <v>0</v>
      </c>
      <c r="AZ219">
        <f t="shared" si="27"/>
        <v>1</v>
      </c>
    </row>
    <row r="220" spans="1:52" x14ac:dyDescent="0.2">
      <c r="A220">
        <f t="shared" si="21"/>
        <v>216</v>
      </c>
      <c r="B220">
        <v>2.301741077538947E-2</v>
      </c>
      <c r="C220">
        <v>3.2662400856325102E-2</v>
      </c>
      <c r="D220">
        <v>4.3001291288908061E-2</v>
      </c>
      <c r="E220">
        <v>2.6487773152435889E-2</v>
      </c>
      <c r="F220">
        <v>3.292075112527674E-3</v>
      </c>
      <c r="G220">
        <v>2.8293739895101866E-2</v>
      </c>
      <c r="H220">
        <v>3.3509214208518823E-2</v>
      </c>
      <c r="I220">
        <v>0.13161987774024098</v>
      </c>
      <c r="J220">
        <v>0</v>
      </c>
      <c r="K220">
        <v>0.43276926981637764</v>
      </c>
      <c r="L220">
        <v>0.25532874572511199</v>
      </c>
      <c r="M220">
        <v>0.74467125427488801</v>
      </c>
      <c r="N220">
        <v>5.5644005134961323E-2</v>
      </c>
      <c r="O220" s="72">
        <v>0.99999684163985458</v>
      </c>
      <c r="P220">
        <v>0.99657614134343464</v>
      </c>
      <c r="Q220">
        <v>0.90265864163538323</v>
      </c>
      <c r="R220">
        <v>0.48858752515882076</v>
      </c>
      <c r="S220">
        <v>0.49755944316844336</v>
      </c>
      <c r="T220">
        <v>0.28313599743151174</v>
      </c>
      <c r="U220">
        <v>0.78151631550728384</v>
      </c>
      <c r="V220">
        <v>0.69604710570638728</v>
      </c>
      <c r="W220">
        <v>0.57611810797568275</v>
      </c>
      <c r="X220">
        <v>0.45432321033395096</v>
      </c>
      <c r="Y220">
        <v>0.47780196738951108</v>
      </c>
      <c r="Z220">
        <v>0.50937807401773649</v>
      </c>
      <c r="AA220">
        <v>0.63245047326775239</v>
      </c>
      <c r="AB220">
        <v>0.85554539631225224</v>
      </c>
      <c r="AC220">
        <v>0.68734178003809421</v>
      </c>
      <c r="AD220">
        <v>0.6601080113542066</v>
      </c>
      <c r="AE220">
        <v>175.33143846898588</v>
      </c>
      <c r="AF220">
        <v>1007.4493413316947</v>
      </c>
      <c r="AG220">
        <v>1887.7092986203638</v>
      </c>
      <c r="AH220">
        <v>12878.802439195006</v>
      </c>
      <c r="AI220">
        <v>9062.0374035337773</v>
      </c>
      <c r="AJ220">
        <v>35638.098688968472</v>
      </c>
      <c r="AK220">
        <v>10644.1065925275</v>
      </c>
      <c r="AL220">
        <v>2412.4125874718234</v>
      </c>
      <c r="AM220">
        <v>306.92823122949505</v>
      </c>
      <c r="AO220">
        <v>40040.299907823166</v>
      </c>
      <c r="AP220">
        <v>13.802385761819666</v>
      </c>
      <c r="AQ220">
        <v>45593.822446949744</v>
      </c>
      <c r="AR220">
        <v>14.016683119862256</v>
      </c>
      <c r="AS220" s="2">
        <f t="shared" si="22"/>
        <v>5553.5225391265776</v>
      </c>
      <c r="AT220" s="2">
        <f t="shared" si="23"/>
        <v>0.21429735804258954</v>
      </c>
      <c r="AV220">
        <f t="shared" si="24"/>
        <v>1340198.2762741435</v>
      </c>
      <c r="AW220">
        <f t="shared" si="25"/>
        <v>1356074.4895392759</v>
      </c>
      <c r="AY220">
        <f t="shared" si="26"/>
        <v>0</v>
      </c>
      <c r="AZ220">
        <f t="shared" si="27"/>
        <v>1</v>
      </c>
    </row>
    <row r="221" spans="1:52" x14ac:dyDescent="0.2">
      <c r="A221">
        <f t="shared" si="21"/>
        <v>217</v>
      </c>
      <c r="B221">
        <v>2.5132484736851368E-2</v>
      </c>
      <c r="C221">
        <v>4.2009735814490967E-2</v>
      </c>
      <c r="D221">
        <v>5.9776930088372815E-2</v>
      </c>
      <c r="E221">
        <v>1.7199888702463029E-2</v>
      </c>
      <c r="F221">
        <v>3.3524947346148526E-3</v>
      </c>
      <c r="G221">
        <v>1.7767573765993139E-2</v>
      </c>
      <c r="H221">
        <v>2.8251272297252068E-2</v>
      </c>
      <c r="I221">
        <v>0.11314659981781042</v>
      </c>
      <c r="J221">
        <v>0</v>
      </c>
      <c r="K221">
        <v>0.42411133084338704</v>
      </c>
      <c r="L221">
        <v>0.28196269864069157</v>
      </c>
      <c r="M221">
        <v>0.71803730135930843</v>
      </c>
      <c r="N221">
        <v>6.7064042292522275E-2</v>
      </c>
      <c r="O221" s="72">
        <v>0.99993471554117608</v>
      </c>
      <c r="P221">
        <v>0.99819385294428109</v>
      </c>
      <c r="Q221">
        <v>0.96501932605813434</v>
      </c>
      <c r="R221">
        <v>0.4614418314797486</v>
      </c>
      <c r="S221">
        <v>0.33803578609440799</v>
      </c>
      <c r="T221">
        <v>0.23318992880046419</v>
      </c>
      <c r="U221">
        <v>0.78432822621005982</v>
      </c>
      <c r="V221">
        <v>0.66488341338908885</v>
      </c>
      <c r="W221">
        <v>0.50216782150066597</v>
      </c>
      <c r="X221">
        <v>0.49327586986279315</v>
      </c>
      <c r="Y221">
        <v>0.48073902132293378</v>
      </c>
      <c r="Z221">
        <v>0.45169522566532938</v>
      </c>
      <c r="AA221">
        <v>0.59147419032821247</v>
      </c>
      <c r="AB221">
        <v>0.85876357893639477</v>
      </c>
      <c r="AC221">
        <v>0.73026801016817455</v>
      </c>
      <c r="AD221">
        <v>0.71751348386539071</v>
      </c>
      <c r="AE221">
        <v>180.27687584938604</v>
      </c>
      <c r="AF221">
        <v>1186.8166363837215</v>
      </c>
      <c r="AG221">
        <v>965.06337082261655</v>
      </c>
      <c r="AH221">
        <v>13261.587031864276</v>
      </c>
      <c r="AI221">
        <v>14273.431792338291</v>
      </c>
      <c r="AJ221">
        <v>39410.728828679981</v>
      </c>
      <c r="AK221">
        <v>15435.960369107386</v>
      </c>
      <c r="AL221">
        <v>1392.3842705266616</v>
      </c>
      <c r="AM221">
        <v>545.68105254373916</v>
      </c>
      <c r="AO221">
        <v>47627.281593950327</v>
      </c>
      <c r="AP221">
        <v>13.910773189011858</v>
      </c>
      <c r="AQ221">
        <v>49050.028482809124</v>
      </c>
      <c r="AR221">
        <v>14.222106641272344</v>
      </c>
      <c r="AS221" s="2">
        <f t="shared" si="22"/>
        <v>1422.7468888587973</v>
      </c>
      <c r="AT221" s="2">
        <f t="shared" si="23"/>
        <v>0.31133345226048625</v>
      </c>
      <c r="AV221">
        <f t="shared" si="24"/>
        <v>1343450.0373072354</v>
      </c>
      <c r="AW221">
        <f t="shared" si="25"/>
        <v>1373160.6356444252</v>
      </c>
      <c r="AY221">
        <f t="shared" si="26"/>
        <v>0</v>
      </c>
      <c r="AZ221">
        <f t="shared" si="27"/>
        <v>1</v>
      </c>
    </row>
    <row r="222" spans="1:52" x14ac:dyDescent="0.2">
      <c r="A222">
        <f t="shared" si="21"/>
        <v>218</v>
      </c>
      <c r="B222">
        <v>1.8605803766452191E-2</v>
      </c>
      <c r="C222">
        <v>2.723003365945947E-2</v>
      </c>
      <c r="D222">
        <v>3.620683410978983E-2</v>
      </c>
      <c r="E222">
        <v>7.7478822483930451E-3</v>
      </c>
      <c r="F222">
        <v>3.4932524234634332E-3</v>
      </c>
      <c r="G222">
        <v>1.1974618579605134E-2</v>
      </c>
      <c r="H222">
        <v>2.6785022539010762E-2</v>
      </c>
      <c r="I222">
        <v>0.12328706194738502</v>
      </c>
      <c r="J222">
        <v>0</v>
      </c>
      <c r="K222">
        <v>0.42096425131994908</v>
      </c>
      <c r="L222">
        <v>0.22336836026715712</v>
      </c>
      <c r="M222">
        <v>0.77663163973284288</v>
      </c>
      <c r="N222">
        <v>6.5756596380784238E-2</v>
      </c>
      <c r="O222" s="72">
        <v>0.96361643410381492</v>
      </c>
      <c r="P222">
        <v>0.98982337634235329</v>
      </c>
      <c r="Q222">
        <v>0.98812079890849136</v>
      </c>
      <c r="R222">
        <v>0.4831380434925383</v>
      </c>
      <c r="S222">
        <v>0.38216607263954183</v>
      </c>
      <c r="T222">
        <v>0.26598187253486316</v>
      </c>
      <c r="U222">
        <v>0.78860944705781399</v>
      </c>
      <c r="V222">
        <v>0.65179621809330268</v>
      </c>
      <c r="W222">
        <v>0.54548201354763193</v>
      </c>
      <c r="X222">
        <v>0.42404535933004123</v>
      </c>
      <c r="Y222">
        <v>0.45495191143786085</v>
      </c>
      <c r="Z222">
        <v>0.43231560442998412</v>
      </c>
      <c r="AA222">
        <v>0.6083645072953483</v>
      </c>
      <c r="AB222">
        <v>0.82419806638586035</v>
      </c>
      <c r="AC222">
        <v>0.78475637624927042</v>
      </c>
      <c r="AD222">
        <v>0.62099673792593146</v>
      </c>
      <c r="AE222">
        <v>234.21739469904946</v>
      </c>
      <c r="AF222">
        <v>829.02594591037928</v>
      </c>
      <c r="AG222">
        <v>1224.4759376723778</v>
      </c>
      <c r="AH222">
        <v>15908.807536088507</v>
      </c>
      <c r="AI222">
        <v>15215.568515851211</v>
      </c>
      <c r="AJ222">
        <v>40552.055813741252</v>
      </c>
      <c r="AK222">
        <v>17361.471344373047</v>
      </c>
      <c r="AL222">
        <v>1388.822282584021</v>
      </c>
      <c r="AM222">
        <v>344.27389952377376</v>
      </c>
      <c r="AO222">
        <v>42471.366509808329</v>
      </c>
      <c r="AP222">
        <v>13.559858952401168</v>
      </c>
      <c r="AQ222">
        <v>46317.236915761205</v>
      </c>
      <c r="AR222">
        <v>13.707881638170708</v>
      </c>
      <c r="AS222" s="2">
        <f t="shared" si="22"/>
        <v>3845.8704059528754</v>
      </c>
      <c r="AT222" s="2">
        <f t="shared" si="23"/>
        <v>0.14802268576953992</v>
      </c>
      <c r="AV222">
        <f t="shared" si="24"/>
        <v>1313514.5287303086</v>
      </c>
      <c r="AW222">
        <f t="shared" si="25"/>
        <v>1324470.9269013098</v>
      </c>
      <c r="AY222">
        <f t="shared" si="26"/>
        <v>0</v>
      </c>
      <c r="AZ222">
        <f t="shared" si="27"/>
        <v>1</v>
      </c>
    </row>
    <row r="223" spans="1:52" x14ac:dyDescent="0.2">
      <c r="A223">
        <f t="shared" si="21"/>
        <v>219</v>
      </c>
      <c r="B223">
        <v>2.700387545150551E-2</v>
      </c>
      <c r="C223">
        <v>3.0818405123844029E-2</v>
      </c>
      <c r="D223">
        <v>3.0374433746767359E-2</v>
      </c>
      <c r="E223">
        <v>1.5179953702397886E-2</v>
      </c>
      <c r="F223">
        <v>3.3145246187874411E-3</v>
      </c>
      <c r="G223">
        <v>1.0070358579783773E-2</v>
      </c>
      <c r="H223">
        <v>3.1789726034785915E-2</v>
      </c>
      <c r="I223">
        <v>0.11284237323166951</v>
      </c>
      <c r="J223">
        <v>0</v>
      </c>
      <c r="K223">
        <v>0.49072613760881167</v>
      </c>
      <c r="L223">
        <v>0.15836893173405645</v>
      </c>
      <c r="M223">
        <v>0.84163106826594358</v>
      </c>
      <c r="N223">
        <v>4.5263398973587464E-2</v>
      </c>
      <c r="O223" s="72">
        <v>0.98610944226993635</v>
      </c>
      <c r="P223">
        <v>0.98923296706952546</v>
      </c>
      <c r="Q223">
        <v>0.98745108302717743</v>
      </c>
      <c r="R223">
        <v>0.49647895078223592</v>
      </c>
      <c r="S223">
        <v>0.38392098099712069</v>
      </c>
      <c r="T223">
        <v>0.22660724058129</v>
      </c>
      <c r="U223">
        <v>0.73675942124873994</v>
      </c>
      <c r="V223">
        <v>0.71152415358326904</v>
      </c>
      <c r="W223">
        <v>0.53423662854565634</v>
      </c>
      <c r="X223">
        <v>0.44946057465678801</v>
      </c>
      <c r="Y223">
        <v>0.44365457985380635</v>
      </c>
      <c r="Z223">
        <v>0.4268479446633156</v>
      </c>
      <c r="AA223">
        <v>0.72223814328328684</v>
      </c>
      <c r="AB223">
        <v>0.79404190839435962</v>
      </c>
      <c r="AC223">
        <v>0.77114126070126487</v>
      </c>
      <c r="AD223">
        <v>0.61991782328526335</v>
      </c>
      <c r="AE223">
        <v>214.36343540578244</v>
      </c>
      <c r="AF223">
        <v>1056.4112618569757</v>
      </c>
      <c r="AG223">
        <v>1860.0333741630589</v>
      </c>
      <c r="AH223">
        <v>11964.077810969713</v>
      </c>
      <c r="AI223">
        <v>11940.552347258321</v>
      </c>
      <c r="AJ223">
        <v>35669.249450861163</v>
      </c>
      <c r="AK223">
        <v>12371.72802478931</v>
      </c>
      <c r="AL223">
        <v>2158.5234879320988</v>
      </c>
      <c r="AM223">
        <v>430.62363019800142</v>
      </c>
      <c r="AO223">
        <v>43771.906709415729</v>
      </c>
      <c r="AP223">
        <v>13.100247256845854</v>
      </c>
      <c r="AQ223">
        <v>47565.118093872486</v>
      </c>
      <c r="AR223">
        <v>13.267215431217986</v>
      </c>
      <c r="AS223" s="2">
        <f t="shared" si="22"/>
        <v>3793.2113844567575</v>
      </c>
      <c r="AT223" s="2">
        <f t="shared" si="23"/>
        <v>0.16696817437213163</v>
      </c>
      <c r="AV223">
        <f t="shared" si="24"/>
        <v>1266252.8189751697</v>
      </c>
      <c r="AW223">
        <f t="shared" si="25"/>
        <v>1279156.4250279262</v>
      </c>
      <c r="AY223">
        <f t="shared" si="26"/>
        <v>0</v>
      </c>
      <c r="AZ223">
        <f t="shared" si="27"/>
        <v>1</v>
      </c>
    </row>
    <row r="224" spans="1:52" x14ac:dyDescent="0.2">
      <c r="A224">
        <f t="shared" si="21"/>
        <v>220</v>
      </c>
      <c r="B224">
        <v>2.9999189663051484E-2</v>
      </c>
      <c r="C224">
        <v>3.1079177081323444E-2</v>
      </c>
      <c r="D224">
        <v>2.4270685554578363E-2</v>
      </c>
      <c r="E224">
        <v>1.2471523319516731E-2</v>
      </c>
      <c r="F224">
        <v>3.3869991176636027E-3</v>
      </c>
      <c r="G224">
        <v>5.2014467814916216E-3</v>
      </c>
      <c r="H224">
        <v>3.9456050761399797E-2</v>
      </c>
      <c r="I224">
        <v>0.13241030394012354</v>
      </c>
      <c r="J224">
        <v>0</v>
      </c>
      <c r="K224">
        <v>0.46899982655777395</v>
      </c>
      <c r="L224">
        <v>0.19150364125448477</v>
      </c>
      <c r="M224">
        <v>0.80849635874551518</v>
      </c>
      <c r="N224">
        <v>6.2458440312373797E-2</v>
      </c>
      <c r="O224" s="72">
        <v>0.99437552873381407</v>
      </c>
      <c r="P224">
        <v>0.99710121313494449</v>
      </c>
      <c r="Q224">
        <v>0.96913900745833759</v>
      </c>
      <c r="R224">
        <v>0.47611043796629349</v>
      </c>
      <c r="S224">
        <v>0.36637769594952974</v>
      </c>
      <c r="T224">
        <v>0.38210059807222074</v>
      </c>
      <c r="U224">
        <v>0.75058830680505151</v>
      </c>
      <c r="V224">
        <v>0.69525029194802235</v>
      </c>
      <c r="W224">
        <v>0.55196626257682957</v>
      </c>
      <c r="X224">
        <v>0.44109129459323571</v>
      </c>
      <c r="Y224">
        <v>0.47232901992084608</v>
      </c>
      <c r="Z224">
        <v>0.47626469989091891</v>
      </c>
      <c r="AA224">
        <v>0.64145332906652563</v>
      </c>
      <c r="AB224">
        <v>0.81575636323431389</v>
      </c>
      <c r="AC224">
        <v>0.75219889210449686</v>
      </c>
      <c r="AD224">
        <v>0.62831791150501592</v>
      </c>
      <c r="AE224">
        <v>309.30001961049459</v>
      </c>
      <c r="AF224">
        <v>1068.2666564388776</v>
      </c>
      <c r="AG224">
        <v>1162.8425601046192</v>
      </c>
      <c r="AH224">
        <v>12855.712250019897</v>
      </c>
      <c r="AI224">
        <v>11996.508862489951</v>
      </c>
      <c r="AJ224">
        <v>40216.714314294193</v>
      </c>
      <c r="AK224">
        <v>15883.173997109208</v>
      </c>
      <c r="AL224">
        <v>2013.7895861906895</v>
      </c>
      <c r="AM224">
        <v>311.66780905840886</v>
      </c>
      <c r="AO224">
        <v>41183.11625539037</v>
      </c>
      <c r="AP224">
        <v>13.397972238953752</v>
      </c>
      <c r="AQ224">
        <v>45509.402193032489</v>
      </c>
      <c r="AR224">
        <v>13.543730826008353</v>
      </c>
      <c r="AS224" s="2">
        <f t="shared" si="22"/>
        <v>4326.2859376421184</v>
      </c>
      <c r="AT224" s="2">
        <f t="shared" si="23"/>
        <v>0.14575858705460121</v>
      </c>
      <c r="AV224">
        <f t="shared" si="24"/>
        <v>1298614.1076399847</v>
      </c>
      <c r="AW224">
        <f t="shared" si="25"/>
        <v>1308863.6804078028</v>
      </c>
      <c r="AY224">
        <f t="shared" si="26"/>
        <v>0</v>
      </c>
      <c r="AZ224">
        <f t="shared" si="27"/>
        <v>1</v>
      </c>
    </row>
    <row r="225" spans="1:52" x14ac:dyDescent="0.2">
      <c r="A225">
        <f t="shared" si="21"/>
        <v>221</v>
      </c>
      <c r="B225">
        <v>2.4020820931690754E-2</v>
      </c>
      <c r="C225">
        <v>3.5384570120949407E-2</v>
      </c>
      <c r="D225">
        <v>2.0223060356007537E-2</v>
      </c>
      <c r="E225">
        <v>3.2903938664951725E-3</v>
      </c>
      <c r="F225">
        <v>3.4546285486896089E-3</v>
      </c>
      <c r="G225">
        <v>6.2537857668021526E-3</v>
      </c>
      <c r="H225">
        <v>4.0464183859277525E-2</v>
      </c>
      <c r="I225">
        <v>0.11635511145444706</v>
      </c>
      <c r="J225">
        <v>0</v>
      </c>
      <c r="K225">
        <v>0.44403412809033693</v>
      </c>
      <c r="L225">
        <v>0.21991056517370211</v>
      </c>
      <c r="M225">
        <v>0.78008943482629789</v>
      </c>
      <c r="N225">
        <v>5.2815866549723992E-2</v>
      </c>
      <c r="O225" s="72">
        <v>0.99991679431874225</v>
      </c>
      <c r="P225">
        <v>0.96545195298335473</v>
      </c>
      <c r="Q225">
        <v>0.96557984379405803</v>
      </c>
      <c r="R225">
        <v>0.42489058489428089</v>
      </c>
      <c r="S225">
        <v>0.39419162571875788</v>
      </c>
      <c r="T225">
        <v>0.31294810807523143</v>
      </c>
      <c r="U225">
        <v>0.8010761356556283</v>
      </c>
      <c r="V225">
        <v>0.66265984260034516</v>
      </c>
      <c r="W225">
        <v>0.52804402303046294</v>
      </c>
      <c r="X225">
        <v>0.48292267374310016</v>
      </c>
      <c r="Y225">
        <v>0.52262275919230761</v>
      </c>
      <c r="Z225">
        <v>0.44644477196556454</v>
      </c>
      <c r="AA225">
        <v>0.5679869548528691</v>
      </c>
      <c r="AB225">
        <v>0.82948872710867172</v>
      </c>
      <c r="AC225">
        <v>0.77301068492100133</v>
      </c>
      <c r="AD225">
        <v>0.67692916615909482</v>
      </c>
      <c r="AE225">
        <v>126.06518069632084</v>
      </c>
      <c r="AF225">
        <v>979.44633684127109</v>
      </c>
      <c r="AG225">
        <v>1672.5852303498114</v>
      </c>
      <c r="AH225">
        <v>12626.884089448899</v>
      </c>
      <c r="AI225">
        <v>16389.965167334081</v>
      </c>
      <c r="AJ225">
        <v>45676.987249366968</v>
      </c>
      <c r="AK225">
        <v>15687.773382739759</v>
      </c>
      <c r="AL225">
        <v>2325.9943006037838</v>
      </c>
      <c r="AM225">
        <v>348.89241538139214</v>
      </c>
      <c r="AO225">
        <v>44862.907755755514</v>
      </c>
      <c r="AP225">
        <v>13.705757983800819</v>
      </c>
      <c r="AQ225">
        <v>47008.990214007084</v>
      </c>
      <c r="AR225">
        <v>13.838075083892759</v>
      </c>
      <c r="AS225" s="2">
        <f t="shared" si="22"/>
        <v>2146.0824582515706</v>
      </c>
      <c r="AT225" s="2">
        <f t="shared" si="23"/>
        <v>0.13231710009194053</v>
      </c>
      <c r="AV225">
        <f t="shared" si="24"/>
        <v>1325712.8906243262</v>
      </c>
      <c r="AW225">
        <f t="shared" si="25"/>
        <v>1336798.518175269</v>
      </c>
      <c r="AY225">
        <f t="shared" si="26"/>
        <v>0</v>
      </c>
      <c r="AZ225">
        <f t="shared" si="27"/>
        <v>1</v>
      </c>
    </row>
    <row r="226" spans="1:52" x14ac:dyDescent="0.2">
      <c r="A226">
        <f t="shared" si="21"/>
        <v>222</v>
      </c>
      <c r="B226">
        <v>2.4640800992098765E-2</v>
      </c>
      <c r="C226">
        <v>3.2107510739112673E-2</v>
      </c>
      <c r="D226">
        <v>3.8283763925214154E-2</v>
      </c>
      <c r="E226">
        <v>1.1106543990546417E-3</v>
      </c>
      <c r="F226">
        <v>3.4482008924170415E-3</v>
      </c>
      <c r="G226">
        <v>1.1650673169560109E-2</v>
      </c>
      <c r="H226">
        <v>3.4933405231664882E-2</v>
      </c>
      <c r="I226">
        <v>0.12725013589725884</v>
      </c>
      <c r="J226">
        <v>0</v>
      </c>
      <c r="K226">
        <v>0.39438671065961939</v>
      </c>
      <c r="L226">
        <v>0.24643538836587353</v>
      </c>
      <c r="M226">
        <v>0.75356461163412647</v>
      </c>
      <c r="N226">
        <v>4.7799843649248892E-2</v>
      </c>
      <c r="O226" s="72">
        <v>0.90817687846366646</v>
      </c>
      <c r="P226">
        <v>0.99926237768972448</v>
      </c>
      <c r="Q226">
        <v>0.97613656540607907</v>
      </c>
      <c r="R226">
        <v>0.45161772073212814</v>
      </c>
      <c r="S226">
        <v>0.38997422071897969</v>
      </c>
      <c r="T226">
        <v>0.24254701128211553</v>
      </c>
      <c r="U226">
        <v>0.76999883814377568</v>
      </c>
      <c r="V226">
        <v>0.67706490395286667</v>
      </c>
      <c r="W226">
        <v>0.50160496741968141</v>
      </c>
      <c r="X226">
        <v>0.46777939564769655</v>
      </c>
      <c r="Y226">
        <v>0.52550271646219437</v>
      </c>
      <c r="Z226">
        <v>0.43622059436392308</v>
      </c>
      <c r="AA226">
        <v>0.66237946125737412</v>
      </c>
      <c r="AB226">
        <v>0.82084425250996451</v>
      </c>
      <c r="AC226">
        <v>0.71776807107756913</v>
      </c>
      <c r="AD226">
        <v>0.62313957257911379</v>
      </c>
      <c r="AE226">
        <v>185.75090116545235</v>
      </c>
      <c r="AF226">
        <v>966.41753280077353</v>
      </c>
      <c r="AG226">
        <v>1817.1696195383804</v>
      </c>
      <c r="AH226">
        <v>12835.159246503565</v>
      </c>
      <c r="AI226">
        <v>8758.7129197867216</v>
      </c>
      <c r="AJ226">
        <v>46738.875970901521</v>
      </c>
      <c r="AK226">
        <v>12440.37093454052</v>
      </c>
      <c r="AL226">
        <v>2214.2432260967676</v>
      </c>
      <c r="AM226">
        <v>327.78528885752172</v>
      </c>
      <c r="AO226">
        <v>44289.209952483317</v>
      </c>
      <c r="AP226">
        <v>13.365130853235621</v>
      </c>
      <c r="AQ226">
        <v>46014.049504068535</v>
      </c>
      <c r="AR226">
        <v>13.544500324311809</v>
      </c>
      <c r="AS226" s="2">
        <f t="shared" si="22"/>
        <v>1724.8395515852171</v>
      </c>
      <c r="AT226" s="2">
        <f t="shared" si="23"/>
        <v>0.17936947107618728</v>
      </c>
      <c r="AV226">
        <f t="shared" si="24"/>
        <v>1292223.8753710787</v>
      </c>
      <c r="AW226">
        <f t="shared" si="25"/>
        <v>1308435.9829271124</v>
      </c>
      <c r="AY226">
        <f t="shared" si="26"/>
        <v>0</v>
      </c>
      <c r="AZ226">
        <f t="shared" si="27"/>
        <v>1</v>
      </c>
    </row>
    <row r="227" spans="1:52" x14ac:dyDescent="0.2">
      <c r="A227">
        <f t="shared" si="21"/>
        <v>223</v>
      </c>
      <c r="B227">
        <v>2.2323683212446623E-2</v>
      </c>
      <c r="C227">
        <v>3.8047786545113427E-2</v>
      </c>
      <c r="D227">
        <v>4.8893372599253859E-2</v>
      </c>
      <c r="E227">
        <v>1.02695136996723E-2</v>
      </c>
      <c r="F227">
        <v>3.4489434732316582E-3</v>
      </c>
      <c r="G227">
        <v>1.0610483461434247E-2</v>
      </c>
      <c r="H227">
        <v>5.3299879206338385E-2</v>
      </c>
      <c r="I227">
        <v>0.1221029953889456</v>
      </c>
      <c r="J227">
        <v>0</v>
      </c>
      <c r="K227">
        <v>0.40737792102612652</v>
      </c>
      <c r="L227">
        <v>0.17710026567384676</v>
      </c>
      <c r="M227">
        <v>0.82289973432615326</v>
      </c>
      <c r="N227">
        <v>6.9988801528973243E-2</v>
      </c>
      <c r="O227" s="72">
        <v>0.99984446453322273</v>
      </c>
      <c r="P227">
        <v>0.98628523333693741</v>
      </c>
      <c r="Q227">
        <v>0.96611382540171498</v>
      </c>
      <c r="R227">
        <v>0.45456013010080187</v>
      </c>
      <c r="S227">
        <v>0.39142965273427022</v>
      </c>
      <c r="T227">
        <v>0.21396134718756876</v>
      </c>
      <c r="U227">
        <v>0.76279691209735445</v>
      </c>
      <c r="V227">
        <v>0.64949388890597604</v>
      </c>
      <c r="W227">
        <v>0.59040058165975484</v>
      </c>
      <c r="X227">
        <v>0.43028821600389477</v>
      </c>
      <c r="Y227">
        <v>0.43892858585533273</v>
      </c>
      <c r="Z227">
        <v>0.49580935939861359</v>
      </c>
      <c r="AA227">
        <v>0.65230914099820658</v>
      </c>
      <c r="AB227">
        <v>0.78684076320983909</v>
      </c>
      <c r="AC227">
        <v>0.78770292615050252</v>
      </c>
      <c r="AD227">
        <v>0.56816323857676809</v>
      </c>
      <c r="AE227">
        <v>211.14480818826763</v>
      </c>
      <c r="AF227">
        <v>1049.6918848122334</v>
      </c>
      <c r="AG227">
        <v>2074.185426495791</v>
      </c>
      <c r="AH227">
        <v>13805.093116646223</v>
      </c>
      <c r="AI227">
        <v>13880.220250773169</v>
      </c>
      <c r="AJ227">
        <v>35050.932082410465</v>
      </c>
      <c r="AK227">
        <v>16557.756032400379</v>
      </c>
      <c r="AL227">
        <v>1826.0510170865491</v>
      </c>
      <c r="AM227">
        <v>413.24586817412001</v>
      </c>
      <c r="AO227">
        <v>46083.863479588872</v>
      </c>
      <c r="AP227">
        <v>12.975657682936093</v>
      </c>
      <c r="AQ227">
        <v>47457.09332399378</v>
      </c>
      <c r="AR227">
        <v>13.124750476853478</v>
      </c>
      <c r="AS227" s="2">
        <f t="shared" si="22"/>
        <v>1373.2298444049084</v>
      </c>
      <c r="AT227" s="2">
        <f t="shared" si="23"/>
        <v>0.14909279391738472</v>
      </c>
      <c r="AV227">
        <f t="shared" si="24"/>
        <v>1251481.9048140205</v>
      </c>
      <c r="AW227">
        <f t="shared" si="25"/>
        <v>1265017.954361354</v>
      </c>
      <c r="AY227">
        <f t="shared" si="26"/>
        <v>0</v>
      </c>
      <c r="AZ227">
        <f t="shared" si="27"/>
        <v>1</v>
      </c>
    </row>
    <row r="228" spans="1:52" x14ac:dyDescent="0.2">
      <c r="A228">
        <f t="shared" si="21"/>
        <v>224</v>
      </c>
      <c r="B228">
        <v>2.6041729907125832E-2</v>
      </c>
      <c r="C228">
        <v>3.2686128143799897E-2</v>
      </c>
      <c r="D228">
        <v>4.9550566906070626E-2</v>
      </c>
      <c r="E228">
        <v>4.6834358209712629E-3</v>
      </c>
      <c r="F228">
        <v>3.2924091159555928E-3</v>
      </c>
      <c r="G228">
        <v>1.0667265907742083E-2</v>
      </c>
      <c r="H228">
        <v>2.5401947230571986E-2</v>
      </c>
      <c r="I228">
        <v>0.12863470745114491</v>
      </c>
      <c r="J228">
        <v>0</v>
      </c>
      <c r="K228">
        <v>0.44394196718953682</v>
      </c>
      <c r="L228">
        <v>0.16318206502229074</v>
      </c>
      <c r="M228">
        <v>0.83681793497770929</v>
      </c>
      <c r="N228">
        <v>4.9887884778916945E-2</v>
      </c>
      <c r="O228" s="72">
        <v>0.91450016345131135</v>
      </c>
      <c r="P228">
        <v>0.99197938809296293</v>
      </c>
      <c r="Q228">
        <v>0.96044599525687169</v>
      </c>
      <c r="R228">
        <v>0.47488828365960922</v>
      </c>
      <c r="S228">
        <v>0.40512197277345574</v>
      </c>
      <c r="T228">
        <v>0.16548333653272684</v>
      </c>
      <c r="U228">
        <v>0.77661714384115976</v>
      </c>
      <c r="V228">
        <v>0.68540158442528387</v>
      </c>
      <c r="W228">
        <v>0.4669835211713102</v>
      </c>
      <c r="X228">
        <v>0.48636084376314126</v>
      </c>
      <c r="Y228">
        <v>0.42256405283316056</v>
      </c>
      <c r="Z228">
        <v>0.48223038746729596</v>
      </c>
      <c r="AA228">
        <v>0.63067021021586911</v>
      </c>
      <c r="AB228">
        <v>0.84759511549050082</v>
      </c>
      <c r="AC228">
        <v>0.74713223295807363</v>
      </c>
      <c r="AD228">
        <v>0.6231077807437293</v>
      </c>
      <c r="AE228">
        <v>172.18688950601168</v>
      </c>
      <c r="AF228">
        <v>1108.2482680864637</v>
      </c>
      <c r="AG228">
        <v>941.4593715378245</v>
      </c>
      <c r="AH228">
        <v>14743.415625000647</v>
      </c>
      <c r="AI228">
        <v>9040.8803131038694</v>
      </c>
      <c r="AJ228">
        <v>39779.700372826679</v>
      </c>
      <c r="AK228">
        <v>14687.103623943718</v>
      </c>
      <c r="AL228">
        <v>2266.857935295212</v>
      </c>
      <c r="AM228">
        <v>460.7199022732612</v>
      </c>
      <c r="AO228">
        <v>46457.431055620174</v>
      </c>
      <c r="AP228">
        <v>13.704794579494257</v>
      </c>
      <c r="AQ228">
        <v>48301.997806412015</v>
      </c>
      <c r="AR228">
        <v>13.967571180095151</v>
      </c>
      <c r="AS228" s="2">
        <f t="shared" si="22"/>
        <v>1844.5667507918406</v>
      </c>
      <c r="AT228" s="2">
        <f t="shared" si="23"/>
        <v>0.26277660060089403</v>
      </c>
      <c r="AV228">
        <f t="shared" si="24"/>
        <v>1324022.0268938055</v>
      </c>
      <c r="AW228">
        <f t="shared" si="25"/>
        <v>1348455.1202031032</v>
      </c>
      <c r="AY228">
        <f t="shared" si="26"/>
        <v>0</v>
      </c>
      <c r="AZ228">
        <f t="shared" si="27"/>
        <v>1</v>
      </c>
    </row>
    <row r="229" spans="1:52" x14ac:dyDescent="0.2">
      <c r="A229">
        <f t="shared" si="21"/>
        <v>225</v>
      </c>
      <c r="B229">
        <v>2.6737863211035773E-2</v>
      </c>
      <c r="C229">
        <v>2.8654475179174781E-2</v>
      </c>
      <c r="D229">
        <v>6.0907508868921267E-2</v>
      </c>
      <c r="E229">
        <v>7.3479773778840265E-3</v>
      </c>
      <c r="F229">
        <v>3.3191482589541282E-3</v>
      </c>
      <c r="G229">
        <v>3.2488998017125126E-2</v>
      </c>
      <c r="H229">
        <v>3.2380139010415587E-2</v>
      </c>
      <c r="I229">
        <v>0.11046894570580015</v>
      </c>
      <c r="J229">
        <v>0</v>
      </c>
      <c r="K229">
        <v>0.42259768408556875</v>
      </c>
      <c r="L229">
        <v>0.15873086000037509</v>
      </c>
      <c r="M229">
        <v>0.84126913999962494</v>
      </c>
      <c r="N229">
        <v>3.7426822320471453E-2</v>
      </c>
      <c r="O229" s="72">
        <v>0.99808310495927444</v>
      </c>
      <c r="P229">
        <v>0.9882394556433447</v>
      </c>
      <c r="Q229">
        <v>0.95186013395956437</v>
      </c>
      <c r="R229">
        <v>0.48396115610259227</v>
      </c>
      <c r="S229">
        <v>0.3981947649802865</v>
      </c>
      <c r="T229">
        <v>0.28338307003584551</v>
      </c>
      <c r="U229">
        <v>0.78241765179187717</v>
      </c>
      <c r="V229">
        <v>0.67225276048457439</v>
      </c>
      <c r="W229">
        <v>0.50785126052753282</v>
      </c>
      <c r="X229">
        <v>0.52218810034432772</v>
      </c>
      <c r="Y229">
        <v>0.47303620189677609</v>
      </c>
      <c r="Z229">
        <v>0.45716302617511029</v>
      </c>
      <c r="AA229">
        <v>0.69968288127290645</v>
      </c>
      <c r="AB229">
        <v>0.79955554488474956</v>
      </c>
      <c r="AC229">
        <v>0.71238330641147818</v>
      </c>
      <c r="AD229">
        <v>0.63917730170362119</v>
      </c>
      <c r="AE229">
        <v>145.02734919327926</v>
      </c>
      <c r="AF229">
        <v>884.08106885460961</v>
      </c>
      <c r="AG229">
        <v>1286.2779145232153</v>
      </c>
      <c r="AH229">
        <v>15723.749600554465</v>
      </c>
      <c r="AI229">
        <v>9890.8218421663751</v>
      </c>
      <c r="AJ229">
        <v>41787.353612018203</v>
      </c>
      <c r="AK229">
        <v>11718.527757144457</v>
      </c>
      <c r="AL229">
        <v>1423.9370267485394</v>
      </c>
      <c r="AM229">
        <v>428.99644113367361</v>
      </c>
      <c r="AO229">
        <v>43227.445542325717</v>
      </c>
      <c r="AP229">
        <v>13.105921224385675</v>
      </c>
      <c r="AQ229">
        <v>47589.017464934557</v>
      </c>
      <c r="AR229">
        <v>13.262840938002284</v>
      </c>
      <c r="AS229" s="2">
        <f t="shared" si="22"/>
        <v>4361.5719226088404</v>
      </c>
      <c r="AT229" s="2">
        <f t="shared" si="23"/>
        <v>0.15691971361660961</v>
      </c>
      <c r="AV229">
        <f t="shared" si="24"/>
        <v>1267364.6768962417</v>
      </c>
      <c r="AW229">
        <f t="shared" si="25"/>
        <v>1278695.0763352939</v>
      </c>
      <c r="AY229">
        <f t="shared" si="26"/>
        <v>0</v>
      </c>
      <c r="AZ229">
        <f t="shared" si="27"/>
        <v>1</v>
      </c>
    </row>
    <row r="230" spans="1:52" x14ac:dyDescent="0.2">
      <c r="A230">
        <f t="shared" si="21"/>
        <v>226</v>
      </c>
      <c r="B230">
        <v>2.9984561910410323E-2</v>
      </c>
      <c r="C230">
        <v>3.0781048476198409E-2</v>
      </c>
      <c r="D230">
        <v>4.2806617908267786E-2</v>
      </c>
      <c r="E230">
        <v>1.972406919132319E-2</v>
      </c>
      <c r="F230">
        <v>3.3343261194936674E-3</v>
      </c>
      <c r="G230">
        <v>1.8031595485953456E-2</v>
      </c>
      <c r="H230">
        <v>3.6177740826027871E-2</v>
      </c>
      <c r="I230">
        <v>0.1295832846334497</v>
      </c>
      <c r="J230">
        <v>0</v>
      </c>
      <c r="K230">
        <v>0.41881821426310956</v>
      </c>
      <c r="L230">
        <v>0.15740980722384473</v>
      </c>
      <c r="M230">
        <v>0.84259019277615521</v>
      </c>
      <c r="N230">
        <v>7.5759066520622365E-2</v>
      </c>
      <c r="O230" s="72">
        <v>0.99486420389214258</v>
      </c>
      <c r="P230">
        <v>0.74243250366541036</v>
      </c>
      <c r="Q230">
        <v>0.9960166079774061</v>
      </c>
      <c r="R230">
        <v>0.52462023879573483</v>
      </c>
      <c r="S230">
        <v>0.37263610657501989</v>
      </c>
      <c r="T230">
        <v>0.12624958711331302</v>
      </c>
      <c r="U230">
        <v>0.7518734229648103</v>
      </c>
      <c r="V230">
        <v>0.73038274097656797</v>
      </c>
      <c r="W230">
        <v>0.62768474099138216</v>
      </c>
      <c r="X230">
        <v>0.45765548738699335</v>
      </c>
      <c r="Y230">
        <v>0.37735916034056471</v>
      </c>
      <c r="Z230">
        <v>0.41318016908375205</v>
      </c>
      <c r="AA230">
        <v>0.60904342281156354</v>
      </c>
      <c r="AB230">
        <v>0.83999049172434126</v>
      </c>
      <c r="AC230">
        <v>0.73249739389585689</v>
      </c>
      <c r="AD230">
        <v>0.63870271725345118</v>
      </c>
      <c r="AE230">
        <v>206.75008561246636</v>
      </c>
      <c r="AF230">
        <v>1049.3757030825343</v>
      </c>
      <c r="AG230">
        <v>2124.1338064533616</v>
      </c>
      <c r="AH230">
        <v>12454.447456103262</v>
      </c>
      <c r="AI230">
        <v>12321.229256691538</v>
      </c>
      <c r="AJ230">
        <v>39071.795884617866</v>
      </c>
      <c r="AK230">
        <v>15252.861378000121</v>
      </c>
      <c r="AL230">
        <v>2142.375394686484</v>
      </c>
      <c r="AM230">
        <v>346.08052344437078</v>
      </c>
      <c r="AO230">
        <v>44181.739429881869</v>
      </c>
      <c r="AP230">
        <v>13.585445161617766</v>
      </c>
      <c r="AQ230">
        <v>56323.266932258499</v>
      </c>
      <c r="AR230">
        <v>13.821849541253354</v>
      </c>
      <c r="AS230" s="2">
        <f t="shared" si="22"/>
        <v>12141.52750237663</v>
      </c>
      <c r="AT230" s="2">
        <f t="shared" si="23"/>
        <v>0.23640437963558725</v>
      </c>
      <c r="AV230">
        <f t="shared" si="24"/>
        <v>1314362.7767318948</v>
      </c>
      <c r="AW230">
        <f t="shared" si="25"/>
        <v>1325861.6871930771</v>
      </c>
      <c r="AY230">
        <f t="shared" si="26"/>
        <v>0</v>
      </c>
      <c r="AZ230">
        <f t="shared" si="27"/>
        <v>1</v>
      </c>
    </row>
    <row r="231" spans="1:52" x14ac:dyDescent="0.2">
      <c r="A231">
        <f t="shared" si="21"/>
        <v>227</v>
      </c>
      <c r="B231">
        <v>2.325256626016076E-2</v>
      </c>
      <c r="C231">
        <v>3.7999967742934793E-2</v>
      </c>
      <c r="D231">
        <v>5.4583626212312386E-2</v>
      </c>
      <c r="E231">
        <v>5.2059423402281589E-3</v>
      </c>
      <c r="F231">
        <v>3.345830180284004E-3</v>
      </c>
      <c r="G231">
        <v>1.7469287062986782E-2</v>
      </c>
      <c r="H231">
        <v>1.5445713338630811E-2</v>
      </c>
      <c r="I231">
        <v>0.13601394776528819</v>
      </c>
      <c r="J231">
        <v>0</v>
      </c>
      <c r="K231">
        <v>0.42978582818068306</v>
      </c>
      <c r="L231">
        <v>0.37197435609221186</v>
      </c>
      <c r="M231">
        <v>0.62802564390778814</v>
      </c>
      <c r="N231">
        <v>8.0219389525414742E-2</v>
      </c>
      <c r="O231" s="72">
        <v>0.99999145711928905</v>
      </c>
      <c r="P231">
        <v>0.99045247675845693</v>
      </c>
      <c r="Q231">
        <v>0.98593578589944453</v>
      </c>
      <c r="R231">
        <v>0.4570136485913453</v>
      </c>
      <c r="S231">
        <v>0.47006502841816</v>
      </c>
      <c r="T231">
        <v>9.683038067426053E-2</v>
      </c>
      <c r="U231">
        <v>0.76552988741155514</v>
      </c>
      <c r="V231">
        <v>0.66635377106261529</v>
      </c>
      <c r="W231">
        <v>0.49076421980922008</v>
      </c>
      <c r="X231">
        <v>0.48028380574103191</v>
      </c>
      <c r="Y231">
        <v>0.49140808384447965</v>
      </c>
      <c r="Z231">
        <v>0.44342388176565006</v>
      </c>
      <c r="AA231">
        <v>0.66304891470877014</v>
      </c>
      <c r="AB231">
        <v>0.83223047083039114</v>
      </c>
      <c r="AC231">
        <v>0.63699354721918389</v>
      </c>
      <c r="AD231">
        <v>0.61335071827879939</v>
      </c>
      <c r="AE231">
        <v>198.84421285356197</v>
      </c>
      <c r="AF231">
        <v>1018.0660785683133</v>
      </c>
      <c r="AG231">
        <v>1481.6367612156773</v>
      </c>
      <c r="AH231">
        <v>13421.990967998763</v>
      </c>
      <c r="AI231">
        <v>13823.499998057052</v>
      </c>
      <c r="AJ231">
        <v>41700.11578013932</v>
      </c>
      <c r="AK231">
        <v>14401.762262740403</v>
      </c>
      <c r="AL231">
        <v>1633.6421052556307</v>
      </c>
      <c r="AM231">
        <v>418.9575592791806</v>
      </c>
      <c r="AO231">
        <v>48815.930882882843</v>
      </c>
      <c r="AP231">
        <v>13.207531070661153</v>
      </c>
      <c r="AQ231">
        <v>47243.127621707201</v>
      </c>
      <c r="AR231">
        <v>13.54233443419689</v>
      </c>
      <c r="AS231" s="2">
        <f t="shared" si="22"/>
        <v>-1572.8032611756425</v>
      </c>
      <c r="AT231" s="2">
        <f t="shared" si="23"/>
        <v>0.33480336353573747</v>
      </c>
      <c r="AV231">
        <f t="shared" si="24"/>
        <v>1271937.1761832326</v>
      </c>
      <c r="AW231">
        <f t="shared" si="25"/>
        <v>1306990.3157979818</v>
      </c>
      <c r="AY231">
        <f t="shared" si="26"/>
        <v>0</v>
      </c>
      <c r="AZ231">
        <f t="shared" si="27"/>
        <v>1</v>
      </c>
    </row>
    <row r="232" spans="1:52" x14ac:dyDescent="0.2">
      <c r="A232">
        <f t="shared" si="21"/>
        <v>228</v>
      </c>
      <c r="B232">
        <v>2.7922453576530226E-2</v>
      </c>
      <c r="C232">
        <v>2.4077204968926423E-2</v>
      </c>
      <c r="D232">
        <v>4.2590899564937335E-2</v>
      </c>
      <c r="E232">
        <v>5.3307486621296363E-2</v>
      </c>
      <c r="F232">
        <v>3.2392842758308268E-3</v>
      </c>
      <c r="G232">
        <v>1.9424694489084349E-2</v>
      </c>
      <c r="H232">
        <v>4.0092350757711226E-2</v>
      </c>
      <c r="I232">
        <v>0.12789383477088334</v>
      </c>
      <c r="J232">
        <v>0</v>
      </c>
      <c r="K232">
        <v>0.44451815531009342</v>
      </c>
      <c r="L232">
        <v>0.19863423554632981</v>
      </c>
      <c r="M232">
        <v>0.80136576445367025</v>
      </c>
      <c r="N232">
        <v>6.9264108208893838E-2</v>
      </c>
      <c r="O232" s="72">
        <v>0.99997605768662057</v>
      </c>
      <c r="P232">
        <v>0.97739696138490295</v>
      </c>
      <c r="Q232">
        <v>0.92314895759982663</v>
      </c>
      <c r="R232">
        <v>0.53299638701103114</v>
      </c>
      <c r="S232">
        <v>0.39408186212523832</v>
      </c>
      <c r="T232">
        <v>0.2333325426027163</v>
      </c>
      <c r="U232">
        <v>0.75928856557368318</v>
      </c>
      <c r="V232">
        <v>0.68498113282093898</v>
      </c>
      <c r="W232">
        <v>0.50481299667370116</v>
      </c>
      <c r="X232">
        <v>0.45309617183576767</v>
      </c>
      <c r="Y232">
        <v>0.44195358957846365</v>
      </c>
      <c r="Z232">
        <v>0.45427223284945917</v>
      </c>
      <c r="AA232">
        <v>0.61243389322763286</v>
      </c>
      <c r="AB232">
        <v>0.86643226294399267</v>
      </c>
      <c r="AC232">
        <v>0.77086663120960497</v>
      </c>
      <c r="AD232">
        <v>0.50279352980868164</v>
      </c>
      <c r="AE232">
        <v>174.63888130090666</v>
      </c>
      <c r="AF232">
        <v>1257.3244103594054</v>
      </c>
      <c r="AG232">
        <v>1375.0779808034247</v>
      </c>
      <c r="AH232">
        <v>12524.536034459077</v>
      </c>
      <c r="AI232">
        <v>9589.8014986611961</v>
      </c>
      <c r="AJ232">
        <v>34036.36782997672</v>
      </c>
      <c r="AK232">
        <v>8262.3132298224064</v>
      </c>
      <c r="AL232">
        <v>1991.5665651007675</v>
      </c>
      <c r="AM232">
        <v>356.3386341714907</v>
      </c>
      <c r="AO232">
        <v>40186.286019862331</v>
      </c>
      <c r="AP232">
        <v>13.860694548673074</v>
      </c>
      <c r="AQ232">
        <v>46865.633936139391</v>
      </c>
      <c r="AR232">
        <v>14.103243420320409</v>
      </c>
      <c r="AS232" s="2">
        <f t="shared" si="22"/>
        <v>6679.34791627706</v>
      </c>
      <c r="AT232" s="2">
        <f t="shared" si="23"/>
        <v>0.24254887164733496</v>
      </c>
      <c r="AV232">
        <f t="shared" si="24"/>
        <v>1345883.1688474449</v>
      </c>
      <c r="AW232">
        <f t="shared" si="25"/>
        <v>1363458.7080959016</v>
      </c>
      <c r="AY232">
        <f t="shared" si="26"/>
        <v>0</v>
      </c>
      <c r="AZ232">
        <f t="shared" si="27"/>
        <v>1</v>
      </c>
    </row>
    <row r="233" spans="1:52" x14ac:dyDescent="0.2">
      <c r="A233">
        <f t="shared" si="21"/>
        <v>229</v>
      </c>
      <c r="B233">
        <v>3.2338323841237027E-2</v>
      </c>
      <c r="C233">
        <v>4.151501230446053E-2</v>
      </c>
      <c r="D233">
        <v>4.4844893917371675E-2</v>
      </c>
      <c r="E233">
        <v>5.0121791093596362E-3</v>
      </c>
      <c r="F233">
        <v>3.2764181335817803E-3</v>
      </c>
      <c r="G233">
        <v>5.179962826243255E-3</v>
      </c>
      <c r="H233">
        <v>4.5871744298054185E-2</v>
      </c>
      <c r="I233">
        <v>0.13226790979457204</v>
      </c>
      <c r="J233">
        <v>0</v>
      </c>
      <c r="K233">
        <v>0.46650170851414652</v>
      </c>
      <c r="L233">
        <v>0.221808144884997</v>
      </c>
      <c r="M233">
        <v>0.778191855115003</v>
      </c>
      <c r="N233">
        <v>4.281368749853761E-2</v>
      </c>
      <c r="O233" s="72">
        <v>0.99866548662638466</v>
      </c>
      <c r="P233">
        <v>0.99932954549779551</v>
      </c>
      <c r="Q233">
        <v>0.96208690864025626</v>
      </c>
      <c r="R233">
        <v>0.47206193711392541</v>
      </c>
      <c r="S233">
        <v>0.44551131674686151</v>
      </c>
      <c r="T233">
        <v>0.23244806152715825</v>
      </c>
      <c r="U233">
        <v>0.76026639818939901</v>
      </c>
      <c r="V233">
        <v>0.66441781911489795</v>
      </c>
      <c r="W233">
        <v>0.55387679436115833</v>
      </c>
      <c r="X233">
        <v>0.43053223679428143</v>
      </c>
      <c r="Y233">
        <v>0.41449222155386756</v>
      </c>
      <c r="Z233">
        <v>0.45744134933172276</v>
      </c>
      <c r="AA233">
        <v>0.65092725219582337</v>
      </c>
      <c r="AB233">
        <v>0.74499080243430593</v>
      </c>
      <c r="AC233">
        <v>0.74987339434436007</v>
      </c>
      <c r="AD233">
        <v>0.59137715701846816</v>
      </c>
      <c r="AE233">
        <v>202.43232375030223</v>
      </c>
      <c r="AF233">
        <v>1050.5147317470382</v>
      </c>
      <c r="AG233">
        <v>1635.7640140367612</v>
      </c>
      <c r="AH233">
        <v>11861.385601796117</v>
      </c>
      <c r="AI233">
        <v>15627.3431921395</v>
      </c>
      <c r="AJ233">
        <v>42917.267580287618</v>
      </c>
      <c r="AK233">
        <v>11013.598605952577</v>
      </c>
      <c r="AL233">
        <v>2091.9625383657003</v>
      </c>
      <c r="AM233">
        <v>341.76567146670988</v>
      </c>
      <c r="AO233">
        <v>42926.921939532789</v>
      </c>
      <c r="AP233">
        <v>12.414789263423504</v>
      </c>
      <c r="AQ233">
        <v>45845.443455496104</v>
      </c>
      <c r="AR233">
        <v>12.508510140515131</v>
      </c>
      <c r="AS233" s="2">
        <f t="shared" si="22"/>
        <v>2918.5215159633153</v>
      </c>
      <c r="AT233" s="2">
        <f t="shared" si="23"/>
        <v>9.3720877091627131E-2</v>
      </c>
      <c r="AV233">
        <f t="shared" si="24"/>
        <v>1198552.0044028177</v>
      </c>
      <c r="AW233">
        <f t="shared" si="25"/>
        <v>1205005.5705960169</v>
      </c>
      <c r="AY233">
        <f t="shared" si="26"/>
        <v>0</v>
      </c>
      <c r="AZ233">
        <f t="shared" si="27"/>
        <v>1</v>
      </c>
    </row>
    <row r="234" spans="1:52" x14ac:dyDescent="0.2">
      <c r="A234">
        <f t="shared" si="21"/>
        <v>230</v>
      </c>
      <c r="B234">
        <v>2.6561703127251146E-2</v>
      </c>
      <c r="C234">
        <v>3.3538744279176233E-2</v>
      </c>
      <c r="D234">
        <v>3.8587420590265653E-2</v>
      </c>
      <c r="E234">
        <v>1.1499113015771252E-2</v>
      </c>
      <c r="F234">
        <v>3.3885013012927567E-3</v>
      </c>
      <c r="G234">
        <v>4.0930669124952654E-3</v>
      </c>
      <c r="H234">
        <v>1.3027232386900204E-2</v>
      </c>
      <c r="I234">
        <v>0.11956357416399607</v>
      </c>
      <c r="J234">
        <v>0</v>
      </c>
      <c r="K234">
        <v>0.44279079115778663</v>
      </c>
      <c r="L234">
        <v>0.21860212725264416</v>
      </c>
      <c r="M234">
        <v>0.78139787274735584</v>
      </c>
      <c r="N234">
        <v>5.0409656843945064E-2</v>
      </c>
      <c r="O234" s="72">
        <v>0.99995576413212628</v>
      </c>
      <c r="P234">
        <v>0.99954285902040318</v>
      </c>
      <c r="Q234">
        <v>0.99443337580463387</v>
      </c>
      <c r="R234">
        <v>0.48558924877858411</v>
      </c>
      <c r="S234">
        <v>0.50381076185652973</v>
      </c>
      <c r="T234">
        <v>0.21783867870850149</v>
      </c>
      <c r="U234">
        <v>0.77136091781504057</v>
      </c>
      <c r="V234">
        <v>0.64899856705645209</v>
      </c>
      <c r="W234">
        <v>0.64787181118233628</v>
      </c>
      <c r="X234">
        <v>0.46125493099034176</v>
      </c>
      <c r="Y234">
        <v>0.42311511322548856</v>
      </c>
      <c r="Z234">
        <v>0.4954645323447443</v>
      </c>
      <c r="AA234">
        <v>0.66804025028575875</v>
      </c>
      <c r="AB234">
        <v>0.85186167228239573</v>
      </c>
      <c r="AC234">
        <v>0.72053901797200193</v>
      </c>
      <c r="AD234">
        <v>0.67060749215133186</v>
      </c>
      <c r="AE234">
        <v>160.53554427867627</v>
      </c>
      <c r="AF234">
        <v>1010.225204840646</v>
      </c>
      <c r="AG234">
        <v>1813.4185279761646</v>
      </c>
      <c r="AH234">
        <v>14294.477910615589</v>
      </c>
      <c r="AI234">
        <v>9900.1769801046903</v>
      </c>
      <c r="AJ234">
        <v>42296.875413999966</v>
      </c>
      <c r="AK234">
        <v>5126.2007394687771</v>
      </c>
      <c r="AL234">
        <v>2001.1745969958633</v>
      </c>
      <c r="AM234">
        <v>454.1771409563022</v>
      </c>
      <c r="AO234">
        <v>43732.40557629375</v>
      </c>
      <c r="AP234">
        <v>13.830193974278863</v>
      </c>
      <c r="AQ234">
        <v>47536.881686406377</v>
      </c>
      <c r="AR234">
        <v>14.046396678392314</v>
      </c>
      <c r="AS234" s="2">
        <f t="shared" si="22"/>
        <v>3804.4761101126278</v>
      </c>
      <c r="AT234" s="2">
        <f t="shared" si="23"/>
        <v>0.21620270411345111</v>
      </c>
      <c r="AV234">
        <f t="shared" si="24"/>
        <v>1339286.9918515924</v>
      </c>
      <c r="AW234">
        <f t="shared" si="25"/>
        <v>1357102.786152825</v>
      </c>
      <c r="AY234">
        <f t="shared" si="26"/>
        <v>0</v>
      </c>
      <c r="AZ234">
        <f t="shared" si="27"/>
        <v>1</v>
      </c>
    </row>
    <row r="235" spans="1:52" x14ac:dyDescent="0.2">
      <c r="A235">
        <f t="shared" si="21"/>
        <v>231</v>
      </c>
      <c r="B235">
        <v>2.3978865894643375E-2</v>
      </c>
      <c r="C235">
        <v>4.3408917263432434E-2</v>
      </c>
      <c r="D235">
        <v>2.8018798220186481E-2</v>
      </c>
      <c r="E235">
        <v>1.8004285056142932E-2</v>
      </c>
      <c r="F235">
        <v>3.4320947184202089E-3</v>
      </c>
      <c r="G235">
        <v>1.0193579586422169E-2</v>
      </c>
      <c r="H235">
        <v>3.4324541053680546E-2</v>
      </c>
      <c r="I235">
        <v>0.11550341800963436</v>
      </c>
      <c r="J235">
        <v>0</v>
      </c>
      <c r="K235">
        <v>0.43735682229849637</v>
      </c>
      <c r="L235">
        <v>0.25415604569974348</v>
      </c>
      <c r="M235">
        <v>0.74584395430025652</v>
      </c>
      <c r="N235">
        <v>4.5072314496769288E-2</v>
      </c>
      <c r="O235" s="72">
        <v>0.99983532929612695</v>
      </c>
      <c r="P235">
        <v>0.99712666075081813</v>
      </c>
      <c r="Q235">
        <v>0.97248044510346443</v>
      </c>
      <c r="R235">
        <v>0.45054954254536883</v>
      </c>
      <c r="S235">
        <v>0.44386196926680566</v>
      </c>
      <c r="T235">
        <v>0.36860794531035446</v>
      </c>
      <c r="U235">
        <v>0.76975500831045052</v>
      </c>
      <c r="V235">
        <v>0.64300895984686668</v>
      </c>
      <c r="W235">
        <v>0.62956379868364765</v>
      </c>
      <c r="X235">
        <v>0.44297310839751319</v>
      </c>
      <c r="Y235">
        <v>0.42694069723038119</v>
      </c>
      <c r="Z235">
        <v>0.4388290142188897</v>
      </c>
      <c r="AA235">
        <v>0.71661819102880864</v>
      </c>
      <c r="AB235">
        <v>0.89149946978497452</v>
      </c>
      <c r="AC235">
        <v>0.64906507970151994</v>
      </c>
      <c r="AD235">
        <v>0.63812381469832469</v>
      </c>
      <c r="AE235">
        <v>253.65495111443153</v>
      </c>
      <c r="AF235">
        <v>826.44099861908421</v>
      </c>
      <c r="AG235">
        <v>2091.9340045642343</v>
      </c>
      <c r="AH235">
        <v>14093.326244565922</v>
      </c>
      <c r="AI235">
        <v>10807.837383056785</v>
      </c>
      <c r="AJ235">
        <v>36847.077597519761</v>
      </c>
      <c r="AK235">
        <v>18038.38305035984</v>
      </c>
      <c r="AL235">
        <v>1712.1263686661525</v>
      </c>
      <c r="AM235">
        <v>415.43342831118235</v>
      </c>
      <c r="AO235">
        <v>43421.455834155713</v>
      </c>
      <c r="AP235">
        <v>14.177336722578575</v>
      </c>
      <c r="AQ235">
        <v>47157.432687607696</v>
      </c>
      <c r="AR235">
        <v>14.421480462700373</v>
      </c>
      <c r="AS235" s="2">
        <f t="shared" si="22"/>
        <v>3735.9768534519826</v>
      </c>
      <c r="AT235" s="2">
        <f t="shared" si="23"/>
        <v>0.24414374012179785</v>
      </c>
      <c r="AV235">
        <f t="shared" si="24"/>
        <v>1374312.2164237017</v>
      </c>
      <c r="AW235">
        <f t="shared" si="25"/>
        <v>1394990.6135824297</v>
      </c>
      <c r="AY235">
        <f t="shared" si="26"/>
        <v>0</v>
      </c>
      <c r="AZ235">
        <f t="shared" si="27"/>
        <v>1</v>
      </c>
    </row>
    <row r="236" spans="1:52" x14ac:dyDescent="0.2">
      <c r="A236">
        <f t="shared" si="21"/>
        <v>232</v>
      </c>
      <c r="B236">
        <v>1.95468156020654E-2</v>
      </c>
      <c r="C236">
        <v>3.5902848381727859E-2</v>
      </c>
      <c r="D236">
        <v>2.8709959005457749E-2</v>
      </c>
      <c r="E236">
        <v>5.4090447859024273E-3</v>
      </c>
      <c r="F236">
        <v>3.3133612500604532E-3</v>
      </c>
      <c r="G236">
        <v>1.4493672561489923E-2</v>
      </c>
      <c r="H236">
        <v>1.9089834317477426E-2</v>
      </c>
      <c r="I236">
        <v>0.13542488854019985</v>
      </c>
      <c r="J236">
        <v>0</v>
      </c>
      <c r="K236">
        <v>0.38214819240384529</v>
      </c>
      <c r="L236">
        <v>0.25260110824633231</v>
      </c>
      <c r="M236">
        <v>0.74739889175366769</v>
      </c>
      <c r="N236">
        <v>5.7042553836979981E-2</v>
      </c>
      <c r="O236" s="72">
        <v>0.99999953998887992</v>
      </c>
      <c r="P236">
        <v>0.99245746139539892</v>
      </c>
      <c r="Q236">
        <v>0.96840885783454866</v>
      </c>
      <c r="R236">
        <v>0.46592857070743876</v>
      </c>
      <c r="S236">
        <v>0.43357343471500553</v>
      </c>
      <c r="T236">
        <v>0.30996038712566509</v>
      </c>
      <c r="U236">
        <v>0.75507087616768243</v>
      </c>
      <c r="V236">
        <v>0.65423686651833068</v>
      </c>
      <c r="W236">
        <v>0.57847486152999927</v>
      </c>
      <c r="X236">
        <v>0.41110659045771275</v>
      </c>
      <c r="Y236">
        <v>0.48313636558411377</v>
      </c>
      <c r="Z236">
        <v>0.44485211759600307</v>
      </c>
      <c r="AA236">
        <v>0.64948270682902864</v>
      </c>
      <c r="AB236">
        <v>0.87715433966817935</v>
      </c>
      <c r="AC236">
        <v>0.70145866951227964</v>
      </c>
      <c r="AD236">
        <v>0.61121780818438809</v>
      </c>
      <c r="AE236">
        <v>239.76754201668516</v>
      </c>
      <c r="AF236">
        <v>1282.3048746155036</v>
      </c>
      <c r="AG236">
        <v>1156.9574692912388</v>
      </c>
      <c r="AH236">
        <v>19987.253940908049</v>
      </c>
      <c r="AI236">
        <v>7103.7161504781734</v>
      </c>
      <c r="AJ236">
        <v>30569.964879816453</v>
      </c>
      <c r="AK236">
        <v>10949.311227421116</v>
      </c>
      <c r="AL236">
        <v>3487.2404725406172</v>
      </c>
      <c r="AM236">
        <v>357.9986270902844</v>
      </c>
      <c r="AO236">
        <v>42566.717132431731</v>
      </c>
      <c r="AP236">
        <v>14.06832415350919</v>
      </c>
      <c r="AQ236">
        <v>46448.37439385974</v>
      </c>
      <c r="AR236">
        <v>14.278243289558191</v>
      </c>
      <c r="AS236" s="2">
        <f t="shared" si="22"/>
        <v>3881.6572614280085</v>
      </c>
      <c r="AT236" s="2">
        <f t="shared" si="23"/>
        <v>0.2099191360490007</v>
      </c>
      <c r="AV236">
        <f t="shared" si="24"/>
        <v>1364265.6982184872</v>
      </c>
      <c r="AW236">
        <f t="shared" si="25"/>
        <v>1381375.9545619595</v>
      </c>
      <c r="AY236">
        <f t="shared" si="26"/>
        <v>0</v>
      </c>
      <c r="AZ236">
        <f t="shared" si="27"/>
        <v>1</v>
      </c>
    </row>
    <row r="237" spans="1:52" x14ac:dyDescent="0.2">
      <c r="A237">
        <f t="shared" si="21"/>
        <v>233</v>
      </c>
      <c r="B237">
        <v>2.3980847180183118E-2</v>
      </c>
      <c r="C237">
        <v>3.2060494972660135E-2</v>
      </c>
      <c r="D237">
        <v>3.5936995957366942E-2</v>
      </c>
      <c r="E237">
        <v>4.3676441350040986E-3</v>
      </c>
      <c r="F237">
        <v>3.429048201470164E-3</v>
      </c>
      <c r="G237">
        <v>2.4453671229758167E-2</v>
      </c>
      <c r="H237">
        <v>3.0702324195330921E-2</v>
      </c>
      <c r="I237">
        <v>0.13177110638409206</v>
      </c>
      <c r="J237">
        <v>0</v>
      </c>
      <c r="K237">
        <v>0.38085857303506349</v>
      </c>
      <c r="L237">
        <v>0.13335338574684688</v>
      </c>
      <c r="M237">
        <v>0.86664661425315315</v>
      </c>
      <c r="N237">
        <v>5.7110739157313239E-2</v>
      </c>
      <c r="O237" s="72">
        <v>0.99977914120509592</v>
      </c>
      <c r="P237">
        <v>0.99931249227382035</v>
      </c>
      <c r="Q237">
        <v>0.97268328396956816</v>
      </c>
      <c r="R237">
        <v>0.4551305141386337</v>
      </c>
      <c r="S237">
        <v>0.38446080633615831</v>
      </c>
      <c r="T237">
        <v>0.20487575070101938</v>
      </c>
      <c r="U237">
        <v>0.77593258116100217</v>
      </c>
      <c r="V237">
        <v>0.64369045621565812</v>
      </c>
      <c r="W237">
        <v>0.5459873661582626</v>
      </c>
      <c r="X237">
        <v>0.41795238731873074</v>
      </c>
      <c r="Y237">
        <v>0.42839455597772941</v>
      </c>
      <c r="Z237">
        <v>0.42009685731197111</v>
      </c>
      <c r="AA237">
        <v>0.67635194691101397</v>
      </c>
      <c r="AB237">
        <v>0.81295078371797003</v>
      </c>
      <c r="AC237">
        <v>0.74842419942665317</v>
      </c>
      <c r="AD237">
        <v>0.57922774314398429</v>
      </c>
      <c r="AE237">
        <v>173.68979137595852</v>
      </c>
      <c r="AF237">
        <v>999.49026084498087</v>
      </c>
      <c r="AG237">
        <v>1387.9425614753875</v>
      </c>
      <c r="AH237">
        <v>13141.427129999283</v>
      </c>
      <c r="AI237">
        <v>16411.491056393836</v>
      </c>
      <c r="AJ237">
        <v>46872.176191317136</v>
      </c>
      <c r="AK237">
        <v>8382.4990683462747</v>
      </c>
      <c r="AL237">
        <v>2241.343734738216</v>
      </c>
      <c r="AM237">
        <v>351.98305782183894</v>
      </c>
      <c r="AO237">
        <v>45131.208142254836</v>
      </c>
      <c r="AP237">
        <v>13.266049630934392</v>
      </c>
      <c r="AQ237">
        <v>45943.629625330053</v>
      </c>
      <c r="AR237">
        <v>13.430224609142192</v>
      </c>
      <c r="AS237" s="2">
        <f t="shared" si="22"/>
        <v>812.42148307521711</v>
      </c>
      <c r="AT237" s="2">
        <f t="shared" si="23"/>
        <v>0.16417497820780014</v>
      </c>
      <c r="AV237">
        <f t="shared" si="24"/>
        <v>1281473.7549511844</v>
      </c>
      <c r="AW237">
        <f t="shared" si="25"/>
        <v>1297078.8312888893</v>
      </c>
      <c r="AY237">
        <f t="shared" si="26"/>
        <v>0</v>
      </c>
      <c r="AZ237">
        <f t="shared" si="27"/>
        <v>1</v>
      </c>
    </row>
    <row r="238" spans="1:52" x14ac:dyDescent="0.2">
      <c r="A238">
        <f t="shared" si="21"/>
        <v>234</v>
      </c>
      <c r="B238">
        <v>2.4083043312067343E-2</v>
      </c>
      <c r="C238">
        <v>3.0556895279374559E-2</v>
      </c>
      <c r="D238">
        <v>3.6329799881746762E-2</v>
      </c>
      <c r="E238">
        <v>1.8322694595238165E-2</v>
      </c>
      <c r="F238">
        <v>3.3693554164987427E-3</v>
      </c>
      <c r="G238">
        <v>1.5140060353829643E-2</v>
      </c>
      <c r="H238">
        <v>1.3767344388493988E-2</v>
      </c>
      <c r="I238">
        <v>0.11869228290299373</v>
      </c>
      <c r="J238">
        <v>0</v>
      </c>
      <c r="K238">
        <v>0.50473751107387166</v>
      </c>
      <c r="L238">
        <v>0.21664012961031964</v>
      </c>
      <c r="M238">
        <v>0.78335987038968036</v>
      </c>
      <c r="N238">
        <v>6.132972900601541E-2</v>
      </c>
      <c r="O238" s="72">
        <v>0.99993779112546544</v>
      </c>
      <c r="P238">
        <v>0.93796909103804016</v>
      </c>
      <c r="Q238">
        <v>0.98526886126918078</v>
      </c>
      <c r="R238">
        <v>0.504037450065561</v>
      </c>
      <c r="S238">
        <v>0.5227566001031656</v>
      </c>
      <c r="T238">
        <v>0.25317957278691017</v>
      </c>
      <c r="U238">
        <v>0.74899756008291918</v>
      </c>
      <c r="V238">
        <v>0.66290957648274973</v>
      </c>
      <c r="W238">
        <v>0.63067268258761833</v>
      </c>
      <c r="X238">
        <v>0.38460420228693859</v>
      </c>
      <c r="Y238">
        <v>0.42364648230594826</v>
      </c>
      <c r="Z238">
        <v>0.46657974559134363</v>
      </c>
      <c r="AA238">
        <v>0.67806531764559064</v>
      </c>
      <c r="AB238">
        <v>0.76233090465620879</v>
      </c>
      <c r="AC238">
        <v>0.59726851711256512</v>
      </c>
      <c r="AD238">
        <v>0.5558023195776377</v>
      </c>
      <c r="AE238">
        <v>266.0426514657874</v>
      </c>
      <c r="AF238">
        <v>1122.3882902279686</v>
      </c>
      <c r="AG238">
        <v>1709.6787251226149</v>
      </c>
      <c r="AH238">
        <v>12170.812323243346</v>
      </c>
      <c r="AI238">
        <v>11869.506480380098</v>
      </c>
      <c r="AJ238">
        <v>41797.252478875547</v>
      </c>
      <c r="AK238">
        <v>14842.60739384804</v>
      </c>
      <c r="AL238">
        <v>2111.8569545966038</v>
      </c>
      <c r="AM238">
        <v>485.15868334494394</v>
      </c>
      <c r="AO238">
        <v>42428.390961167839</v>
      </c>
      <c r="AP238">
        <v>12.310094241188903</v>
      </c>
      <c r="AQ238">
        <v>50100.554242767124</v>
      </c>
      <c r="AR238">
        <v>12.418393172849678</v>
      </c>
      <c r="AS238" s="2">
        <f t="shared" si="22"/>
        <v>7672.1632815992853</v>
      </c>
      <c r="AT238" s="2">
        <f t="shared" si="23"/>
        <v>0.10829893166077476</v>
      </c>
      <c r="AV238">
        <f t="shared" si="24"/>
        <v>1188581.0331577223</v>
      </c>
      <c r="AW238">
        <f t="shared" si="25"/>
        <v>1191738.7630422006</v>
      </c>
      <c r="AY238">
        <f t="shared" si="26"/>
        <v>0</v>
      </c>
      <c r="AZ238">
        <f t="shared" si="27"/>
        <v>1</v>
      </c>
    </row>
    <row r="239" spans="1:52" x14ac:dyDescent="0.2">
      <c r="A239">
        <f t="shared" si="21"/>
        <v>235</v>
      </c>
      <c r="B239">
        <v>2.1749651522134907E-2</v>
      </c>
      <c r="C239">
        <v>3.6518687100972412E-2</v>
      </c>
      <c r="D239">
        <v>2.965690214069653E-2</v>
      </c>
      <c r="E239">
        <v>2.4262517995151793E-3</v>
      </c>
      <c r="F239">
        <v>3.4861131244628973E-3</v>
      </c>
      <c r="G239">
        <v>2.446585207569834E-3</v>
      </c>
      <c r="H239">
        <v>3.0599934327742995E-2</v>
      </c>
      <c r="I239">
        <v>0.12703155666384036</v>
      </c>
      <c r="J239">
        <v>0</v>
      </c>
      <c r="K239">
        <v>0.42645651115969219</v>
      </c>
      <c r="L239">
        <v>0.26925895836670832</v>
      </c>
      <c r="M239">
        <v>0.73074104163329168</v>
      </c>
      <c r="N239">
        <v>6.998715607136341E-2</v>
      </c>
      <c r="O239" s="72">
        <v>0.99976631145282358</v>
      </c>
      <c r="P239">
        <v>0.98995861304406951</v>
      </c>
      <c r="Q239">
        <v>0.9725543117199924</v>
      </c>
      <c r="R239">
        <v>0.48569897148308216</v>
      </c>
      <c r="S239">
        <v>0.4492877590625054</v>
      </c>
      <c r="T239">
        <v>0.26889374813587152</v>
      </c>
      <c r="U239">
        <v>0.76801475651578877</v>
      </c>
      <c r="V239">
        <v>0.67152714783160028</v>
      </c>
      <c r="W239">
        <v>0.55195490559425975</v>
      </c>
      <c r="X239">
        <v>0.42701172675117527</v>
      </c>
      <c r="Y239">
        <v>0.49793283678362876</v>
      </c>
      <c r="Z239">
        <v>0.42624118916412035</v>
      </c>
      <c r="AA239">
        <v>0.69432563180576057</v>
      </c>
      <c r="AB239">
        <v>0.83385176600021582</v>
      </c>
      <c r="AC239">
        <v>0.75897510955317493</v>
      </c>
      <c r="AD239">
        <v>0.55126796754419849</v>
      </c>
      <c r="AE239">
        <v>155.75330863733919</v>
      </c>
      <c r="AF239">
        <v>1209.8350876930469</v>
      </c>
      <c r="AG239">
        <v>1676.6874205188108</v>
      </c>
      <c r="AH239">
        <v>12647.165950955079</v>
      </c>
      <c r="AI239">
        <v>10841.462267250176</v>
      </c>
      <c r="AJ239">
        <v>39248.591447662118</v>
      </c>
      <c r="AK239">
        <v>8165.5470595136112</v>
      </c>
      <c r="AL239">
        <v>1341.3915940599836</v>
      </c>
      <c r="AM239">
        <v>290.4367007778107</v>
      </c>
      <c r="AO239">
        <v>40762.536030957352</v>
      </c>
      <c r="AP239">
        <v>13.56382198131198</v>
      </c>
      <c r="AQ239">
        <v>45305.465823106882</v>
      </c>
      <c r="AR239">
        <v>13.700685723613319</v>
      </c>
      <c r="AS239" s="2">
        <f t="shared" si="22"/>
        <v>4542.9297921495308</v>
      </c>
      <c r="AT239" s="2">
        <f t="shared" si="23"/>
        <v>0.13686374230133858</v>
      </c>
      <c r="AV239">
        <f t="shared" si="24"/>
        <v>1315619.6621002408</v>
      </c>
      <c r="AW239">
        <f t="shared" si="25"/>
        <v>1324763.106538225</v>
      </c>
      <c r="AY239">
        <f t="shared" si="26"/>
        <v>0</v>
      </c>
      <c r="AZ239">
        <f t="shared" si="27"/>
        <v>1</v>
      </c>
    </row>
    <row r="240" spans="1:52" x14ac:dyDescent="0.2">
      <c r="A240">
        <f t="shared" si="21"/>
        <v>236</v>
      </c>
      <c r="B240">
        <v>2.7803447432302009E-2</v>
      </c>
      <c r="C240">
        <v>4.6676499631386537E-2</v>
      </c>
      <c r="D240">
        <v>3.3753627992217171E-2</v>
      </c>
      <c r="E240">
        <v>5.3282993879546752E-3</v>
      </c>
      <c r="F240">
        <v>3.3219959689514433E-3</v>
      </c>
      <c r="G240">
        <v>2.7321364754369304E-2</v>
      </c>
      <c r="H240">
        <v>1.2219551806149403E-2</v>
      </c>
      <c r="I240">
        <v>0.12894589142575053</v>
      </c>
      <c r="J240">
        <v>0</v>
      </c>
      <c r="K240">
        <v>0.40300868733312628</v>
      </c>
      <c r="L240">
        <v>0.19541659301524031</v>
      </c>
      <c r="M240">
        <v>0.80458340698475972</v>
      </c>
      <c r="N240">
        <v>6.8227903180019922E-2</v>
      </c>
      <c r="O240" s="72">
        <v>0.99981533679368395</v>
      </c>
      <c r="P240">
        <v>0.99999989510344056</v>
      </c>
      <c r="Q240">
        <v>0.9651570362398334</v>
      </c>
      <c r="R240">
        <v>0.47939925149399465</v>
      </c>
      <c r="S240">
        <v>0.40071696922889877</v>
      </c>
      <c r="T240">
        <v>0.20793397090287224</v>
      </c>
      <c r="U240">
        <v>0.77967994427460741</v>
      </c>
      <c r="V240">
        <v>0.59998553889834838</v>
      </c>
      <c r="W240">
        <v>0.60347100256358455</v>
      </c>
      <c r="X240">
        <v>0.48310112087385104</v>
      </c>
      <c r="Y240">
        <v>0.44818324286519196</v>
      </c>
      <c r="Z240">
        <v>0.42903949160304822</v>
      </c>
      <c r="AA240">
        <v>0.64610594852485359</v>
      </c>
      <c r="AB240">
        <v>0.80685726034309491</v>
      </c>
      <c r="AC240">
        <v>0.79681459214034611</v>
      </c>
      <c r="AD240">
        <v>0.54872820803518563</v>
      </c>
      <c r="AE240">
        <v>136.48815125196529</v>
      </c>
      <c r="AF240">
        <v>1017.2569742313817</v>
      </c>
      <c r="AG240">
        <v>1861.1976578623246</v>
      </c>
      <c r="AH240">
        <v>16120.02676066071</v>
      </c>
      <c r="AI240">
        <v>10605.705432202894</v>
      </c>
      <c r="AJ240">
        <v>40707.629836252447</v>
      </c>
      <c r="AK240">
        <v>19975.409466606034</v>
      </c>
      <c r="AL240">
        <v>1932.4619182524509</v>
      </c>
      <c r="AM240">
        <v>357.57378150134713</v>
      </c>
      <c r="AO240">
        <v>43974.44136167541</v>
      </c>
      <c r="AP240">
        <v>13.254664720462895</v>
      </c>
      <c r="AQ240">
        <v>46093.6473301109</v>
      </c>
      <c r="AR240">
        <v>13.392674951939894</v>
      </c>
      <c r="AS240" s="2">
        <f t="shared" si="22"/>
        <v>2119.2059684354899</v>
      </c>
      <c r="AT240" s="2">
        <f t="shared" si="23"/>
        <v>0.13801023147699887</v>
      </c>
      <c r="AV240">
        <f t="shared" si="24"/>
        <v>1281492.0306846139</v>
      </c>
      <c r="AW240">
        <f t="shared" si="25"/>
        <v>1293173.8478638784</v>
      </c>
      <c r="AY240">
        <f t="shared" si="26"/>
        <v>0</v>
      </c>
      <c r="AZ240">
        <f t="shared" si="27"/>
        <v>1</v>
      </c>
    </row>
    <row r="241" spans="1:52" x14ac:dyDescent="0.2">
      <c r="A241">
        <f t="shared" si="21"/>
        <v>237</v>
      </c>
      <c r="B241">
        <v>2.4177391160981922E-2</v>
      </c>
      <c r="C241">
        <v>3.8823159488558301E-2</v>
      </c>
      <c r="D241">
        <v>3.1587706501669921E-2</v>
      </c>
      <c r="E241">
        <v>1.389782285765806E-2</v>
      </c>
      <c r="F241">
        <v>3.3110846544576089E-3</v>
      </c>
      <c r="G241">
        <v>2.113700249175654E-2</v>
      </c>
      <c r="H241">
        <v>2.2663849545603798E-2</v>
      </c>
      <c r="I241">
        <v>0.14424453241303259</v>
      </c>
      <c r="J241">
        <v>0</v>
      </c>
      <c r="K241">
        <v>0.41819892269741482</v>
      </c>
      <c r="L241">
        <v>0.19039516698343309</v>
      </c>
      <c r="M241">
        <v>0.80960483301656694</v>
      </c>
      <c r="N241">
        <v>5.9019336231031394E-2</v>
      </c>
      <c r="O241" s="72">
        <v>0.99883364424000176</v>
      </c>
      <c r="P241">
        <v>0.99997006105925546</v>
      </c>
      <c r="Q241">
        <v>0.98398170117452877</v>
      </c>
      <c r="R241">
        <v>0.52329890082489028</v>
      </c>
      <c r="S241">
        <v>0.38994098282120992</v>
      </c>
      <c r="T241">
        <v>0.16975652946944297</v>
      </c>
      <c r="U241">
        <v>0.76479513673030686</v>
      </c>
      <c r="V241">
        <v>0.65508257740560527</v>
      </c>
      <c r="W241">
        <v>0.55765639866011751</v>
      </c>
      <c r="X241">
        <v>0.48500049926859035</v>
      </c>
      <c r="Y241">
        <v>0.38913756463377258</v>
      </c>
      <c r="Z241">
        <v>0.4595749427581044</v>
      </c>
      <c r="AA241">
        <v>0.68900039848536354</v>
      </c>
      <c r="AB241">
        <v>0.81125777511866259</v>
      </c>
      <c r="AC241">
        <v>0.67589596223501902</v>
      </c>
      <c r="AD241">
        <v>0.5816441616850937</v>
      </c>
      <c r="AE241">
        <v>187.34469673255265</v>
      </c>
      <c r="AF241">
        <v>976.79430588263904</v>
      </c>
      <c r="AG241">
        <v>1702.1502867455749</v>
      </c>
      <c r="AH241">
        <v>14013.976872342355</v>
      </c>
      <c r="AI241">
        <v>11881.768527504028</v>
      </c>
      <c r="AJ241">
        <v>42354.498424451383</v>
      </c>
      <c r="AK241">
        <v>12473.433827220795</v>
      </c>
      <c r="AL241">
        <v>1449.8810481090397</v>
      </c>
      <c r="AM241">
        <v>373.9601140742343</v>
      </c>
      <c r="AO241">
        <v>42943.477727257989</v>
      </c>
      <c r="AP241">
        <v>13.098043795776526</v>
      </c>
      <c r="AQ241">
        <v>46251.726499122538</v>
      </c>
      <c r="AR241">
        <v>13.280121781351907</v>
      </c>
      <c r="AS241" s="2">
        <f t="shared" si="22"/>
        <v>3308.2487718645498</v>
      </c>
      <c r="AT241" s="2">
        <f t="shared" si="23"/>
        <v>0.18207798557538091</v>
      </c>
      <c r="AV241">
        <f t="shared" si="24"/>
        <v>1266860.9018503947</v>
      </c>
      <c r="AW241">
        <f t="shared" si="25"/>
        <v>1281760.4516360681</v>
      </c>
      <c r="AY241">
        <f t="shared" si="26"/>
        <v>0</v>
      </c>
      <c r="AZ241">
        <f t="shared" si="27"/>
        <v>1</v>
      </c>
    </row>
    <row r="242" spans="1:52" x14ac:dyDescent="0.2">
      <c r="A242">
        <f t="shared" si="21"/>
        <v>238</v>
      </c>
      <c r="B242">
        <v>2.9248461710356555E-2</v>
      </c>
      <c r="C242">
        <v>2.971549584270039E-2</v>
      </c>
      <c r="D242">
        <v>4.4850570161234948E-2</v>
      </c>
      <c r="E242">
        <v>8.8578400005176038E-3</v>
      </c>
      <c r="F242">
        <v>3.4451237023227499E-3</v>
      </c>
      <c r="G242">
        <v>9.5155255673215304E-3</v>
      </c>
      <c r="H242">
        <v>1.6779982985942878E-2</v>
      </c>
      <c r="I242">
        <v>0.12209074838138054</v>
      </c>
      <c r="J242">
        <v>0</v>
      </c>
      <c r="K242">
        <v>0.38705583231121676</v>
      </c>
      <c r="L242">
        <v>0.20164868619959989</v>
      </c>
      <c r="M242">
        <v>0.79835131380040014</v>
      </c>
      <c r="N242">
        <v>6.5367477944447305E-2</v>
      </c>
      <c r="O242" s="72">
        <v>0.95136521428152976</v>
      </c>
      <c r="P242">
        <v>0.99997785118478855</v>
      </c>
      <c r="Q242">
        <v>0.96086708503055984</v>
      </c>
      <c r="R242">
        <v>0.50985194723954397</v>
      </c>
      <c r="S242">
        <v>0.38805540835642072</v>
      </c>
      <c r="T242">
        <v>0.21019192668591502</v>
      </c>
      <c r="U242">
        <v>0.76062790411562564</v>
      </c>
      <c r="V242">
        <v>0.73768162156993533</v>
      </c>
      <c r="W242">
        <v>0.54337490222345664</v>
      </c>
      <c r="X242">
        <v>0.40431342461628794</v>
      </c>
      <c r="Y242">
        <v>0.45456556050844843</v>
      </c>
      <c r="Z242">
        <v>0.40537096298857533</v>
      </c>
      <c r="AA242">
        <v>0.67220218648333896</v>
      </c>
      <c r="AB242">
        <v>0.81931224925748958</v>
      </c>
      <c r="AC242">
        <v>0.73764043932913204</v>
      </c>
      <c r="AD242">
        <v>0.64816699704567671</v>
      </c>
      <c r="AE242">
        <v>264.8070703420745</v>
      </c>
      <c r="AF242">
        <v>1071.0846789758236</v>
      </c>
      <c r="AG242">
        <v>1195.5897460768408</v>
      </c>
      <c r="AH242">
        <v>12236.23193606088</v>
      </c>
      <c r="AI242">
        <v>16797.762376241411</v>
      </c>
      <c r="AJ242">
        <v>39321.434540032904</v>
      </c>
      <c r="AK242">
        <v>17020.481151331969</v>
      </c>
      <c r="AL242">
        <v>3028.5013598027649</v>
      </c>
      <c r="AM242">
        <v>407.13177644029804</v>
      </c>
      <c r="AO242">
        <v>43118.935546991881</v>
      </c>
      <c r="AP242">
        <v>13.392655101024941</v>
      </c>
      <c r="AQ242">
        <v>47107.624677532578</v>
      </c>
      <c r="AR242">
        <v>13.591485576398936</v>
      </c>
      <c r="AS242" s="2">
        <f t="shared" si="22"/>
        <v>3988.6891305406971</v>
      </c>
      <c r="AT242" s="2">
        <f t="shared" si="23"/>
        <v>0.19883047537399534</v>
      </c>
      <c r="AV242">
        <f t="shared" si="24"/>
        <v>1296146.5745555023</v>
      </c>
      <c r="AW242">
        <f t="shared" si="25"/>
        <v>1312040.932962361</v>
      </c>
      <c r="AY242">
        <f t="shared" si="26"/>
        <v>0</v>
      </c>
      <c r="AZ242">
        <f t="shared" si="27"/>
        <v>1</v>
      </c>
    </row>
    <row r="243" spans="1:52" x14ac:dyDescent="0.2">
      <c r="A243">
        <f t="shared" si="21"/>
        <v>239</v>
      </c>
      <c r="B243">
        <v>2.6456979496524258E-2</v>
      </c>
      <c r="C243">
        <v>4.7801757905342024E-2</v>
      </c>
      <c r="D243">
        <v>3.850401063278075E-2</v>
      </c>
      <c r="E243">
        <v>4.6538298862386545E-3</v>
      </c>
      <c r="F243">
        <v>3.3201622497153818E-3</v>
      </c>
      <c r="G243">
        <v>2.2528624084883098E-2</v>
      </c>
      <c r="H243">
        <v>4.1035927801027383E-2</v>
      </c>
      <c r="I243">
        <v>0.14003310583348516</v>
      </c>
      <c r="J243">
        <v>0</v>
      </c>
      <c r="K243">
        <v>0.42190572444846963</v>
      </c>
      <c r="L243">
        <v>0.18546265738153239</v>
      </c>
      <c r="M243">
        <v>0.81453734261846766</v>
      </c>
      <c r="N243">
        <v>4.9575214078148189E-2</v>
      </c>
      <c r="O243" s="72">
        <v>0.99655351366681422</v>
      </c>
      <c r="P243">
        <v>0.99999853737883504</v>
      </c>
      <c r="Q243">
        <v>0.99122776944218827</v>
      </c>
      <c r="R243">
        <v>0.48116996305081272</v>
      </c>
      <c r="S243">
        <v>0.40051720132452251</v>
      </c>
      <c r="T243">
        <v>0.26466107321685106</v>
      </c>
      <c r="U243">
        <v>0.78895949561014433</v>
      </c>
      <c r="V243">
        <v>0.65650240322116227</v>
      </c>
      <c r="W243">
        <v>0.61775593926565964</v>
      </c>
      <c r="X243">
        <v>0.47879029276182827</v>
      </c>
      <c r="Y243">
        <v>0.49524540831171648</v>
      </c>
      <c r="Z243">
        <v>0.47221815821930924</v>
      </c>
      <c r="AA243">
        <v>0.69059142913776916</v>
      </c>
      <c r="AB243">
        <v>0.79597922626596651</v>
      </c>
      <c r="AC243">
        <v>0.65680689073152299</v>
      </c>
      <c r="AD243">
        <v>0.56758216666563499</v>
      </c>
      <c r="AE243">
        <v>125.46635414735434</v>
      </c>
      <c r="AF243">
        <v>1000.5142496540442</v>
      </c>
      <c r="AG243">
        <v>1915.1299532402027</v>
      </c>
      <c r="AH243">
        <v>12705.415229473581</v>
      </c>
      <c r="AI243">
        <v>12791.791729833121</v>
      </c>
      <c r="AJ243">
        <v>38956.487401566017</v>
      </c>
      <c r="AK243">
        <v>22268.639641996844</v>
      </c>
      <c r="AL243">
        <v>1519.8116431360002</v>
      </c>
      <c r="AM243">
        <v>375.07437609752043</v>
      </c>
      <c r="AO243">
        <v>42771.632778642517</v>
      </c>
      <c r="AP243">
        <v>12.905460279411511</v>
      </c>
      <c r="AQ243">
        <v>46210.209273108936</v>
      </c>
      <c r="AR243">
        <v>13.015608225939054</v>
      </c>
      <c r="AS243" s="2">
        <f t="shared" si="22"/>
        <v>3438.5764944664188</v>
      </c>
      <c r="AT243" s="2">
        <f t="shared" si="23"/>
        <v>0.11014794652754389</v>
      </c>
      <c r="AV243">
        <f t="shared" si="24"/>
        <v>1247774.3951625086</v>
      </c>
      <c r="AW243">
        <f t="shared" si="25"/>
        <v>1255350.6133207965</v>
      </c>
      <c r="AY243">
        <f t="shared" si="26"/>
        <v>0</v>
      </c>
      <c r="AZ243">
        <f t="shared" si="27"/>
        <v>1</v>
      </c>
    </row>
    <row r="244" spans="1:52" x14ac:dyDescent="0.2">
      <c r="A244">
        <f t="shared" si="21"/>
        <v>240</v>
      </c>
      <c r="B244">
        <v>2.5529060332613596E-2</v>
      </c>
      <c r="C244">
        <v>3.21504478471294E-2</v>
      </c>
      <c r="D244">
        <v>3.9906317240466782E-2</v>
      </c>
      <c r="E244">
        <v>1.2027208223279962E-2</v>
      </c>
      <c r="F244">
        <v>3.3647040881681356E-3</v>
      </c>
      <c r="G244">
        <v>5.0794682272702922E-3</v>
      </c>
      <c r="H244">
        <v>2.2372325182842278E-2</v>
      </c>
      <c r="I244">
        <v>0.12884973292633148</v>
      </c>
      <c r="J244">
        <v>0</v>
      </c>
      <c r="K244">
        <v>0.41664713957676958</v>
      </c>
      <c r="L244">
        <v>0.28469244746712197</v>
      </c>
      <c r="M244">
        <v>0.71530755253287803</v>
      </c>
      <c r="N244">
        <v>5.9276796214686622E-2</v>
      </c>
      <c r="O244" s="72">
        <v>0.99999998051265582</v>
      </c>
      <c r="P244">
        <v>0.95861519644952797</v>
      </c>
      <c r="Q244">
        <v>0.98610862283998668</v>
      </c>
      <c r="R244">
        <v>0.47514229099747918</v>
      </c>
      <c r="S244">
        <v>0.40915774184439679</v>
      </c>
      <c r="T244">
        <v>0.23124274791378396</v>
      </c>
      <c r="U244">
        <v>0.7400297524269549</v>
      </c>
      <c r="V244">
        <v>0.62958252791014968</v>
      </c>
      <c r="W244">
        <v>0.5468202670828628</v>
      </c>
      <c r="X244">
        <v>0.4616185405646982</v>
      </c>
      <c r="Y244">
        <v>0.50990425429707598</v>
      </c>
      <c r="Z244">
        <v>0.45787480966133276</v>
      </c>
      <c r="AA244">
        <v>0.61921921901158095</v>
      </c>
      <c r="AB244">
        <v>0.79314548471012269</v>
      </c>
      <c r="AC244">
        <v>0.74129462690066439</v>
      </c>
      <c r="AD244">
        <v>0.66151716935486959</v>
      </c>
      <c r="AE244">
        <v>181.79172325373685</v>
      </c>
      <c r="AF244">
        <v>1212.300804726661</v>
      </c>
      <c r="AG244">
        <v>1553.4923038526349</v>
      </c>
      <c r="AH244">
        <v>14299.208604676644</v>
      </c>
      <c r="AI244">
        <v>11877.430738779456</v>
      </c>
      <c r="AJ244">
        <v>38707.370228653999</v>
      </c>
      <c r="AK244">
        <v>10403.435393597783</v>
      </c>
      <c r="AL244">
        <v>1831.1198776728181</v>
      </c>
      <c r="AM244">
        <v>261.52305569712621</v>
      </c>
      <c r="AO244">
        <v>42006.970604726681</v>
      </c>
      <c r="AP244">
        <v>13.055917123251854</v>
      </c>
      <c r="AQ244">
        <v>45858.885826069105</v>
      </c>
      <c r="AR244">
        <v>13.25389381615704</v>
      </c>
      <c r="AS244" s="2">
        <f t="shared" si="22"/>
        <v>3851.915221342424</v>
      </c>
      <c r="AT244" s="2">
        <f t="shared" si="23"/>
        <v>0.19797669290518627</v>
      </c>
      <c r="AV244">
        <f t="shared" si="24"/>
        <v>1263584.7417204587</v>
      </c>
      <c r="AW244">
        <f t="shared" si="25"/>
        <v>1279530.4957896348</v>
      </c>
      <c r="AY244">
        <f t="shared" si="26"/>
        <v>0</v>
      </c>
      <c r="AZ244">
        <f t="shared" si="27"/>
        <v>1</v>
      </c>
    </row>
    <row r="245" spans="1:52" x14ac:dyDescent="0.2">
      <c r="A245">
        <f t="shared" si="21"/>
        <v>241</v>
      </c>
      <c r="B245">
        <v>2.6875795396049118E-2</v>
      </c>
      <c r="C245">
        <v>4.4291685765257438E-2</v>
      </c>
      <c r="D245">
        <v>2.9184496712753458E-2</v>
      </c>
      <c r="E245">
        <v>9.4484098351698322E-3</v>
      </c>
      <c r="F245">
        <v>3.4564298671928562E-3</v>
      </c>
      <c r="G245">
        <v>1.3159832144839512E-2</v>
      </c>
      <c r="H245">
        <v>3.8669238576857778E-2</v>
      </c>
      <c r="I245">
        <v>0.11582197641045512</v>
      </c>
      <c r="J245">
        <v>0</v>
      </c>
      <c r="K245">
        <v>0.45701069939517358</v>
      </c>
      <c r="L245">
        <v>0.24012530721232728</v>
      </c>
      <c r="M245">
        <v>0.75987469278767272</v>
      </c>
      <c r="N245">
        <v>6.0118932253190649E-2</v>
      </c>
      <c r="O245" s="72">
        <v>0.97788552512077642</v>
      </c>
      <c r="P245">
        <v>0.99999703192877765</v>
      </c>
      <c r="Q245">
        <v>0.9598108194380166</v>
      </c>
      <c r="R245">
        <v>0.48298592151210229</v>
      </c>
      <c r="S245">
        <v>0.37542979574661761</v>
      </c>
      <c r="T245">
        <v>0.2366554722843428</v>
      </c>
      <c r="U245">
        <v>0.75844518696428764</v>
      </c>
      <c r="V245">
        <v>0.55385579483993996</v>
      </c>
      <c r="W245">
        <v>0.64168859049829818</v>
      </c>
      <c r="X245">
        <v>0.43502430244797269</v>
      </c>
      <c r="Y245">
        <v>0.41212267291902627</v>
      </c>
      <c r="Z245">
        <v>0.50160638598537743</v>
      </c>
      <c r="AA245">
        <v>0.70000218199829534</v>
      </c>
      <c r="AB245">
        <v>0.78017593129955309</v>
      </c>
      <c r="AC245">
        <v>0.65272892991997</v>
      </c>
      <c r="AD245">
        <v>0.66741695571702164</v>
      </c>
      <c r="AE245">
        <v>172.53903965057987</v>
      </c>
      <c r="AF245">
        <v>1163.5173975618161</v>
      </c>
      <c r="AG245">
        <v>1674.9605223259796</v>
      </c>
      <c r="AH245">
        <v>12369.811538454403</v>
      </c>
      <c r="AI245">
        <v>8174.4655378801644</v>
      </c>
      <c r="AJ245">
        <v>37632.197700484532</v>
      </c>
      <c r="AK245">
        <v>17244.526999103145</v>
      </c>
      <c r="AL245">
        <v>1253.732371168109</v>
      </c>
      <c r="AM245">
        <v>291.9259116148948</v>
      </c>
      <c r="AO245">
        <v>42323.397857766045</v>
      </c>
      <c r="AP245">
        <v>12.770248683378755</v>
      </c>
      <c r="AQ245">
        <v>45161.258829505146</v>
      </c>
      <c r="AR245">
        <v>12.923769806411761</v>
      </c>
      <c r="AS245" s="2">
        <f t="shared" si="22"/>
        <v>2837.8609717391009</v>
      </c>
      <c r="AT245" s="2">
        <f t="shared" si="23"/>
        <v>0.15352112303300558</v>
      </c>
      <c r="AV245">
        <f t="shared" si="24"/>
        <v>1234701.4704801093</v>
      </c>
      <c r="AW245">
        <f t="shared" si="25"/>
        <v>1247215.7218116708</v>
      </c>
      <c r="AY245">
        <f t="shared" si="26"/>
        <v>0</v>
      </c>
      <c r="AZ245">
        <f t="shared" si="27"/>
        <v>1</v>
      </c>
    </row>
    <row r="246" spans="1:52" x14ac:dyDescent="0.2">
      <c r="A246">
        <f t="shared" si="21"/>
        <v>242</v>
      </c>
      <c r="B246">
        <v>3.1773187084282117E-2</v>
      </c>
      <c r="C246">
        <v>3.5499969249353919E-2</v>
      </c>
      <c r="D246">
        <v>3.753376291974557E-2</v>
      </c>
      <c r="E246">
        <v>7.5526631956317819E-3</v>
      </c>
      <c r="F246">
        <v>3.3136085086915893E-3</v>
      </c>
      <c r="G246">
        <v>6.0003594952764555E-3</v>
      </c>
      <c r="H246">
        <v>8.8331632798117569E-3</v>
      </c>
      <c r="I246">
        <v>0.12854149400446074</v>
      </c>
      <c r="J246">
        <v>0</v>
      </c>
      <c r="K246">
        <v>0.44393920456147173</v>
      </c>
      <c r="L246">
        <v>0.2048398719079606</v>
      </c>
      <c r="M246">
        <v>0.7951601280920394</v>
      </c>
      <c r="N246">
        <v>4.420585578061835E-2</v>
      </c>
      <c r="O246" s="72">
        <v>0.99919683380153768</v>
      </c>
      <c r="P246">
        <v>0.96280281028471937</v>
      </c>
      <c r="Q246">
        <v>0.97304266761602309</v>
      </c>
      <c r="R246">
        <v>0.49169051268342057</v>
      </c>
      <c r="S246">
        <v>0.3960255509480084</v>
      </c>
      <c r="T246">
        <v>0.11976542087473196</v>
      </c>
      <c r="U246">
        <v>0.76244020113867106</v>
      </c>
      <c r="V246">
        <v>0.68071008811396094</v>
      </c>
      <c r="W246">
        <v>0.71137256974267671</v>
      </c>
      <c r="X246">
        <v>0.3695651507419051</v>
      </c>
      <c r="Y246">
        <v>0.4898028038567408</v>
      </c>
      <c r="Z246">
        <v>0.4566721028720282</v>
      </c>
      <c r="AA246">
        <v>0.75244185397893715</v>
      </c>
      <c r="AB246">
        <v>0.77697804079035759</v>
      </c>
      <c r="AC246">
        <v>0.7739718021865466</v>
      </c>
      <c r="AD246">
        <v>0.57400395898399881</v>
      </c>
      <c r="AE246">
        <v>222.57942722285995</v>
      </c>
      <c r="AF246">
        <v>1052.8857062153038</v>
      </c>
      <c r="AG246">
        <v>1341.8038087159764</v>
      </c>
      <c r="AH246">
        <v>14071.335039084268</v>
      </c>
      <c r="AI246">
        <v>18229.375890621683</v>
      </c>
      <c r="AJ246">
        <v>33037.131995745702</v>
      </c>
      <c r="AK246">
        <v>12876.122122461049</v>
      </c>
      <c r="AL246">
        <v>2056.8277999338225</v>
      </c>
      <c r="AM246">
        <v>373.96845230247862</v>
      </c>
      <c r="AO246">
        <v>46467.208016143188</v>
      </c>
      <c r="AP246">
        <v>12.858859516840248</v>
      </c>
      <c r="AQ246">
        <v>47522.441825297465</v>
      </c>
      <c r="AR246">
        <v>12.96943840893589</v>
      </c>
      <c r="AS246" s="2">
        <f t="shared" si="22"/>
        <v>1055.233809154277</v>
      </c>
      <c r="AT246" s="2">
        <f t="shared" si="23"/>
        <v>0.11057889209564209</v>
      </c>
      <c r="AV246">
        <f t="shared" si="24"/>
        <v>1239418.7436678817</v>
      </c>
      <c r="AW246">
        <f t="shared" si="25"/>
        <v>1249421.3990682915</v>
      </c>
      <c r="AY246">
        <f t="shared" si="26"/>
        <v>0</v>
      </c>
      <c r="AZ246">
        <f t="shared" si="27"/>
        <v>1</v>
      </c>
    </row>
    <row r="247" spans="1:52" x14ac:dyDescent="0.2">
      <c r="A247">
        <f t="shared" si="21"/>
        <v>243</v>
      </c>
      <c r="B247">
        <v>2.6988183814306788E-2</v>
      </c>
      <c r="C247">
        <v>3.9597545760803099E-2</v>
      </c>
      <c r="D247">
        <v>3.7921217256537097E-2</v>
      </c>
      <c r="E247">
        <v>2.5830756270312553E-3</v>
      </c>
      <c r="F247">
        <v>3.4492337787715988E-3</v>
      </c>
      <c r="G247">
        <v>1.9968114115071711E-2</v>
      </c>
      <c r="H247">
        <v>3.5319345590340001E-2</v>
      </c>
      <c r="I247">
        <v>0.13405270936974634</v>
      </c>
      <c r="J247">
        <v>0</v>
      </c>
      <c r="K247">
        <v>0.43989702263481201</v>
      </c>
      <c r="L247">
        <v>0.1900686339053673</v>
      </c>
      <c r="M247">
        <v>0.80993136609463268</v>
      </c>
      <c r="N247">
        <v>5.232777369259637E-2</v>
      </c>
      <c r="O247" s="72">
        <v>0.99973838852665031</v>
      </c>
      <c r="P247">
        <v>0.99999999648478077</v>
      </c>
      <c r="Q247">
        <v>0.87557487272851187</v>
      </c>
      <c r="R247">
        <v>0.46189038981804897</v>
      </c>
      <c r="S247">
        <v>0.42870237150688462</v>
      </c>
      <c r="T247">
        <v>0.31587810756464418</v>
      </c>
      <c r="U247">
        <v>0.78221767488111205</v>
      </c>
      <c r="V247">
        <v>0.69668250825829436</v>
      </c>
      <c r="W247">
        <v>0.52365092249620537</v>
      </c>
      <c r="X247">
        <v>0.42861734689850411</v>
      </c>
      <c r="Y247">
        <v>0.49269671772554036</v>
      </c>
      <c r="Z247">
        <v>0.4713207507999192</v>
      </c>
      <c r="AA247">
        <v>0.6077055433112053</v>
      </c>
      <c r="AB247">
        <v>0.83420629575415439</v>
      </c>
      <c r="AC247">
        <v>0.71526057932481302</v>
      </c>
      <c r="AD247">
        <v>0.65563481916528055</v>
      </c>
      <c r="AE247">
        <v>211.49221935268372</v>
      </c>
      <c r="AF247">
        <v>1283.3953846058223</v>
      </c>
      <c r="AG247">
        <v>2369.8738325095173</v>
      </c>
      <c r="AH247">
        <v>14982.208436124092</v>
      </c>
      <c r="AI247">
        <v>10684.585498938151</v>
      </c>
      <c r="AJ247">
        <v>39846.173050457182</v>
      </c>
      <c r="AK247">
        <v>23258.108624067376</v>
      </c>
      <c r="AL247">
        <v>1964.0844514339985</v>
      </c>
      <c r="AM247">
        <v>313.11163336070706</v>
      </c>
      <c r="AO247">
        <v>42261.839444446465</v>
      </c>
      <c r="AP247">
        <v>13.600150349498902</v>
      </c>
      <c r="AQ247">
        <v>45881.54584561861</v>
      </c>
      <c r="AR247">
        <v>13.765120166601713</v>
      </c>
      <c r="AS247" s="2">
        <f t="shared" si="22"/>
        <v>3619.706401172145</v>
      </c>
      <c r="AT247" s="2">
        <f t="shared" si="23"/>
        <v>0.16496981710281133</v>
      </c>
      <c r="AV247">
        <f t="shared" si="24"/>
        <v>1317753.1955054437</v>
      </c>
      <c r="AW247">
        <f t="shared" si="25"/>
        <v>1330630.4708145526</v>
      </c>
      <c r="AY247">
        <f t="shared" si="26"/>
        <v>0</v>
      </c>
      <c r="AZ247">
        <f t="shared" si="27"/>
        <v>1</v>
      </c>
    </row>
    <row r="248" spans="1:52" x14ac:dyDescent="0.2">
      <c r="A248">
        <f t="shared" si="21"/>
        <v>244</v>
      </c>
      <c r="B248">
        <v>2.2579253400576777E-2</v>
      </c>
      <c r="C248">
        <v>4.036243463387823E-2</v>
      </c>
      <c r="D248">
        <v>6.6959700301239433E-2</v>
      </c>
      <c r="E248">
        <v>7.0409379870484184E-3</v>
      </c>
      <c r="F248">
        <v>3.3289072305559848E-3</v>
      </c>
      <c r="G248">
        <v>4.0111927743965827E-3</v>
      </c>
      <c r="H248">
        <v>5.1809670457034329E-2</v>
      </c>
      <c r="I248">
        <v>0.11620895258607061</v>
      </c>
      <c r="J248">
        <v>0</v>
      </c>
      <c r="K248">
        <v>0.38916548160053854</v>
      </c>
      <c r="L248">
        <v>0.17350472832922142</v>
      </c>
      <c r="M248">
        <v>0.82649527167077852</v>
      </c>
      <c r="N248">
        <v>2.4687735469315915E-2</v>
      </c>
      <c r="O248" s="72">
        <v>0.99994460318566047</v>
      </c>
      <c r="P248">
        <v>0.99815977659172817</v>
      </c>
      <c r="Q248">
        <v>0.96621433751009067</v>
      </c>
      <c r="R248">
        <v>0.47289611180331914</v>
      </c>
      <c r="S248">
        <v>0.40192329471619825</v>
      </c>
      <c r="T248">
        <v>0.19115201983793628</v>
      </c>
      <c r="U248">
        <v>0.77111630234102746</v>
      </c>
      <c r="V248">
        <v>0.63114439069526806</v>
      </c>
      <c r="W248">
        <v>0.67615066951518288</v>
      </c>
      <c r="X248">
        <v>0.46643610539962732</v>
      </c>
      <c r="Y248">
        <v>0.44104366944803552</v>
      </c>
      <c r="Z248">
        <v>0.42479603049232356</v>
      </c>
      <c r="AA248">
        <v>0.67406812968866991</v>
      </c>
      <c r="AB248">
        <v>0.88540660924418035</v>
      </c>
      <c r="AC248">
        <v>0.74524882430483275</v>
      </c>
      <c r="AD248">
        <v>0.6245999805727791</v>
      </c>
      <c r="AE248">
        <v>175.85556581795254</v>
      </c>
      <c r="AF248">
        <v>1161.8467690259833</v>
      </c>
      <c r="AG248">
        <v>1589.6528642949236</v>
      </c>
      <c r="AH248">
        <v>15346.022022886555</v>
      </c>
      <c r="AI248">
        <v>8711.7902885697804</v>
      </c>
      <c r="AJ248">
        <v>33897.75300518467</v>
      </c>
      <c r="AK248">
        <v>12384.984549332941</v>
      </c>
      <c r="AL248">
        <v>1663.5182965919671</v>
      </c>
      <c r="AM248">
        <v>331.51253231006143</v>
      </c>
      <c r="AO248">
        <v>44370.207735076736</v>
      </c>
      <c r="AP248">
        <v>14.224076836901478</v>
      </c>
      <c r="AQ248">
        <v>45777.631574844607</v>
      </c>
      <c r="AR248">
        <v>14.494952842814328</v>
      </c>
      <c r="AS248" s="2">
        <f t="shared" si="22"/>
        <v>1407.423839767871</v>
      </c>
      <c r="AT248" s="2">
        <f t="shared" si="23"/>
        <v>0.2708760059128501</v>
      </c>
      <c r="AV248">
        <f t="shared" si="24"/>
        <v>1378037.4759550709</v>
      </c>
      <c r="AW248">
        <f t="shared" si="25"/>
        <v>1403717.6527065882</v>
      </c>
      <c r="AY248">
        <f t="shared" si="26"/>
        <v>0</v>
      </c>
      <c r="AZ248">
        <f t="shared" si="27"/>
        <v>1</v>
      </c>
    </row>
    <row r="249" spans="1:52" x14ac:dyDescent="0.2">
      <c r="A249">
        <f t="shared" si="21"/>
        <v>245</v>
      </c>
      <c r="B249">
        <v>1.6885247180792432E-2</v>
      </c>
      <c r="C249">
        <v>3.4230981383689615E-2</v>
      </c>
      <c r="D249">
        <v>5.5229638429805883E-2</v>
      </c>
      <c r="E249">
        <v>1.3095868764496199E-2</v>
      </c>
      <c r="F249">
        <v>3.4003258995835006E-3</v>
      </c>
      <c r="G249">
        <v>5.7942700227221608E-3</v>
      </c>
      <c r="H249">
        <v>4.7897165626928251E-2</v>
      </c>
      <c r="I249">
        <v>0.12592696034498208</v>
      </c>
      <c r="J249">
        <v>0</v>
      </c>
      <c r="K249">
        <v>0.49559306986937945</v>
      </c>
      <c r="L249">
        <v>0.25063722433941071</v>
      </c>
      <c r="M249">
        <v>0.74936277566058929</v>
      </c>
      <c r="N249">
        <v>5.0077601140612014E-2</v>
      </c>
      <c r="O249" s="72">
        <v>0.96117125520425639</v>
      </c>
      <c r="P249">
        <v>0.92486321328559973</v>
      </c>
      <c r="Q249">
        <v>0.99294702700505</v>
      </c>
      <c r="R249">
        <v>0.51765436426420819</v>
      </c>
      <c r="S249">
        <v>0.41969058856146135</v>
      </c>
      <c r="T249">
        <v>0.25048302082487872</v>
      </c>
      <c r="U249">
        <v>0.75395441204021052</v>
      </c>
      <c r="V249">
        <v>0.63198517532351228</v>
      </c>
      <c r="W249">
        <v>0.61185861977280376</v>
      </c>
      <c r="X249">
        <v>0.46094162439784947</v>
      </c>
      <c r="Y249">
        <v>0.46955468931427191</v>
      </c>
      <c r="Z249">
        <v>0.45971806528168013</v>
      </c>
      <c r="AA249">
        <v>0.73879359690029989</v>
      </c>
      <c r="AB249">
        <v>0.8574877687028869</v>
      </c>
      <c r="AC249">
        <v>0.70398173713145296</v>
      </c>
      <c r="AD249">
        <v>0.59327844619294179</v>
      </c>
      <c r="AE249">
        <v>247.34228051981438</v>
      </c>
      <c r="AF249">
        <v>1050.0465962239371</v>
      </c>
      <c r="AG249">
        <v>1682.2326929327019</v>
      </c>
      <c r="AH249">
        <v>14280.36617675096</v>
      </c>
      <c r="AI249">
        <v>11740.780544234123</v>
      </c>
      <c r="AJ249">
        <v>41799.517886263908</v>
      </c>
      <c r="AK249">
        <v>9704.8030341633694</v>
      </c>
      <c r="AL249">
        <v>1422.0520563853531</v>
      </c>
      <c r="AM249">
        <v>255.54495426342461</v>
      </c>
      <c r="AO249">
        <v>39456.334760201571</v>
      </c>
      <c r="AP249">
        <v>13.784283381611804</v>
      </c>
      <c r="AQ249">
        <v>47131.198600254829</v>
      </c>
      <c r="AR249">
        <v>13.979619423739575</v>
      </c>
      <c r="AS249" s="2">
        <f t="shared" si="22"/>
        <v>7674.8638400532582</v>
      </c>
      <c r="AT249" s="2">
        <f t="shared" si="23"/>
        <v>0.19533604212777078</v>
      </c>
      <c r="AV249">
        <f t="shared" si="24"/>
        <v>1338972.0034009786</v>
      </c>
      <c r="AW249">
        <f t="shared" si="25"/>
        <v>1350830.7437737028</v>
      </c>
      <c r="AY249">
        <f t="shared" si="26"/>
        <v>0</v>
      </c>
      <c r="AZ249">
        <f t="shared" si="27"/>
        <v>1</v>
      </c>
    </row>
    <row r="250" spans="1:52" x14ac:dyDescent="0.2">
      <c r="A250">
        <f t="shared" si="21"/>
        <v>246</v>
      </c>
      <c r="B250">
        <v>2.2889360892442649E-2</v>
      </c>
      <c r="C250">
        <v>3.9968311530186429E-2</v>
      </c>
      <c r="D250">
        <v>3.3550484226881332E-2</v>
      </c>
      <c r="E250">
        <v>1.4123848521718219E-2</v>
      </c>
      <c r="F250">
        <v>3.3699232774591081E-3</v>
      </c>
      <c r="G250">
        <v>1.2726911506823702E-2</v>
      </c>
      <c r="H250">
        <v>3.4864481287083637E-2</v>
      </c>
      <c r="I250">
        <v>0.11915880821256904</v>
      </c>
      <c r="J250">
        <v>0</v>
      </c>
      <c r="K250">
        <v>0.5010915714974955</v>
      </c>
      <c r="L250">
        <v>0.16637248547184283</v>
      </c>
      <c r="M250">
        <v>0.8336275145281572</v>
      </c>
      <c r="N250">
        <v>5.8354835045852704E-2</v>
      </c>
      <c r="O250" s="72">
        <v>0.99931346916079167</v>
      </c>
      <c r="P250">
        <v>0.9888669830975686</v>
      </c>
      <c r="Q250">
        <v>0.98851573690944228</v>
      </c>
      <c r="R250">
        <v>0.47801115608073752</v>
      </c>
      <c r="S250">
        <v>0.41218785430107796</v>
      </c>
      <c r="T250">
        <v>0.27046770142062371</v>
      </c>
      <c r="U250">
        <v>0.78783905875294669</v>
      </c>
      <c r="V250">
        <v>0.61728235750559879</v>
      </c>
      <c r="W250">
        <v>0.53702004514340995</v>
      </c>
      <c r="X250">
        <v>0.43726222374150892</v>
      </c>
      <c r="Y250">
        <v>0.44131446559309379</v>
      </c>
      <c r="Z250">
        <v>0.41198642367125066</v>
      </c>
      <c r="AA250">
        <v>0.71106420977299156</v>
      </c>
      <c r="AB250">
        <v>0.78678375983007376</v>
      </c>
      <c r="AC250">
        <v>0.75416533042964329</v>
      </c>
      <c r="AD250">
        <v>0.59706517269950132</v>
      </c>
      <c r="AE250">
        <v>174.94990438759518</v>
      </c>
      <c r="AF250">
        <v>1106.378918082462</v>
      </c>
      <c r="AG250">
        <v>1594.4283129620037</v>
      </c>
      <c r="AH250">
        <v>10440.778984857621</v>
      </c>
      <c r="AI250">
        <v>6260.0825547215654</v>
      </c>
      <c r="AJ250">
        <v>41323.029804255151</v>
      </c>
      <c r="AK250">
        <v>16307.361654956052</v>
      </c>
      <c r="AL250">
        <v>1626.6467680025003</v>
      </c>
      <c r="AM250">
        <v>368.18698422978895</v>
      </c>
      <c r="AO250">
        <v>42421.631376486424</v>
      </c>
      <c r="AP250">
        <v>12.981285034141443</v>
      </c>
      <c r="AQ250">
        <v>46453.334580144525</v>
      </c>
      <c r="AR250">
        <v>13.104084753270413</v>
      </c>
      <c r="AS250" s="2">
        <f t="shared" si="22"/>
        <v>4031.7032036581004</v>
      </c>
      <c r="AT250" s="2">
        <f t="shared" si="23"/>
        <v>0.12279971912897025</v>
      </c>
      <c r="AV250">
        <f t="shared" si="24"/>
        <v>1255706.8720376578</v>
      </c>
      <c r="AW250">
        <f t="shared" si="25"/>
        <v>1263955.1407468966</v>
      </c>
      <c r="AY250">
        <f t="shared" si="26"/>
        <v>0</v>
      </c>
      <c r="AZ250">
        <f t="shared" si="27"/>
        <v>1</v>
      </c>
    </row>
    <row r="251" spans="1:52" x14ac:dyDescent="0.2">
      <c r="A251">
        <f t="shared" si="21"/>
        <v>247</v>
      </c>
      <c r="B251">
        <v>2.4345308914492318E-2</v>
      </c>
      <c r="C251">
        <v>3.9546608317333587E-2</v>
      </c>
      <c r="D251">
        <v>3.8047327178590731E-2</v>
      </c>
      <c r="E251">
        <v>1.3509041077256145E-2</v>
      </c>
      <c r="F251">
        <v>3.2881661686899365E-3</v>
      </c>
      <c r="G251">
        <v>1.7471674618548039E-2</v>
      </c>
      <c r="H251">
        <v>2.7732470788361888E-2</v>
      </c>
      <c r="I251">
        <v>0.12821110957279006</v>
      </c>
      <c r="J251">
        <v>0</v>
      </c>
      <c r="K251">
        <v>0.40282950124815609</v>
      </c>
      <c r="L251">
        <v>0.18111250169640011</v>
      </c>
      <c r="M251">
        <v>0.81888749830359986</v>
      </c>
      <c r="N251">
        <v>5.2576885026455689E-2</v>
      </c>
      <c r="O251" s="72">
        <v>0.98006220650819309</v>
      </c>
      <c r="P251">
        <v>0.99989666285517509</v>
      </c>
      <c r="Q251">
        <v>0.97191243349289869</v>
      </c>
      <c r="R251">
        <v>0.49061717480516798</v>
      </c>
      <c r="S251">
        <v>0.4225879829875886</v>
      </c>
      <c r="T251">
        <v>0.13416978213882058</v>
      </c>
      <c r="U251">
        <v>0.7947605275263312</v>
      </c>
      <c r="V251">
        <v>0.67890748885352403</v>
      </c>
      <c r="W251">
        <v>0.58521638918240182</v>
      </c>
      <c r="X251">
        <v>0.51990462798541637</v>
      </c>
      <c r="Y251">
        <v>0.48025492800599545</v>
      </c>
      <c r="Z251">
        <v>0.44268839601145427</v>
      </c>
      <c r="AA251">
        <v>0.65707302847885019</v>
      </c>
      <c r="AB251">
        <v>0.82027030581881211</v>
      </c>
      <c r="AC251">
        <v>0.65280156487856189</v>
      </c>
      <c r="AD251">
        <v>0.59500155918982378</v>
      </c>
      <c r="AE251">
        <v>236.01295695041986</v>
      </c>
      <c r="AF251">
        <v>984.13141521061061</v>
      </c>
      <c r="AG251">
        <v>1491.541465513752</v>
      </c>
      <c r="AH251">
        <v>10554.707213724731</v>
      </c>
      <c r="AI251">
        <v>20398.741046434228</v>
      </c>
      <c r="AJ251">
        <v>42130.318185996199</v>
      </c>
      <c r="AK251">
        <v>15489.775369988367</v>
      </c>
      <c r="AL251">
        <v>1214.1368077275249</v>
      </c>
      <c r="AM251">
        <v>385.59894500113018</v>
      </c>
      <c r="AO251">
        <v>45377.314407479411</v>
      </c>
      <c r="AP251">
        <v>13.189776901482212</v>
      </c>
      <c r="AQ251">
        <v>46539.759778297652</v>
      </c>
      <c r="AR251">
        <v>13.383081709693842</v>
      </c>
      <c r="AS251" s="2">
        <f t="shared" si="22"/>
        <v>1162.4453708182409</v>
      </c>
      <c r="AT251" s="2">
        <f t="shared" si="23"/>
        <v>0.19330480821163043</v>
      </c>
      <c r="AV251">
        <f t="shared" si="24"/>
        <v>1273600.3757407416</v>
      </c>
      <c r="AW251">
        <f t="shared" si="25"/>
        <v>1291768.4111910865</v>
      </c>
      <c r="AY251">
        <f t="shared" si="26"/>
        <v>0</v>
      </c>
      <c r="AZ251">
        <f t="shared" si="27"/>
        <v>1</v>
      </c>
    </row>
    <row r="252" spans="1:52" x14ac:dyDescent="0.2">
      <c r="A252">
        <f t="shared" si="21"/>
        <v>248</v>
      </c>
      <c r="B252">
        <v>2.7162429182519876E-2</v>
      </c>
      <c r="C252">
        <v>3.4839561855863593E-2</v>
      </c>
      <c r="D252">
        <v>5.2202692803397066E-2</v>
      </c>
      <c r="E252">
        <v>5.2801066433861002E-3</v>
      </c>
      <c r="F252">
        <v>3.3294068129864382E-3</v>
      </c>
      <c r="G252">
        <v>2.4640577041020406E-2</v>
      </c>
      <c r="H252">
        <v>3.8144245286456879E-2</v>
      </c>
      <c r="I252">
        <v>0.14299571429860947</v>
      </c>
      <c r="J252">
        <v>0</v>
      </c>
      <c r="K252">
        <v>0.41378250591790949</v>
      </c>
      <c r="L252">
        <v>0.18596986103795476</v>
      </c>
      <c r="M252">
        <v>0.81403013896204524</v>
      </c>
      <c r="N252">
        <v>5.0009722216653993E-2</v>
      </c>
      <c r="O252" s="72">
        <v>0.9967071163241874</v>
      </c>
      <c r="P252">
        <v>0.99106463694970071</v>
      </c>
      <c r="Q252">
        <v>0.97179123702602488</v>
      </c>
      <c r="R252">
        <v>0.46982946280234794</v>
      </c>
      <c r="S252">
        <v>0.38280932472282514</v>
      </c>
      <c r="T252">
        <v>0.17715787780879799</v>
      </c>
      <c r="U252">
        <v>0.77623444242482287</v>
      </c>
      <c r="V252">
        <v>0.64091135871502047</v>
      </c>
      <c r="W252">
        <v>0.46876390873698343</v>
      </c>
      <c r="X252">
        <v>0.42566267474492525</v>
      </c>
      <c r="Y252">
        <v>0.45330280096464626</v>
      </c>
      <c r="Z252">
        <v>0.44857199404345405</v>
      </c>
      <c r="AA252">
        <v>0.59577515702946493</v>
      </c>
      <c r="AB252">
        <v>0.80966591264475041</v>
      </c>
      <c r="AC252">
        <v>0.68731931913868838</v>
      </c>
      <c r="AD252">
        <v>0.64918570243554807</v>
      </c>
      <c r="AE252">
        <v>195.21901025025952</v>
      </c>
      <c r="AF252">
        <v>959.78485926964663</v>
      </c>
      <c r="AG252">
        <v>1413.8052302445828</v>
      </c>
      <c r="AH252">
        <v>11938.388143798669</v>
      </c>
      <c r="AI252">
        <v>11788.28892137311</v>
      </c>
      <c r="AJ252">
        <v>41917.482058530964</v>
      </c>
      <c r="AK252">
        <v>7848.8111048039355</v>
      </c>
      <c r="AL252">
        <v>2637.8099997640329</v>
      </c>
      <c r="AM252">
        <v>418.18230548713575</v>
      </c>
      <c r="AO252">
        <v>45864.978178963625</v>
      </c>
      <c r="AP252">
        <v>13.11323588060187</v>
      </c>
      <c r="AQ252">
        <v>47220.027290719598</v>
      </c>
      <c r="AR252">
        <v>13.368649278321906</v>
      </c>
      <c r="AS252" s="2">
        <f t="shared" si="22"/>
        <v>1355.0491117559723</v>
      </c>
      <c r="AT252" s="2">
        <f t="shared" si="23"/>
        <v>0.25541339772003546</v>
      </c>
      <c r="AV252">
        <f t="shared" si="24"/>
        <v>1265458.6098812234</v>
      </c>
      <c r="AW252">
        <f t="shared" si="25"/>
        <v>1289644.9005414711</v>
      </c>
      <c r="AY252">
        <f t="shared" si="26"/>
        <v>0</v>
      </c>
      <c r="AZ252">
        <f t="shared" si="27"/>
        <v>1</v>
      </c>
    </row>
    <row r="253" spans="1:52" x14ac:dyDescent="0.2">
      <c r="A253">
        <f t="shared" si="21"/>
        <v>249</v>
      </c>
      <c r="B253">
        <v>2.330384767628076E-2</v>
      </c>
      <c r="C253">
        <v>3.8560140353353423E-2</v>
      </c>
      <c r="D253">
        <v>5.2004660824797044E-2</v>
      </c>
      <c r="E253">
        <v>6.4451647243122375E-3</v>
      </c>
      <c r="F253">
        <v>3.4024059016346531E-3</v>
      </c>
      <c r="G253">
        <v>2.2133047000870043E-2</v>
      </c>
      <c r="H253">
        <v>2.8995363098042293E-2</v>
      </c>
      <c r="I253">
        <v>0.14683465096213799</v>
      </c>
      <c r="J253">
        <v>0</v>
      </c>
      <c r="K253">
        <v>0.44758595997211248</v>
      </c>
      <c r="L253">
        <v>0.15993880182138176</v>
      </c>
      <c r="M253">
        <v>0.84006119817861824</v>
      </c>
      <c r="N253">
        <v>5.0052000340586045E-2</v>
      </c>
      <c r="O253" s="72">
        <v>0.99786867157769343</v>
      </c>
      <c r="P253">
        <v>0.99995311925921071</v>
      </c>
      <c r="Q253">
        <v>0.99041754467967047</v>
      </c>
      <c r="R253">
        <v>0.45024847357503239</v>
      </c>
      <c r="S253">
        <v>0.36379328713408898</v>
      </c>
      <c r="T253">
        <v>0.19647759500352002</v>
      </c>
      <c r="U253">
        <v>0.78297820534409879</v>
      </c>
      <c r="V253">
        <v>0.6280263566496419</v>
      </c>
      <c r="W253">
        <v>0.46454441872440538</v>
      </c>
      <c r="X253">
        <v>0.4451627607995331</v>
      </c>
      <c r="Y253">
        <v>0.46657713365226294</v>
      </c>
      <c r="Z253">
        <v>0.46181155720063605</v>
      </c>
      <c r="AA253">
        <v>0.65355168999965985</v>
      </c>
      <c r="AB253">
        <v>0.71231895483978813</v>
      </c>
      <c r="AC253">
        <v>0.74136336737176167</v>
      </c>
      <c r="AD253">
        <v>0.67798904010901218</v>
      </c>
      <c r="AE253">
        <v>157.08129022619883</v>
      </c>
      <c r="AF253">
        <v>948.45627935208461</v>
      </c>
      <c r="AG253">
        <v>1487.6550340658489</v>
      </c>
      <c r="AH253">
        <v>14169.659580813675</v>
      </c>
      <c r="AI253">
        <v>10489.810849588232</v>
      </c>
      <c r="AJ253">
        <v>38639.319084044793</v>
      </c>
      <c r="AK253">
        <v>15010.616404222535</v>
      </c>
      <c r="AL253">
        <v>1518.767569066006</v>
      </c>
      <c r="AM253">
        <v>451.28447211406041</v>
      </c>
      <c r="AO253">
        <v>47239.362351554621</v>
      </c>
      <c r="AP253">
        <v>12.023763279412792</v>
      </c>
      <c r="AQ253">
        <v>47406.934157350595</v>
      </c>
      <c r="AR253">
        <v>12.157062781014966</v>
      </c>
      <c r="AS253" s="2">
        <f t="shared" si="22"/>
        <v>167.5718057959748</v>
      </c>
      <c r="AT253" s="2">
        <f t="shared" si="23"/>
        <v>0.13329950160217408</v>
      </c>
      <c r="AV253">
        <f t="shared" si="24"/>
        <v>1155136.9655897245</v>
      </c>
      <c r="AW253">
        <f t="shared" si="25"/>
        <v>1168299.3439441461</v>
      </c>
      <c r="AY253">
        <f t="shared" si="26"/>
        <v>0</v>
      </c>
      <c r="AZ253">
        <f t="shared" si="27"/>
        <v>1</v>
      </c>
    </row>
    <row r="254" spans="1:52" x14ac:dyDescent="0.2">
      <c r="A254">
        <f t="shared" si="21"/>
        <v>250</v>
      </c>
      <c r="B254">
        <v>2.6663635781161932E-2</v>
      </c>
      <c r="C254">
        <v>2.7278452971053371E-2</v>
      </c>
      <c r="D254">
        <v>3.3616996485099519E-2</v>
      </c>
      <c r="E254">
        <v>1.1739722603861136E-2</v>
      </c>
      <c r="F254">
        <v>3.3718629092259755E-3</v>
      </c>
      <c r="G254">
        <v>6.4030064239779822E-3</v>
      </c>
      <c r="H254">
        <v>1.3715516895405681E-2</v>
      </c>
      <c r="I254">
        <v>0.11348060520898419</v>
      </c>
      <c r="J254">
        <v>0</v>
      </c>
      <c r="K254">
        <v>0.42121338654755053</v>
      </c>
      <c r="L254">
        <v>0.22530141380555002</v>
      </c>
      <c r="M254">
        <v>0.77469858619444998</v>
      </c>
      <c r="N254">
        <v>5.7557458874036183E-2</v>
      </c>
      <c r="O254" s="72">
        <v>0.99944321791951674</v>
      </c>
      <c r="P254">
        <v>0.99996374217373063</v>
      </c>
      <c r="Q254">
        <v>0.99747700618412116</v>
      </c>
      <c r="R254">
        <v>0.49102492217129157</v>
      </c>
      <c r="S254">
        <v>0.44026221560308143</v>
      </c>
      <c r="T254">
        <v>0.22702510935420017</v>
      </c>
      <c r="U254">
        <v>0.73936186842319984</v>
      </c>
      <c r="V254">
        <v>0.69486658360712261</v>
      </c>
      <c r="W254">
        <v>0.61861562637060663</v>
      </c>
      <c r="X254">
        <v>0.49366317969380547</v>
      </c>
      <c r="Y254">
        <v>0.42923648421096655</v>
      </c>
      <c r="Z254">
        <v>0.42787536747847432</v>
      </c>
      <c r="AA254">
        <v>0.66450214435668076</v>
      </c>
      <c r="AB254">
        <v>0.79685765228418104</v>
      </c>
      <c r="AC254">
        <v>0.75911708280519496</v>
      </c>
      <c r="AD254">
        <v>0.6052461486962083</v>
      </c>
      <c r="AE254">
        <v>165.99207289885965</v>
      </c>
      <c r="AF254">
        <v>1004.3552572810826</v>
      </c>
      <c r="AG254">
        <v>1714.7636330215309</v>
      </c>
      <c r="AH254">
        <v>13219.42612681034</v>
      </c>
      <c r="AI254">
        <v>8558.3713380897952</v>
      </c>
      <c r="AJ254">
        <v>42730.041093490574</v>
      </c>
      <c r="AK254">
        <v>18591.608592084423</v>
      </c>
      <c r="AL254">
        <v>2757.836306600997</v>
      </c>
      <c r="AM254">
        <v>371.99912095632675</v>
      </c>
      <c r="AO254">
        <v>42523.606936485681</v>
      </c>
      <c r="AP254">
        <v>13.123341490444872</v>
      </c>
      <c r="AQ254">
        <v>46207.575636362664</v>
      </c>
      <c r="AR254">
        <v>13.265244955581769</v>
      </c>
      <c r="AS254" s="2">
        <f t="shared" si="22"/>
        <v>3683.968699876983</v>
      </c>
      <c r="AT254" s="2">
        <f t="shared" si="23"/>
        <v>0.14190346513689711</v>
      </c>
      <c r="AV254">
        <f t="shared" si="24"/>
        <v>1269810.5421080014</v>
      </c>
      <c r="AW254">
        <f t="shared" si="25"/>
        <v>1280316.9199218142</v>
      </c>
      <c r="AY254">
        <f t="shared" si="26"/>
        <v>0</v>
      </c>
      <c r="AZ254">
        <f t="shared" si="27"/>
        <v>1</v>
      </c>
    </row>
    <row r="255" spans="1:52" x14ac:dyDescent="0.2">
      <c r="A255">
        <f t="shared" si="21"/>
        <v>251</v>
      </c>
      <c r="B255">
        <v>2.6036498606422764E-2</v>
      </c>
      <c r="C255">
        <v>3.4758222231439762E-2</v>
      </c>
      <c r="D255">
        <v>4.0004537101297144E-2</v>
      </c>
      <c r="E255">
        <v>9.2184218099765503E-3</v>
      </c>
      <c r="F255">
        <v>3.3606348097858785E-3</v>
      </c>
      <c r="G255">
        <v>3.1831886267693066E-2</v>
      </c>
      <c r="H255">
        <v>3.0000840465527645E-2</v>
      </c>
      <c r="I255">
        <v>0.13742567803494121</v>
      </c>
      <c r="J255">
        <v>0</v>
      </c>
      <c r="K255">
        <v>0.43609015227577907</v>
      </c>
      <c r="L255">
        <v>0.2613232415681489</v>
      </c>
      <c r="M255">
        <v>0.7386767584318511</v>
      </c>
      <c r="N255">
        <v>3.7687430854924153E-2</v>
      </c>
      <c r="O255" s="72">
        <v>0.99998441971461072</v>
      </c>
      <c r="P255">
        <v>0.95879958820460875</v>
      </c>
      <c r="Q255">
        <v>0.97343877375364218</v>
      </c>
      <c r="R255">
        <v>0.49452836951872636</v>
      </c>
      <c r="S255">
        <v>0.38042964649611477</v>
      </c>
      <c r="T255">
        <v>0.24349005932726209</v>
      </c>
      <c r="U255">
        <v>0.76445169636785659</v>
      </c>
      <c r="V255">
        <v>0.68164319208667323</v>
      </c>
      <c r="W255">
        <v>0.59341325411768087</v>
      </c>
      <c r="X255">
        <v>0.44413562713469945</v>
      </c>
      <c r="Y255">
        <v>0.49190316162665348</v>
      </c>
      <c r="Z255">
        <v>0.48333500451864242</v>
      </c>
      <c r="AA255">
        <v>0.6836737112467095</v>
      </c>
      <c r="AB255">
        <v>0.81761709868836274</v>
      </c>
      <c r="AC255">
        <v>0.76473258658356635</v>
      </c>
      <c r="AD255">
        <v>0.57523101865768878</v>
      </c>
      <c r="AE255">
        <v>170.55640872650329</v>
      </c>
      <c r="AF255">
        <v>1042.3282031087342</v>
      </c>
      <c r="AG255">
        <v>923.8353114542615</v>
      </c>
      <c r="AH255">
        <v>18460.49772502602</v>
      </c>
      <c r="AI255">
        <v>6057.3474991460107</v>
      </c>
      <c r="AJ255">
        <v>36488.667725516214</v>
      </c>
      <c r="AK255">
        <v>19367.483576752751</v>
      </c>
      <c r="AL255">
        <v>2930.7074301220437</v>
      </c>
      <c r="AM255">
        <v>318.18543833244149</v>
      </c>
      <c r="AO255">
        <v>41851.377265418276</v>
      </c>
      <c r="AP255">
        <v>13.362501295449578</v>
      </c>
      <c r="AQ255">
        <v>46743.835140699011</v>
      </c>
      <c r="AR255">
        <v>13.516802369574732</v>
      </c>
      <c r="AS255" s="2">
        <f t="shared" si="22"/>
        <v>4892.4578752807356</v>
      </c>
      <c r="AT255" s="2">
        <f t="shared" si="23"/>
        <v>0.15430107412515426</v>
      </c>
      <c r="AV255">
        <f t="shared" si="24"/>
        <v>1294398.7522795396</v>
      </c>
      <c r="AW255">
        <f t="shared" si="25"/>
        <v>1304936.4018167742</v>
      </c>
      <c r="AY255">
        <f t="shared" si="26"/>
        <v>0</v>
      </c>
      <c r="AZ255">
        <f t="shared" si="27"/>
        <v>1</v>
      </c>
    </row>
    <row r="256" spans="1:52" x14ac:dyDescent="0.2">
      <c r="A256">
        <f t="shared" ref="A256:A319" si="28">A255+1</f>
        <v>252</v>
      </c>
      <c r="B256">
        <v>2.9356696346473976E-2</v>
      </c>
      <c r="C256">
        <v>4.3056253602215211E-2</v>
      </c>
      <c r="D256">
        <v>2.9088047402171868E-2</v>
      </c>
      <c r="E256">
        <v>7.5000576187350902E-3</v>
      </c>
      <c r="F256">
        <v>3.2560888839812817E-3</v>
      </c>
      <c r="G256">
        <v>1.5816912784454962E-2</v>
      </c>
      <c r="H256">
        <v>3.0336595510088715E-2</v>
      </c>
      <c r="I256">
        <v>0.12092433406679304</v>
      </c>
      <c r="J256">
        <v>0</v>
      </c>
      <c r="K256">
        <v>0.423994239885776</v>
      </c>
      <c r="L256">
        <v>0.24022217116424327</v>
      </c>
      <c r="M256">
        <v>0.75977782883575673</v>
      </c>
      <c r="N256">
        <v>5.0207684239717075E-2</v>
      </c>
      <c r="O256" s="72">
        <v>0.9993552065357113</v>
      </c>
      <c r="P256">
        <v>0.99611876520067633</v>
      </c>
      <c r="Q256">
        <v>0.96626475766693487</v>
      </c>
      <c r="R256">
        <v>0.45961499584829146</v>
      </c>
      <c r="S256">
        <v>0.36634600574837883</v>
      </c>
      <c r="T256">
        <v>0.23343457871943085</v>
      </c>
      <c r="U256">
        <v>0.76342395374446737</v>
      </c>
      <c r="V256">
        <v>0.68162970093175157</v>
      </c>
      <c r="W256">
        <v>0.56227466000544934</v>
      </c>
      <c r="X256">
        <v>0.46449552966936869</v>
      </c>
      <c r="Y256">
        <v>0.44175338430667588</v>
      </c>
      <c r="Z256">
        <v>0.43658083013983784</v>
      </c>
      <c r="AA256">
        <v>0.6672465085033229</v>
      </c>
      <c r="AB256">
        <v>0.86266708865939778</v>
      </c>
      <c r="AC256">
        <v>0.7336296011797836</v>
      </c>
      <c r="AD256">
        <v>0.57927054169619618</v>
      </c>
      <c r="AE256">
        <v>223.69819299434528</v>
      </c>
      <c r="AF256">
        <v>866.226888950687</v>
      </c>
      <c r="AG256">
        <v>1470.249234077246</v>
      </c>
      <c r="AH256">
        <v>13759.831625383109</v>
      </c>
      <c r="AI256">
        <v>11951.839368535711</v>
      </c>
      <c r="AJ256">
        <v>41601.4057769625</v>
      </c>
      <c r="AK256">
        <v>10704.47217673432</v>
      </c>
      <c r="AL256">
        <v>1478.38339304028</v>
      </c>
      <c r="AM256">
        <v>367.9615955410892</v>
      </c>
      <c r="AO256">
        <v>44879.116310937643</v>
      </c>
      <c r="AP256">
        <v>13.867012722822563</v>
      </c>
      <c r="AQ256">
        <v>46357.278860422426</v>
      </c>
      <c r="AR256">
        <v>14.094827494260112</v>
      </c>
      <c r="AS256" s="2">
        <f t="shared" si="22"/>
        <v>1478.1625494847831</v>
      </c>
      <c r="AT256" s="2">
        <f t="shared" si="23"/>
        <v>0.22781477143754891</v>
      </c>
      <c r="AV256">
        <f t="shared" si="24"/>
        <v>1341822.1559713187</v>
      </c>
      <c r="AW256">
        <f t="shared" si="25"/>
        <v>1363125.4705655889</v>
      </c>
      <c r="AY256">
        <f t="shared" si="26"/>
        <v>0</v>
      </c>
      <c r="AZ256">
        <f t="shared" si="27"/>
        <v>1</v>
      </c>
    </row>
    <row r="257" spans="1:52" x14ac:dyDescent="0.2">
      <c r="A257">
        <f t="shared" si="28"/>
        <v>253</v>
      </c>
      <c r="B257">
        <v>2.8892724630624311E-2</v>
      </c>
      <c r="C257">
        <v>3.6110183707701686E-2</v>
      </c>
      <c r="D257">
        <v>5.6949576286450809E-2</v>
      </c>
      <c r="E257">
        <v>7.6995323480555464E-3</v>
      </c>
      <c r="F257">
        <v>3.3007056650089231E-3</v>
      </c>
      <c r="G257">
        <v>7.2955543112742452E-3</v>
      </c>
      <c r="H257">
        <v>4.0998651197163727E-2</v>
      </c>
      <c r="I257">
        <v>0.13133978337666685</v>
      </c>
      <c r="J257">
        <v>0</v>
      </c>
      <c r="K257">
        <v>0.50017681499368705</v>
      </c>
      <c r="L257">
        <v>0.18229887565574254</v>
      </c>
      <c r="M257">
        <v>0.81770112434425746</v>
      </c>
      <c r="N257">
        <v>7.5425823760754906E-2</v>
      </c>
      <c r="O257" s="72">
        <v>0.98035510579136309</v>
      </c>
      <c r="P257">
        <v>0.99949670307927885</v>
      </c>
      <c r="Q257">
        <v>0.9784921246809436</v>
      </c>
      <c r="R257">
        <v>0.50038551254508867</v>
      </c>
      <c r="S257">
        <v>0.48319743719593311</v>
      </c>
      <c r="T257">
        <v>0.13084133094337769</v>
      </c>
      <c r="U257">
        <v>0.7547971787374832</v>
      </c>
      <c r="V257">
        <v>0.69006026572357271</v>
      </c>
      <c r="W257">
        <v>0.53069603873945126</v>
      </c>
      <c r="X257">
        <v>0.44190278802067806</v>
      </c>
      <c r="Y257">
        <v>0.45170211936116866</v>
      </c>
      <c r="Z257">
        <v>0.50122023774039692</v>
      </c>
      <c r="AA257">
        <v>0.67797425436053338</v>
      </c>
      <c r="AB257">
        <v>0.85693599026674061</v>
      </c>
      <c r="AC257">
        <v>0.70212826255033745</v>
      </c>
      <c r="AD257">
        <v>0.63792936358557095</v>
      </c>
      <c r="AE257">
        <v>163.97060861745524</v>
      </c>
      <c r="AF257">
        <v>1023.3922672002595</v>
      </c>
      <c r="AG257">
        <v>1838.5646452609858</v>
      </c>
      <c r="AH257">
        <v>11814.390072498898</v>
      </c>
      <c r="AI257">
        <v>11981.613872501013</v>
      </c>
      <c r="AJ257">
        <v>40197.691934471353</v>
      </c>
      <c r="AK257">
        <v>15149.348994273994</v>
      </c>
      <c r="AL257">
        <v>1406.3476126937196</v>
      </c>
      <c r="AM257">
        <v>396.31191709835889</v>
      </c>
      <c r="AO257">
        <v>44545.781311776096</v>
      </c>
      <c r="AP257">
        <v>13.714850359494763</v>
      </c>
      <c r="AQ257">
        <v>46692.982903841621</v>
      </c>
      <c r="AR257">
        <v>14.037927641191828</v>
      </c>
      <c r="AS257" s="2">
        <f t="shared" si="22"/>
        <v>2147.2015920655249</v>
      </c>
      <c r="AT257" s="2">
        <f t="shared" si="23"/>
        <v>0.32307728169706529</v>
      </c>
      <c r="AV257">
        <f t="shared" si="24"/>
        <v>1326939.2546377003</v>
      </c>
      <c r="AW257">
        <f t="shared" si="25"/>
        <v>1357099.7812153413</v>
      </c>
      <c r="AY257">
        <f t="shared" si="26"/>
        <v>0</v>
      </c>
      <c r="AZ257">
        <f t="shared" si="27"/>
        <v>1</v>
      </c>
    </row>
    <row r="258" spans="1:52" x14ac:dyDescent="0.2">
      <c r="A258">
        <f t="shared" si="28"/>
        <v>254</v>
      </c>
      <c r="B258">
        <v>2.1385060391436776E-2</v>
      </c>
      <c r="C258">
        <v>3.7411855533807992E-2</v>
      </c>
      <c r="D258">
        <v>3.3531866453069166E-2</v>
      </c>
      <c r="E258">
        <v>6.8546961683846105E-3</v>
      </c>
      <c r="F258">
        <v>3.3571547718209693E-3</v>
      </c>
      <c r="G258">
        <v>1.354139392472109E-2</v>
      </c>
      <c r="H258">
        <v>3.3996358208237543E-2</v>
      </c>
      <c r="I258">
        <v>0.13579847267166223</v>
      </c>
      <c r="J258">
        <v>0</v>
      </c>
      <c r="K258">
        <v>0.41629951550020722</v>
      </c>
      <c r="L258">
        <v>0.16083233414521864</v>
      </c>
      <c r="M258">
        <v>0.83916766585478131</v>
      </c>
      <c r="N258">
        <v>5.4815648994563128E-2</v>
      </c>
      <c r="O258" s="72">
        <v>0.99993034106278877</v>
      </c>
      <c r="P258">
        <v>0.99901022705520193</v>
      </c>
      <c r="Q258">
        <v>0.97109290347835542</v>
      </c>
      <c r="R258">
        <v>0.47200092192902432</v>
      </c>
      <c r="S258">
        <v>0.39896026398051454</v>
      </c>
      <c r="T258">
        <v>0.15248087871096905</v>
      </c>
      <c r="U258">
        <v>0.77464587487519809</v>
      </c>
      <c r="V258">
        <v>0.68799753613061909</v>
      </c>
      <c r="W258">
        <v>0.51480777393524535</v>
      </c>
      <c r="X258">
        <v>0.47524280822548282</v>
      </c>
      <c r="Y258">
        <v>0.46310432864018092</v>
      </c>
      <c r="Z258">
        <v>0.41288304967285105</v>
      </c>
      <c r="AA258">
        <v>0.6501199887597765</v>
      </c>
      <c r="AB258">
        <v>0.86822879445573842</v>
      </c>
      <c r="AC258">
        <v>0.68567906149603075</v>
      </c>
      <c r="AD258">
        <v>0.61911560284127476</v>
      </c>
      <c r="AE258">
        <v>322.37342562987806</v>
      </c>
      <c r="AF258">
        <v>1025.4150270788562</v>
      </c>
      <c r="AG258">
        <v>1794.5364343853673</v>
      </c>
      <c r="AH258">
        <v>11631.624335662991</v>
      </c>
      <c r="AI258">
        <v>9426.684113403775</v>
      </c>
      <c r="AJ258">
        <v>46874.353348229532</v>
      </c>
      <c r="AK258">
        <v>5454.8626825086076</v>
      </c>
      <c r="AL258">
        <v>1885.2550416004858</v>
      </c>
      <c r="AM258">
        <v>277.7497562250565</v>
      </c>
      <c r="AO258">
        <v>44707.093531769191</v>
      </c>
      <c r="AP258">
        <v>13.878964328165914</v>
      </c>
      <c r="AQ258">
        <v>44908.726704140405</v>
      </c>
      <c r="AR258">
        <v>14.139153048632712</v>
      </c>
      <c r="AS258" s="2">
        <f t="shared" si="22"/>
        <v>201.63317237121373</v>
      </c>
      <c r="AT258" s="2">
        <f t="shared" si="23"/>
        <v>0.26018872046679853</v>
      </c>
      <c r="AV258">
        <f t="shared" si="24"/>
        <v>1343189.3392848221</v>
      </c>
      <c r="AW258">
        <f t="shared" si="25"/>
        <v>1369006.5781591309</v>
      </c>
      <c r="AY258">
        <f t="shared" si="26"/>
        <v>0</v>
      </c>
      <c r="AZ258">
        <f t="shared" si="27"/>
        <v>1</v>
      </c>
    </row>
    <row r="259" spans="1:52" x14ac:dyDescent="0.2">
      <c r="A259">
        <f t="shared" si="28"/>
        <v>255</v>
      </c>
      <c r="B259">
        <v>1.7394979336587273E-2</v>
      </c>
      <c r="C259">
        <v>3.7589686715898796E-2</v>
      </c>
      <c r="D259">
        <v>4.1889912908349869E-2</v>
      </c>
      <c r="E259">
        <v>7.9393475543996731E-3</v>
      </c>
      <c r="F259">
        <v>3.4158100959987836E-3</v>
      </c>
      <c r="G259">
        <v>2.2456515193620019E-2</v>
      </c>
      <c r="H259">
        <v>2.1257504928747561E-2</v>
      </c>
      <c r="I259">
        <v>0.11574869121107591</v>
      </c>
      <c r="J259">
        <v>0</v>
      </c>
      <c r="K259">
        <v>0.44560449035427485</v>
      </c>
      <c r="L259">
        <v>0.19727595709661552</v>
      </c>
      <c r="M259">
        <v>0.8027240429033845</v>
      </c>
      <c r="N259">
        <v>5.2173709768399523E-2</v>
      </c>
      <c r="O259" s="72">
        <v>0.99833852860198524</v>
      </c>
      <c r="P259">
        <v>0.99675242233259476</v>
      </c>
      <c r="Q259">
        <v>0.90759353909372975</v>
      </c>
      <c r="R259">
        <v>0.46355489092210944</v>
      </c>
      <c r="S259">
        <v>0.45622785847490355</v>
      </c>
      <c r="T259">
        <v>0.26923137599816405</v>
      </c>
      <c r="U259">
        <v>0.76552913477115103</v>
      </c>
      <c r="V259">
        <v>0.69146769394033802</v>
      </c>
      <c r="W259">
        <v>0.54189018197503303</v>
      </c>
      <c r="X259">
        <v>0.46748868546311106</v>
      </c>
      <c r="Y259">
        <v>0.42031001529516399</v>
      </c>
      <c r="Z259">
        <v>0.41877967299293511</v>
      </c>
      <c r="AA259">
        <v>0.75980740982565054</v>
      </c>
      <c r="AB259">
        <v>0.75575247260414136</v>
      </c>
      <c r="AC259">
        <v>0.64983573216154922</v>
      </c>
      <c r="AD259">
        <v>0.55393107278001308</v>
      </c>
      <c r="AE259">
        <v>277.28564432674688</v>
      </c>
      <c r="AF259">
        <v>955.78871071713581</v>
      </c>
      <c r="AG259">
        <v>2045.2094106180207</v>
      </c>
      <c r="AH259">
        <v>12892.829135128724</v>
      </c>
      <c r="AI259">
        <v>10889.196677565558</v>
      </c>
      <c r="AJ259">
        <v>44467.07457418125</v>
      </c>
      <c r="AK259">
        <v>15647.992006196891</v>
      </c>
      <c r="AL259">
        <v>1534.4418447044218</v>
      </c>
      <c r="AM259">
        <v>373.627276290694</v>
      </c>
      <c r="AO259">
        <v>43292.011029600588</v>
      </c>
      <c r="AP259">
        <v>12.347187378028176</v>
      </c>
      <c r="AQ259">
        <v>46761.558088645266</v>
      </c>
      <c r="AR259">
        <v>12.423686416208239</v>
      </c>
      <c r="AS259" s="2">
        <f t="shared" si="22"/>
        <v>3469.5470590446785</v>
      </c>
      <c r="AT259" s="2">
        <f t="shared" si="23"/>
        <v>7.649903818006365E-2</v>
      </c>
      <c r="AV259">
        <f t="shared" si="24"/>
        <v>1191426.7267732169</v>
      </c>
      <c r="AW259">
        <f t="shared" si="25"/>
        <v>1195607.0835321785</v>
      </c>
      <c r="AY259">
        <f t="shared" si="26"/>
        <v>0</v>
      </c>
      <c r="AZ259">
        <f t="shared" si="27"/>
        <v>1</v>
      </c>
    </row>
    <row r="260" spans="1:52" x14ac:dyDescent="0.2">
      <c r="A260">
        <f t="shared" si="28"/>
        <v>256</v>
      </c>
      <c r="B260">
        <v>2.291597507786847E-2</v>
      </c>
      <c r="C260">
        <v>4.1619061176096706E-2</v>
      </c>
      <c r="D260">
        <v>3.3997862542134188E-2</v>
      </c>
      <c r="E260">
        <v>3.1007973281257373E-2</v>
      </c>
      <c r="F260">
        <v>3.4099891234561364E-3</v>
      </c>
      <c r="G260">
        <v>3.4009858041908259E-2</v>
      </c>
      <c r="H260">
        <v>3.2464955242259785E-2</v>
      </c>
      <c r="I260">
        <v>0.14016771728074029</v>
      </c>
      <c r="J260">
        <v>0</v>
      </c>
      <c r="K260">
        <v>0.4107236002352509</v>
      </c>
      <c r="L260">
        <v>0.17323873803719997</v>
      </c>
      <c r="M260">
        <v>0.82676126196279998</v>
      </c>
      <c r="N260">
        <v>7.8046703538909301E-2</v>
      </c>
      <c r="O260" s="72">
        <v>0.99601302629169264</v>
      </c>
      <c r="P260">
        <v>0.99857785002056498</v>
      </c>
      <c r="Q260">
        <v>0.9165737974899929</v>
      </c>
      <c r="R260">
        <v>0.50341397723613057</v>
      </c>
      <c r="S260">
        <v>0.37800831774415233</v>
      </c>
      <c r="T260">
        <v>0.17099732877820073</v>
      </c>
      <c r="U260">
        <v>0.75897176477378092</v>
      </c>
      <c r="V260">
        <v>0.67142924912618063</v>
      </c>
      <c r="W260">
        <v>0.49596626947316846</v>
      </c>
      <c r="X260">
        <v>0.44469687139619263</v>
      </c>
      <c r="Y260">
        <v>0.51338816389051534</v>
      </c>
      <c r="Z260">
        <v>0.44704213868326997</v>
      </c>
      <c r="AA260">
        <v>0.67090151014613209</v>
      </c>
      <c r="AB260">
        <v>0.84584016363476533</v>
      </c>
      <c r="AC260">
        <v>0.63726882872618495</v>
      </c>
      <c r="AD260">
        <v>0.61680099736227212</v>
      </c>
      <c r="AE260">
        <v>240.31066888969809</v>
      </c>
      <c r="AF260">
        <v>1001.2631387263435</v>
      </c>
      <c r="AG260">
        <v>1793.7968366180623</v>
      </c>
      <c r="AH260">
        <v>19161.487743572525</v>
      </c>
      <c r="AI260">
        <v>10185.791483628243</v>
      </c>
      <c r="AJ260">
        <v>37046.556409783872</v>
      </c>
      <c r="AK260">
        <v>13749.057487444354</v>
      </c>
      <c r="AL260">
        <v>1222.2247934607544</v>
      </c>
      <c r="AM260">
        <v>203.14992229950269</v>
      </c>
      <c r="AO260">
        <v>41490.198605452904</v>
      </c>
      <c r="AP260">
        <v>13.443100619026493</v>
      </c>
      <c r="AQ260">
        <v>44021.891790541929</v>
      </c>
      <c r="AR260">
        <v>13.732295874338812</v>
      </c>
      <c r="AS260" s="2">
        <f t="shared" si="22"/>
        <v>2531.6931850890251</v>
      </c>
      <c r="AT260" s="2">
        <f t="shared" si="23"/>
        <v>0.28919525531231827</v>
      </c>
      <c r="AV260">
        <f t="shared" si="24"/>
        <v>1302819.8632971963</v>
      </c>
      <c r="AW260">
        <f t="shared" si="25"/>
        <v>1329207.6956433393</v>
      </c>
      <c r="AY260">
        <f t="shared" si="26"/>
        <v>0</v>
      </c>
      <c r="AZ260">
        <f t="shared" si="27"/>
        <v>1</v>
      </c>
    </row>
    <row r="261" spans="1:52" x14ac:dyDescent="0.2">
      <c r="A261">
        <f t="shared" si="28"/>
        <v>257</v>
      </c>
      <c r="B261">
        <v>2.2049911022389429E-2</v>
      </c>
      <c r="C261">
        <v>4.1874251453937195E-2</v>
      </c>
      <c r="D261">
        <v>4.7068980926223025E-2</v>
      </c>
      <c r="E261">
        <v>2.3845483203707605E-3</v>
      </c>
      <c r="F261">
        <v>3.4154904470434788E-3</v>
      </c>
      <c r="G261">
        <v>1.3378600258517781E-2</v>
      </c>
      <c r="H261">
        <v>1.4853219188898184E-2</v>
      </c>
      <c r="I261">
        <v>0.11694438392819506</v>
      </c>
      <c r="J261">
        <v>0</v>
      </c>
      <c r="K261">
        <v>0.40420402138450334</v>
      </c>
      <c r="L261">
        <v>0.14231303741637663</v>
      </c>
      <c r="M261">
        <v>0.85768696258362342</v>
      </c>
      <c r="N261">
        <v>6.302199721312185E-2</v>
      </c>
      <c r="O261" s="72">
        <v>0.99933880876458092</v>
      </c>
      <c r="P261">
        <v>0.96603060180656808</v>
      </c>
      <c r="Q261">
        <v>0.98284120997875801</v>
      </c>
      <c r="R261">
        <v>0.48095061488355229</v>
      </c>
      <c r="S261">
        <v>0.35296320253262559</v>
      </c>
      <c r="T261">
        <v>0.266753790416835</v>
      </c>
      <c r="U261">
        <v>0.77567909585825379</v>
      </c>
      <c r="V261">
        <v>0.69848154782873195</v>
      </c>
      <c r="W261">
        <v>0.53184017367874437</v>
      </c>
      <c r="X261">
        <v>0.42308442791475792</v>
      </c>
      <c r="Y261">
        <v>0.42466986573890148</v>
      </c>
      <c r="Z261">
        <v>0.42489135349699109</v>
      </c>
      <c r="AA261">
        <v>0.69779654167503891</v>
      </c>
      <c r="AB261">
        <v>0.86105989979975939</v>
      </c>
      <c r="AC261">
        <v>0.79848970157035171</v>
      </c>
      <c r="AD261">
        <v>0.56372178063251221</v>
      </c>
      <c r="AE261">
        <v>215.44783848054172</v>
      </c>
      <c r="AF261">
        <v>911.34606720707404</v>
      </c>
      <c r="AG261">
        <v>1667.6058960135899</v>
      </c>
      <c r="AH261">
        <v>14083.563534011508</v>
      </c>
      <c r="AI261">
        <v>11367.786996786068</v>
      </c>
      <c r="AJ261">
        <v>41269.435960110524</v>
      </c>
      <c r="AK261">
        <v>8695.8842939771876</v>
      </c>
      <c r="AL261">
        <v>1611.127019242851</v>
      </c>
      <c r="AM261">
        <v>421.1438682159515</v>
      </c>
      <c r="AO261">
        <v>44246.81701228163</v>
      </c>
      <c r="AP261">
        <v>13.964643119567402</v>
      </c>
      <c r="AQ261">
        <v>48144.374637252295</v>
      </c>
      <c r="AR261">
        <v>14.164435803008107</v>
      </c>
      <c r="AS261" s="2">
        <f t="shared" si="22"/>
        <v>3897.5576249706646</v>
      </c>
      <c r="AT261" s="2">
        <f t="shared" si="23"/>
        <v>0.19979268344070533</v>
      </c>
      <c r="AV261">
        <f t="shared" si="24"/>
        <v>1352217.4949444586</v>
      </c>
      <c r="AW261">
        <f t="shared" si="25"/>
        <v>1368299.2056635586</v>
      </c>
      <c r="AY261">
        <f t="shared" si="26"/>
        <v>0</v>
      </c>
      <c r="AZ261">
        <f t="shared" si="27"/>
        <v>1</v>
      </c>
    </row>
    <row r="262" spans="1:52" x14ac:dyDescent="0.2">
      <c r="A262">
        <f t="shared" si="28"/>
        <v>258</v>
      </c>
      <c r="B262">
        <v>2.3072773368395021E-2</v>
      </c>
      <c r="C262">
        <v>3.9191938492614931E-2</v>
      </c>
      <c r="D262">
        <v>2.9708024682133183E-2</v>
      </c>
      <c r="E262">
        <v>1.1914354381429182E-2</v>
      </c>
      <c r="F262">
        <v>3.1824239149615824E-3</v>
      </c>
      <c r="G262">
        <v>4.2727243759606093E-3</v>
      </c>
      <c r="H262">
        <v>6.3362448939133342E-2</v>
      </c>
      <c r="I262">
        <v>0.13327839540003006</v>
      </c>
      <c r="J262">
        <v>0</v>
      </c>
      <c r="K262">
        <v>0.4381163343239155</v>
      </c>
      <c r="L262">
        <v>0.22688826371615756</v>
      </c>
      <c r="M262">
        <v>0.77311173628384244</v>
      </c>
      <c r="N262">
        <v>4.8222559779380787E-2</v>
      </c>
      <c r="O262" s="72">
        <v>0.94060089649454548</v>
      </c>
      <c r="P262">
        <v>0.9987759038502122</v>
      </c>
      <c r="Q262">
        <v>0.98502120009620697</v>
      </c>
      <c r="R262">
        <v>0.51634037399216548</v>
      </c>
      <c r="S262">
        <v>0.42481068980736458</v>
      </c>
      <c r="T262">
        <v>0.22024254115633668</v>
      </c>
      <c r="U262">
        <v>0.76758084027558648</v>
      </c>
      <c r="V262">
        <v>0.6676193147654752</v>
      </c>
      <c r="W262">
        <v>0.54232999624917044</v>
      </c>
      <c r="X262">
        <v>0.45742854875491512</v>
      </c>
      <c r="Y262">
        <v>0.50238986569677957</v>
      </c>
      <c r="Z262">
        <v>0.42137815870317702</v>
      </c>
      <c r="AA262">
        <v>0.71250661459659193</v>
      </c>
      <c r="AB262">
        <v>0.8134312428648639</v>
      </c>
      <c r="AC262">
        <v>0.7084832116917481</v>
      </c>
      <c r="AD262">
        <v>0.60831170850307126</v>
      </c>
      <c r="AE262">
        <v>256.99243372838714</v>
      </c>
      <c r="AF262">
        <v>1005.3550628948036</v>
      </c>
      <c r="AG262">
        <v>1282.8138503750827</v>
      </c>
      <c r="AH262">
        <v>14476.999709294219</v>
      </c>
      <c r="AI262">
        <v>10915.797200944131</v>
      </c>
      <c r="AJ262">
        <v>53210.416099322611</v>
      </c>
      <c r="AK262">
        <v>18637.260971940257</v>
      </c>
      <c r="AL262">
        <v>3311.0666476783717</v>
      </c>
      <c r="AM262">
        <v>410.57671509270153</v>
      </c>
      <c r="AO262">
        <v>42265.724574019339</v>
      </c>
      <c r="AP262">
        <v>13.250594613280734</v>
      </c>
      <c r="AQ262">
        <v>47183.865981526869</v>
      </c>
      <c r="AR262">
        <v>13.407595939563446</v>
      </c>
      <c r="AS262" s="2">
        <f t="shared" ref="AS262:AS325" si="29">AQ262-AO262</f>
        <v>4918.1414075075299</v>
      </c>
      <c r="AT262" s="2">
        <f t="shared" ref="AT262:AT325" si="30">AR262-AP262</f>
        <v>0.15700132628271213</v>
      </c>
      <c r="AV262">
        <f t="shared" ref="AV262:AV325" si="31">$AW$1*AP262-AO262</f>
        <v>1282793.736754054</v>
      </c>
      <c r="AW262">
        <f t="shared" ref="AW262:AW325" si="32">$AW$1*AR262-AQ262</f>
        <v>1293575.7279748176</v>
      </c>
      <c r="AY262">
        <f t="shared" ref="AY262:AY325" si="33">IF(AV262=MAX($AV262:$AW262),1,0)</f>
        <v>0</v>
      </c>
      <c r="AZ262">
        <f t="shared" ref="AZ262:AZ325" si="34">IF(AW262=MAX($AV262:$AW262),1,0)</f>
        <v>1</v>
      </c>
    </row>
    <row r="263" spans="1:52" x14ac:dyDescent="0.2">
      <c r="A263">
        <f t="shared" si="28"/>
        <v>259</v>
      </c>
      <c r="B263">
        <v>2.7790981584700281E-2</v>
      </c>
      <c r="C263">
        <v>3.6779381854052717E-2</v>
      </c>
      <c r="D263">
        <v>3.0630346476385246E-2</v>
      </c>
      <c r="E263">
        <v>8.8921380405065278E-3</v>
      </c>
      <c r="F263">
        <v>3.2704497271645971E-3</v>
      </c>
      <c r="G263">
        <v>1.1318832208438502E-2</v>
      </c>
      <c r="H263">
        <v>4.9005516363371138E-2</v>
      </c>
      <c r="I263">
        <v>0.14916698695002428</v>
      </c>
      <c r="J263">
        <v>0</v>
      </c>
      <c r="K263">
        <v>0.37774719373549226</v>
      </c>
      <c r="L263">
        <v>0.16726461989361555</v>
      </c>
      <c r="M263">
        <v>0.83273538010638448</v>
      </c>
      <c r="N263">
        <v>5.4404327609099599E-2</v>
      </c>
      <c r="O263" s="72">
        <v>0.97727112254439141</v>
      </c>
      <c r="P263">
        <v>0.99933528621101986</v>
      </c>
      <c r="Q263">
        <v>0.98247453214299107</v>
      </c>
      <c r="R263">
        <v>0.5081158109310917</v>
      </c>
      <c r="S263">
        <v>0.35963228248671808</v>
      </c>
      <c r="T263">
        <v>0.2885430516859816</v>
      </c>
      <c r="U263">
        <v>0.76367824344800872</v>
      </c>
      <c r="V263">
        <v>0.64407808357315477</v>
      </c>
      <c r="W263">
        <v>0.50589950931346728</v>
      </c>
      <c r="X263">
        <v>0.46657865958740463</v>
      </c>
      <c r="Y263">
        <v>0.44936836486903808</v>
      </c>
      <c r="Z263">
        <v>0.46465664124636175</v>
      </c>
      <c r="AA263">
        <v>0.60423159104588475</v>
      </c>
      <c r="AB263">
        <v>0.84556229997843591</v>
      </c>
      <c r="AC263">
        <v>0.72065793687263735</v>
      </c>
      <c r="AD263">
        <v>0.6385939595998118</v>
      </c>
      <c r="AE263">
        <v>258.44947362654847</v>
      </c>
      <c r="AF263">
        <v>1007.2448984827628</v>
      </c>
      <c r="AG263">
        <v>1947.4165475344887</v>
      </c>
      <c r="AH263">
        <v>11864.487647270797</v>
      </c>
      <c r="AI263">
        <v>11888.955777327352</v>
      </c>
      <c r="AJ263">
        <v>39237.242687297839</v>
      </c>
      <c r="AK263">
        <v>11555.942740867426</v>
      </c>
      <c r="AL263">
        <v>2499.9197825740953</v>
      </c>
      <c r="AM263">
        <v>321.66606700289105</v>
      </c>
      <c r="AO263">
        <v>40939.357566515944</v>
      </c>
      <c r="AP263">
        <v>13.712859859919439</v>
      </c>
      <c r="AQ263">
        <v>45592.09348456499</v>
      </c>
      <c r="AR263">
        <v>13.914916210899349</v>
      </c>
      <c r="AS263" s="2">
        <f t="shared" si="29"/>
        <v>4652.7359180490457</v>
      </c>
      <c r="AT263" s="2">
        <f t="shared" si="30"/>
        <v>0.2020563509799107</v>
      </c>
      <c r="AV263">
        <f t="shared" si="31"/>
        <v>1330346.6284254279</v>
      </c>
      <c r="AW263">
        <f t="shared" si="32"/>
        <v>1345899.5276053699</v>
      </c>
      <c r="AY263">
        <f t="shared" si="33"/>
        <v>0</v>
      </c>
      <c r="AZ263">
        <f t="shared" si="34"/>
        <v>1</v>
      </c>
    </row>
    <row r="264" spans="1:52" x14ac:dyDescent="0.2">
      <c r="A264">
        <f t="shared" si="28"/>
        <v>260</v>
      </c>
      <c r="B264">
        <v>2.363012777777633E-2</v>
      </c>
      <c r="C264">
        <v>3.4438653045932584E-2</v>
      </c>
      <c r="D264">
        <v>4.9085803756166335E-2</v>
      </c>
      <c r="E264">
        <v>4.7561675526005247E-3</v>
      </c>
      <c r="F264">
        <v>3.388339255377848E-3</v>
      </c>
      <c r="G264">
        <v>4.766828770412037E-3</v>
      </c>
      <c r="H264">
        <v>4.0220439136284036E-2</v>
      </c>
      <c r="I264">
        <v>0.1448026262815969</v>
      </c>
      <c r="J264">
        <v>0</v>
      </c>
      <c r="K264">
        <v>0.41514185632768841</v>
      </c>
      <c r="L264">
        <v>0.20100343700988085</v>
      </c>
      <c r="M264">
        <v>0.79899656299011912</v>
      </c>
      <c r="N264">
        <v>6.5547155223281695E-2</v>
      </c>
      <c r="O264" s="72">
        <v>0.99993758901251728</v>
      </c>
      <c r="P264">
        <v>0.99931120601526457</v>
      </c>
      <c r="Q264">
        <v>0.98754644871305741</v>
      </c>
      <c r="R264">
        <v>0.5406602226063475</v>
      </c>
      <c r="S264">
        <v>0.38466006512955375</v>
      </c>
      <c r="T264">
        <v>0.25457231894036336</v>
      </c>
      <c r="U264">
        <v>0.76395321286942919</v>
      </c>
      <c r="V264">
        <v>0.61992878997949141</v>
      </c>
      <c r="W264">
        <v>0.56095862007920672</v>
      </c>
      <c r="X264">
        <v>0.446716493384755</v>
      </c>
      <c r="Y264">
        <v>0.4618802467832186</v>
      </c>
      <c r="Z264">
        <v>0.48462196094565124</v>
      </c>
      <c r="AA264">
        <v>0.6783552313853447</v>
      </c>
      <c r="AB264">
        <v>0.78607952013765414</v>
      </c>
      <c r="AC264">
        <v>0.69233633957727936</v>
      </c>
      <c r="AD264">
        <v>0.54121354500802532</v>
      </c>
      <c r="AE264">
        <v>208.24025680153082</v>
      </c>
      <c r="AF264">
        <v>870.00491789951309</v>
      </c>
      <c r="AG264">
        <v>1743.9171713226394</v>
      </c>
      <c r="AH264">
        <v>11740.52089389882</v>
      </c>
      <c r="AI264">
        <v>11663.215617240563</v>
      </c>
      <c r="AJ264">
        <v>34185.240209505966</v>
      </c>
      <c r="AK264">
        <v>17324.412853431211</v>
      </c>
      <c r="AL264">
        <v>1430.6415852421262</v>
      </c>
      <c r="AM264">
        <v>397.6040765747785</v>
      </c>
      <c r="AO264">
        <v>40676.954516313504</v>
      </c>
      <c r="AP264">
        <v>12.781052515158278</v>
      </c>
      <c r="AQ264">
        <v>46607.121280662286</v>
      </c>
      <c r="AR264">
        <v>12.905261796101504</v>
      </c>
      <c r="AS264" s="2">
        <f t="shared" si="29"/>
        <v>5930.1667643487817</v>
      </c>
      <c r="AT264" s="2">
        <f t="shared" si="30"/>
        <v>0.12420928094322647</v>
      </c>
      <c r="AV264">
        <f t="shared" si="31"/>
        <v>1237428.2969995143</v>
      </c>
      <c r="AW264">
        <f t="shared" si="32"/>
        <v>1243919.0583294882</v>
      </c>
      <c r="AY264">
        <f t="shared" si="33"/>
        <v>0</v>
      </c>
      <c r="AZ264">
        <f t="shared" si="34"/>
        <v>1</v>
      </c>
    </row>
    <row r="265" spans="1:52" x14ac:dyDescent="0.2">
      <c r="A265">
        <f t="shared" si="28"/>
        <v>261</v>
      </c>
      <c r="B265">
        <v>2.3015407246026361E-2</v>
      </c>
      <c r="C265">
        <v>3.7927550496377527E-2</v>
      </c>
      <c r="D265">
        <v>4.3076084570134454E-2</v>
      </c>
      <c r="E265">
        <v>8.9431450586587129E-3</v>
      </c>
      <c r="F265">
        <v>3.2637116854793867E-3</v>
      </c>
      <c r="G265">
        <v>3.2432716136938642E-3</v>
      </c>
      <c r="H265">
        <v>2.3622161538345791E-2</v>
      </c>
      <c r="I265">
        <v>0.1016910877097577</v>
      </c>
      <c r="J265">
        <v>0</v>
      </c>
      <c r="K265">
        <v>0.45705581492018654</v>
      </c>
      <c r="L265">
        <v>0.19108353957897919</v>
      </c>
      <c r="M265">
        <v>0.80891646042102083</v>
      </c>
      <c r="N265">
        <v>6.9051973668086908E-2</v>
      </c>
      <c r="O265" s="72">
        <v>0.98340108605589682</v>
      </c>
      <c r="P265">
        <v>0.98372248896788639</v>
      </c>
      <c r="Q265">
        <v>0.99134625131552501</v>
      </c>
      <c r="R265">
        <v>0.46792371772998231</v>
      </c>
      <c r="S265">
        <v>0.37785427040708985</v>
      </c>
      <c r="T265">
        <v>0.17065997302958458</v>
      </c>
      <c r="U265">
        <v>0.74179552034014318</v>
      </c>
      <c r="V265">
        <v>0.63037012432795481</v>
      </c>
      <c r="W265">
        <v>0.58153133135090496</v>
      </c>
      <c r="X265">
        <v>0.47212583987076739</v>
      </c>
      <c r="Y265">
        <v>0.43379479324464715</v>
      </c>
      <c r="Z265">
        <v>0.41180465859871462</v>
      </c>
      <c r="AA265">
        <v>0.60389817651752276</v>
      </c>
      <c r="AB265">
        <v>0.75964390914860991</v>
      </c>
      <c r="AC265">
        <v>0.74123612408854722</v>
      </c>
      <c r="AD265">
        <v>0.6016878499698417</v>
      </c>
      <c r="AE265">
        <v>178.27822406149437</v>
      </c>
      <c r="AF265">
        <v>1131.7940588302372</v>
      </c>
      <c r="AG265">
        <v>1607.2278776456621</v>
      </c>
      <c r="AH265">
        <v>16034.848101257143</v>
      </c>
      <c r="AI265">
        <v>13352.731031711646</v>
      </c>
      <c r="AJ265">
        <v>43454.55540188188</v>
      </c>
      <c r="AK265">
        <v>13021.058296845462</v>
      </c>
      <c r="AL265">
        <v>1629.0210492991368</v>
      </c>
      <c r="AM265">
        <v>534.36856580452161</v>
      </c>
      <c r="AO265">
        <v>48650.706542511049</v>
      </c>
      <c r="AP265">
        <v>12.552938479149679</v>
      </c>
      <c r="AQ265">
        <v>49439.121678633303</v>
      </c>
      <c r="AR265">
        <v>12.712049803303163</v>
      </c>
      <c r="AS265" s="2">
        <f t="shared" si="29"/>
        <v>788.4151361222539</v>
      </c>
      <c r="AT265" s="2">
        <f t="shared" si="30"/>
        <v>0.15911132415348384</v>
      </c>
      <c r="AV265">
        <f t="shared" si="31"/>
        <v>1206643.1413724569</v>
      </c>
      <c r="AW265">
        <f t="shared" si="32"/>
        <v>1221765.858651683</v>
      </c>
      <c r="AY265">
        <f t="shared" si="33"/>
        <v>0</v>
      </c>
      <c r="AZ265">
        <f t="shared" si="34"/>
        <v>1</v>
      </c>
    </row>
    <row r="266" spans="1:52" x14ac:dyDescent="0.2">
      <c r="A266">
        <f t="shared" si="28"/>
        <v>262</v>
      </c>
      <c r="B266">
        <v>2.7515954252927521E-2</v>
      </c>
      <c r="C266">
        <v>3.3297980012883747E-2</v>
      </c>
      <c r="D266">
        <v>4.918301691341076E-2</v>
      </c>
      <c r="E266">
        <v>2.2648189651260253E-2</v>
      </c>
      <c r="F266">
        <v>3.4122678626541392E-3</v>
      </c>
      <c r="G266">
        <v>1.5079731034886135E-2</v>
      </c>
      <c r="H266">
        <v>2.4315509225939978E-2</v>
      </c>
      <c r="I266">
        <v>0.13442556763696745</v>
      </c>
      <c r="J266">
        <v>0</v>
      </c>
      <c r="K266">
        <v>0.46089345805675819</v>
      </c>
      <c r="L266">
        <v>0.25441729711406424</v>
      </c>
      <c r="M266">
        <v>0.74558270288593576</v>
      </c>
      <c r="N266">
        <v>7.3055230489119993E-2</v>
      </c>
      <c r="O266" s="72">
        <v>0.99965251889925177</v>
      </c>
      <c r="P266">
        <v>0.99998331391507955</v>
      </c>
      <c r="Q266">
        <v>0.98587184865805999</v>
      </c>
      <c r="R266">
        <v>0.50486620628373013</v>
      </c>
      <c r="S266">
        <v>0.39708931509379009</v>
      </c>
      <c r="T266">
        <v>0.26701112854618481</v>
      </c>
      <c r="U266">
        <v>0.75865636856850915</v>
      </c>
      <c r="V266">
        <v>0.66476068566461</v>
      </c>
      <c r="W266">
        <v>0.53240848247574502</v>
      </c>
      <c r="X266">
        <v>0.46719224658231584</v>
      </c>
      <c r="Y266">
        <v>0.44120760796951919</v>
      </c>
      <c r="Z266">
        <v>0.44600213371485997</v>
      </c>
      <c r="AA266">
        <v>0.69376432382832753</v>
      </c>
      <c r="AB266">
        <v>0.80878100020208954</v>
      </c>
      <c r="AC266">
        <v>0.80947005648151538</v>
      </c>
      <c r="AD266">
        <v>0.65864203294442292</v>
      </c>
      <c r="AE266">
        <v>195.84645558767414</v>
      </c>
      <c r="AF266">
        <v>1093.3179388851861</v>
      </c>
      <c r="AG266">
        <v>1848.7308136856027</v>
      </c>
      <c r="AH266">
        <v>11844.969297354457</v>
      </c>
      <c r="AI266">
        <v>11508.836713872826</v>
      </c>
      <c r="AJ266">
        <v>36651.028520538981</v>
      </c>
      <c r="AK266">
        <v>18881.346562979645</v>
      </c>
      <c r="AL266">
        <v>2226.654101108124</v>
      </c>
      <c r="AM266">
        <v>293.26488166682606</v>
      </c>
      <c r="AO266">
        <v>40354.625272122023</v>
      </c>
      <c r="AP266">
        <v>13.386219846836493</v>
      </c>
      <c r="AQ266">
        <v>44990.155916885276</v>
      </c>
      <c r="AR266">
        <v>13.591808358664125</v>
      </c>
      <c r="AS266" s="2">
        <f t="shared" si="29"/>
        <v>4635.5306447632538</v>
      </c>
      <c r="AT266" s="2">
        <f t="shared" si="30"/>
        <v>0.20558851182763149</v>
      </c>
      <c r="AV266">
        <f t="shared" si="31"/>
        <v>1298267.3594115274</v>
      </c>
      <c r="AW266">
        <f t="shared" si="32"/>
        <v>1314190.6799495271</v>
      </c>
      <c r="AY266">
        <f t="shared" si="33"/>
        <v>0</v>
      </c>
      <c r="AZ266">
        <f t="shared" si="34"/>
        <v>1</v>
      </c>
    </row>
    <row r="267" spans="1:52" x14ac:dyDescent="0.2">
      <c r="A267">
        <f t="shared" si="28"/>
        <v>263</v>
      </c>
      <c r="B267">
        <v>2.5182248298719068E-2</v>
      </c>
      <c r="C267">
        <v>3.6331736868675205E-2</v>
      </c>
      <c r="D267">
        <v>4.0667132256408833E-2</v>
      </c>
      <c r="E267">
        <v>4.4568485317585584E-3</v>
      </c>
      <c r="F267">
        <v>3.4159799844526439E-3</v>
      </c>
      <c r="G267">
        <v>1.1662386879518656E-2</v>
      </c>
      <c r="H267">
        <v>1.7947089378411316E-2</v>
      </c>
      <c r="I267">
        <v>0.13376138668702331</v>
      </c>
      <c r="J267">
        <v>0</v>
      </c>
      <c r="K267">
        <v>0.42638632096622231</v>
      </c>
      <c r="L267">
        <v>0.18211971148301895</v>
      </c>
      <c r="M267">
        <v>0.81788028851698102</v>
      </c>
      <c r="N267">
        <v>6.4714726111070986E-2</v>
      </c>
      <c r="O267" s="72">
        <v>0.99432701224079523</v>
      </c>
      <c r="P267">
        <v>0.99925478651867206</v>
      </c>
      <c r="Q267">
        <v>0.95135538337230863</v>
      </c>
      <c r="R267">
        <v>0.52876372532072347</v>
      </c>
      <c r="S267">
        <v>0.44964341786854711</v>
      </c>
      <c r="T267">
        <v>0.18049437156561343</v>
      </c>
      <c r="U267">
        <v>0.77888122169040885</v>
      </c>
      <c r="V267">
        <v>0.67028331473015745</v>
      </c>
      <c r="W267">
        <v>0.49726498846778305</v>
      </c>
      <c r="X267">
        <v>0.48365087873818136</v>
      </c>
      <c r="Y267">
        <v>0.43919890310752185</v>
      </c>
      <c r="Z267">
        <v>0.47911636070613961</v>
      </c>
      <c r="AA267">
        <v>0.62925908372417405</v>
      </c>
      <c r="AB267">
        <v>0.84778822914313512</v>
      </c>
      <c r="AC267">
        <v>0.70898735456271866</v>
      </c>
      <c r="AD267">
        <v>0.64155763080060635</v>
      </c>
      <c r="AE267">
        <v>184.20695581540434</v>
      </c>
      <c r="AF267">
        <v>1084.7704062860137</v>
      </c>
      <c r="AG267">
        <v>1621.2390315107043</v>
      </c>
      <c r="AH267">
        <v>11079.224252248398</v>
      </c>
      <c r="AI267">
        <v>11825.059233949431</v>
      </c>
      <c r="AJ267">
        <v>38392.795865484441</v>
      </c>
      <c r="AK267">
        <v>14232.409135232476</v>
      </c>
      <c r="AL267">
        <v>2113.9804377358478</v>
      </c>
      <c r="AM267">
        <v>410.62861771832303</v>
      </c>
      <c r="AO267">
        <v>42284.84971322005</v>
      </c>
      <c r="AP267">
        <v>13.703198102730319</v>
      </c>
      <c r="AQ267">
        <v>46954.362895948791</v>
      </c>
      <c r="AR267">
        <v>13.926757194017906</v>
      </c>
      <c r="AS267" s="2">
        <f t="shared" si="29"/>
        <v>4669.5131827287405</v>
      </c>
      <c r="AT267" s="2">
        <f t="shared" si="30"/>
        <v>0.22355909128758711</v>
      </c>
      <c r="AV267">
        <f t="shared" si="31"/>
        <v>1328034.9605598119</v>
      </c>
      <c r="AW267">
        <f t="shared" si="32"/>
        <v>1345721.3565058417</v>
      </c>
      <c r="AY267">
        <f t="shared" si="33"/>
        <v>0</v>
      </c>
      <c r="AZ267">
        <f t="shared" si="34"/>
        <v>1</v>
      </c>
    </row>
    <row r="268" spans="1:52" x14ac:dyDescent="0.2">
      <c r="A268">
        <f t="shared" si="28"/>
        <v>264</v>
      </c>
      <c r="B268">
        <v>2.0339347996077239E-2</v>
      </c>
      <c r="C268">
        <v>3.4496191807030271E-2</v>
      </c>
      <c r="D268">
        <v>3.1299859607107551E-2</v>
      </c>
      <c r="E268">
        <v>3.8741024798990297E-3</v>
      </c>
      <c r="F268">
        <v>3.2813825434366119E-3</v>
      </c>
      <c r="G268">
        <v>6.0570588174741194E-3</v>
      </c>
      <c r="H268">
        <v>3.3772389031424321E-2</v>
      </c>
      <c r="I268">
        <v>0.13198388713938547</v>
      </c>
      <c r="J268">
        <v>0</v>
      </c>
      <c r="K268">
        <v>0.41063445097751589</v>
      </c>
      <c r="L268">
        <v>0.23175073225628484</v>
      </c>
      <c r="M268">
        <v>0.76824926774371516</v>
      </c>
      <c r="N268">
        <v>6.832797153456216E-2</v>
      </c>
      <c r="O268" s="72">
        <v>0.99575897346417341</v>
      </c>
      <c r="P268">
        <v>0.99979709119642013</v>
      </c>
      <c r="Q268">
        <v>0.97142047408820886</v>
      </c>
      <c r="R268">
        <v>0.499053805516533</v>
      </c>
      <c r="S268">
        <v>0.41230366492349158</v>
      </c>
      <c r="T268">
        <v>0.12142693755418821</v>
      </c>
      <c r="U268">
        <v>0.76439956895845507</v>
      </c>
      <c r="V268">
        <v>0.70494472222280891</v>
      </c>
      <c r="W268">
        <v>0.5066796575623943</v>
      </c>
      <c r="X268">
        <v>0.42540421002712464</v>
      </c>
      <c r="Y268">
        <v>0.42811943777804318</v>
      </c>
      <c r="Z268">
        <v>0.47984101729108242</v>
      </c>
      <c r="AA268">
        <v>0.71136133746433117</v>
      </c>
      <c r="AB268">
        <v>0.8381153908968737</v>
      </c>
      <c r="AC268">
        <v>0.74943779201298688</v>
      </c>
      <c r="AD268">
        <v>0.59483425295545944</v>
      </c>
      <c r="AE268">
        <v>185.91841398417935</v>
      </c>
      <c r="AF268">
        <v>1108.0176122969056</v>
      </c>
      <c r="AG268">
        <v>1845.7085060376041</v>
      </c>
      <c r="AH268">
        <v>10029.65636513278</v>
      </c>
      <c r="AI268">
        <v>8964.4908275274356</v>
      </c>
      <c r="AJ268">
        <v>42948.465672587401</v>
      </c>
      <c r="AK268">
        <v>10132.834863053991</v>
      </c>
      <c r="AL268">
        <v>1930.6037314449354</v>
      </c>
      <c r="AM268">
        <v>270.55304504840257</v>
      </c>
      <c r="AO268">
        <v>44184.224055217332</v>
      </c>
      <c r="AP268">
        <v>13.585172582110703</v>
      </c>
      <c r="AQ268">
        <v>44660.998063790052</v>
      </c>
      <c r="AR268">
        <v>13.803554359674601</v>
      </c>
      <c r="AS268" s="2">
        <f t="shared" si="29"/>
        <v>476.77400857272005</v>
      </c>
      <c r="AT268" s="2">
        <f t="shared" si="30"/>
        <v>0.21838177756389854</v>
      </c>
      <c r="AV268">
        <f t="shared" si="31"/>
        <v>1314333.0341558529</v>
      </c>
      <c r="AW268">
        <f t="shared" si="32"/>
        <v>1335694.4379036699</v>
      </c>
      <c r="AY268">
        <f t="shared" si="33"/>
        <v>0</v>
      </c>
      <c r="AZ268">
        <f t="shared" si="34"/>
        <v>1</v>
      </c>
    </row>
    <row r="269" spans="1:52" x14ac:dyDescent="0.2">
      <c r="A269">
        <f t="shared" si="28"/>
        <v>265</v>
      </c>
      <c r="B269">
        <v>2.231652798668611E-2</v>
      </c>
      <c r="C269">
        <v>3.7593643513813557E-2</v>
      </c>
      <c r="D269">
        <v>2.2985651630323921E-2</v>
      </c>
      <c r="E269">
        <v>1.3189012001886491E-2</v>
      </c>
      <c r="F269">
        <v>3.3951581741816783E-3</v>
      </c>
      <c r="G269">
        <v>1.5344042521669027E-3</v>
      </c>
      <c r="H269">
        <v>1.7635997989383298E-2</v>
      </c>
      <c r="I269">
        <v>0.12718255903172543</v>
      </c>
      <c r="J269">
        <v>0</v>
      </c>
      <c r="K269">
        <v>0.44508119987773243</v>
      </c>
      <c r="L269">
        <v>0.22454152490425727</v>
      </c>
      <c r="M269">
        <v>0.77545847509574273</v>
      </c>
      <c r="N269">
        <v>4.3150803214169531E-2</v>
      </c>
      <c r="O269" s="72">
        <v>0.9999999498511688</v>
      </c>
      <c r="P269">
        <v>0.99925614303449828</v>
      </c>
      <c r="Q269">
        <v>0.95705275429859404</v>
      </c>
      <c r="R269">
        <v>0.45734318758436898</v>
      </c>
      <c r="S269">
        <v>0.39853602101267505</v>
      </c>
      <c r="T269">
        <v>0.22620313442476314</v>
      </c>
      <c r="U269">
        <v>0.77760766499011846</v>
      </c>
      <c r="V269">
        <v>0.66137920653455384</v>
      </c>
      <c r="W269">
        <v>0.47451590405474398</v>
      </c>
      <c r="X269">
        <v>0.52052941361619087</v>
      </c>
      <c r="Y269">
        <v>0.40852901579129086</v>
      </c>
      <c r="Z269">
        <v>0.42019537224730669</v>
      </c>
      <c r="AA269">
        <v>0.68748044968515132</v>
      </c>
      <c r="AB269">
        <v>0.84690776736221252</v>
      </c>
      <c r="AC269">
        <v>0.7329862478169733</v>
      </c>
      <c r="AD269">
        <v>0.5954916402278948</v>
      </c>
      <c r="AE269">
        <v>250.74416386670049</v>
      </c>
      <c r="AF269">
        <v>1160.3729536905214</v>
      </c>
      <c r="AG269">
        <v>1666.2605733953064</v>
      </c>
      <c r="AH269">
        <v>12999.123312598453</v>
      </c>
      <c r="AI269">
        <v>11409.999058692323</v>
      </c>
      <c r="AJ269">
        <v>39728.887261310119</v>
      </c>
      <c r="AK269">
        <v>8699.2756861650159</v>
      </c>
      <c r="AL269">
        <v>1984.5598605390883</v>
      </c>
      <c r="AM269">
        <v>461.63083290830446</v>
      </c>
      <c r="AO269">
        <v>46130.924709219296</v>
      </c>
      <c r="AP269">
        <v>13.688779946780889</v>
      </c>
      <c r="AQ269">
        <v>47830.01338853858</v>
      </c>
      <c r="AR269">
        <v>13.897519864508897</v>
      </c>
      <c r="AS269" s="2">
        <f t="shared" si="29"/>
        <v>1699.088679319284</v>
      </c>
      <c r="AT269" s="2">
        <f t="shared" si="30"/>
        <v>0.20873991772800871</v>
      </c>
      <c r="AV269">
        <f t="shared" si="31"/>
        <v>1322747.0699688697</v>
      </c>
      <c r="AW269">
        <f t="shared" si="32"/>
        <v>1341921.9730623513</v>
      </c>
      <c r="AY269">
        <f t="shared" si="33"/>
        <v>0</v>
      </c>
      <c r="AZ269">
        <f t="shared" si="34"/>
        <v>1</v>
      </c>
    </row>
    <row r="270" spans="1:52" x14ac:dyDescent="0.2">
      <c r="A270">
        <f t="shared" si="28"/>
        <v>266</v>
      </c>
      <c r="B270">
        <v>2.4263508219606836E-2</v>
      </c>
      <c r="C270">
        <v>3.2451727063829566E-2</v>
      </c>
      <c r="D270">
        <v>4.7316251485043925E-2</v>
      </c>
      <c r="E270">
        <v>1.4570686822820589E-2</v>
      </c>
      <c r="F270">
        <v>3.3794622001269703E-3</v>
      </c>
      <c r="G270">
        <v>1.7447367880585984E-2</v>
      </c>
      <c r="H270">
        <v>2.6921171407869992E-2</v>
      </c>
      <c r="I270">
        <v>0.11434408092497661</v>
      </c>
      <c r="J270">
        <v>0</v>
      </c>
      <c r="K270">
        <v>0.47500544684054935</v>
      </c>
      <c r="L270">
        <v>0.18607381163324296</v>
      </c>
      <c r="M270">
        <v>0.81392618836675701</v>
      </c>
      <c r="N270">
        <v>6.0258391114675347E-2</v>
      </c>
      <c r="O270" s="72">
        <v>0.98829012897505286</v>
      </c>
      <c r="P270">
        <v>0.99986028702582119</v>
      </c>
      <c r="Q270">
        <v>0.98324850028334576</v>
      </c>
      <c r="R270">
        <v>0.53202410498459851</v>
      </c>
      <c r="S270">
        <v>0.40891307978192659</v>
      </c>
      <c r="T270">
        <v>0.28127597936586091</v>
      </c>
      <c r="U270">
        <v>0.75685360561038251</v>
      </c>
      <c r="V270">
        <v>0.657311366323032</v>
      </c>
      <c r="W270">
        <v>0.57367189482869407</v>
      </c>
      <c r="X270">
        <v>0.47724054704946917</v>
      </c>
      <c r="Y270">
        <v>0.48016764224878328</v>
      </c>
      <c r="Z270">
        <v>0.47644366821522743</v>
      </c>
      <c r="AA270">
        <v>0.6724905114120403</v>
      </c>
      <c r="AB270">
        <v>0.78681047300821971</v>
      </c>
      <c r="AC270">
        <v>0.66905446330252205</v>
      </c>
      <c r="AD270">
        <v>0.53704241390697538</v>
      </c>
      <c r="AE270">
        <v>272.17121628709617</v>
      </c>
      <c r="AF270">
        <v>1024.1592031214038</v>
      </c>
      <c r="AG270">
        <v>1669.0920324563881</v>
      </c>
      <c r="AH270">
        <v>13740.754104864678</v>
      </c>
      <c r="AI270">
        <v>8450.4545222229008</v>
      </c>
      <c r="AJ270">
        <v>37142.85551019288</v>
      </c>
      <c r="AK270">
        <v>14869.847801955344</v>
      </c>
      <c r="AL270">
        <v>1737.8688055014386</v>
      </c>
      <c r="AM270">
        <v>387.80589726026005</v>
      </c>
      <c r="AO270">
        <v>40434.837504750307</v>
      </c>
      <c r="AP270">
        <v>12.746831591476802</v>
      </c>
      <c r="AQ270">
        <v>46629.410978169384</v>
      </c>
      <c r="AR270">
        <v>12.868766210057331</v>
      </c>
      <c r="AS270" s="2">
        <f t="shared" si="29"/>
        <v>6194.5734734190773</v>
      </c>
      <c r="AT270" s="2">
        <f t="shared" si="30"/>
        <v>0.12193461858052856</v>
      </c>
      <c r="AV270">
        <f t="shared" si="31"/>
        <v>1234248.3216429299</v>
      </c>
      <c r="AW270">
        <f t="shared" si="32"/>
        <v>1240247.2100275636</v>
      </c>
      <c r="AY270">
        <f t="shared" si="33"/>
        <v>0</v>
      </c>
      <c r="AZ270">
        <f t="shared" si="34"/>
        <v>1</v>
      </c>
    </row>
    <row r="271" spans="1:52" x14ac:dyDescent="0.2">
      <c r="A271">
        <f t="shared" si="28"/>
        <v>267</v>
      </c>
      <c r="B271">
        <v>2.2509109696008476E-2</v>
      </c>
      <c r="C271">
        <v>3.9228046054175181E-2</v>
      </c>
      <c r="D271">
        <v>5.3051142775274673E-2</v>
      </c>
      <c r="E271">
        <v>3.9769739895039397E-3</v>
      </c>
      <c r="F271">
        <v>3.2860683180993191E-3</v>
      </c>
      <c r="G271">
        <v>1.3976224503823631E-2</v>
      </c>
      <c r="H271">
        <v>3.2135075802865676E-2</v>
      </c>
      <c r="I271">
        <v>0.14666485170528032</v>
      </c>
      <c r="J271">
        <v>0</v>
      </c>
      <c r="K271">
        <v>0.43558737448852458</v>
      </c>
      <c r="L271">
        <v>0.25172773859366893</v>
      </c>
      <c r="M271">
        <v>0.74827226140633107</v>
      </c>
      <c r="N271">
        <v>5.3057814590172475E-2</v>
      </c>
      <c r="O271" s="72">
        <v>0.99926909356046678</v>
      </c>
      <c r="P271">
        <v>0.99999933764560389</v>
      </c>
      <c r="Q271">
        <v>0.90681970862767969</v>
      </c>
      <c r="R271">
        <v>0.50778112795566077</v>
      </c>
      <c r="S271">
        <v>0.24791097653035932</v>
      </c>
      <c r="T271">
        <v>0.17744822277089267</v>
      </c>
      <c r="U271">
        <v>0.76144697741880973</v>
      </c>
      <c r="V271">
        <v>0.70381295573727787</v>
      </c>
      <c r="W271">
        <v>0.49509846183735984</v>
      </c>
      <c r="X271">
        <v>0.43070077937836154</v>
      </c>
      <c r="Y271">
        <v>0.49769635166864667</v>
      </c>
      <c r="Z271">
        <v>0.45047756921779192</v>
      </c>
      <c r="AA271">
        <v>0.64447678122597984</v>
      </c>
      <c r="AB271">
        <v>0.80733975866014485</v>
      </c>
      <c r="AC271">
        <v>0.75949752534390591</v>
      </c>
      <c r="AD271">
        <v>0.47724012531458004</v>
      </c>
      <c r="AE271">
        <v>199.69262052821651</v>
      </c>
      <c r="AF271">
        <v>1076.015210547012</v>
      </c>
      <c r="AG271">
        <v>1761.9847830278718</v>
      </c>
      <c r="AH271">
        <v>13950.6017465269</v>
      </c>
      <c r="AI271">
        <v>13067.415899271969</v>
      </c>
      <c r="AJ271">
        <v>33411.169609533223</v>
      </c>
      <c r="AK271">
        <v>12602.692680140022</v>
      </c>
      <c r="AL271">
        <v>1761.6579042076921</v>
      </c>
      <c r="AM271">
        <v>362.34541793586902</v>
      </c>
      <c r="AO271">
        <v>45867.456068892279</v>
      </c>
      <c r="AP271">
        <v>13.040475891311122</v>
      </c>
      <c r="AQ271">
        <v>46380.75020621864</v>
      </c>
      <c r="AR271">
        <v>13.231536503515345</v>
      </c>
      <c r="AS271" s="2">
        <f t="shared" si="29"/>
        <v>513.29413732636021</v>
      </c>
      <c r="AT271" s="2">
        <f t="shared" si="30"/>
        <v>0.19106061220422355</v>
      </c>
      <c r="AV271">
        <f t="shared" si="31"/>
        <v>1258180.1330622199</v>
      </c>
      <c r="AW271">
        <f t="shared" si="32"/>
        <v>1276772.900145316</v>
      </c>
      <c r="AY271">
        <f t="shared" si="33"/>
        <v>0</v>
      </c>
      <c r="AZ271">
        <f t="shared" si="34"/>
        <v>1</v>
      </c>
    </row>
    <row r="272" spans="1:52" x14ac:dyDescent="0.2">
      <c r="A272">
        <f t="shared" si="28"/>
        <v>268</v>
      </c>
      <c r="B272">
        <v>2.2922023683530642E-2</v>
      </c>
      <c r="C272">
        <v>3.4619546902305155E-2</v>
      </c>
      <c r="D272">
        <v>1.7536078193025988E-2</v>
      </c>
      <c r="E272">
        <v>2.1698094849208149E-2</v>
      </c>
      <c r="F272">
        <v>3.3399427107528856E-3</v>
      </c>
      <c r="G272">
        <v>8.2792561154196673E-3</v>
      </c>
      <c r="H272">
        <v>2.0025723043069227E-2</v>
      </c>
      <c r="I272">
        <v>0.11804401172550354</v>
      </c>
      <c r="J272">
        <v>0</v>
      </c>
      <c r="K272">
        <v>0.45986234951041471</v>
      </c>
      <c r="L272">
        <v>0.18469358619220774</v>
      </c>
      <c r="M272">
        <v>0.81530641380779223</v>
      </c>
      <c r="N272">
        <v>5.3100265688690231E-2</v>
      </c>
      <c r="O272" s="72">
        <v>0.99921814526029495</v>
      </c>
      <c r="P272">
        <v>0.99750471744018609</v>
      </c>
      <c r="Q272">
        <v>0.99192619357042533</v>
      </c>
      <c r="R272">
        <v>0.51622846733775996</v>
      </c>
      <c r="S272">
        <v>0.44942196991502492</v>
      </c>
      <c r="T272">
        <v>0.26812890177244175</v>
      </c>
      <c r="U272">
        <v>0.77034762591702133</v>
      </c>
      <c r="V272">
        <v>0.63218115910308581</v>
      </c>
      <c r="W272">
        <v>0.46014148285229528</v>
      </c>
      <c r="X272">
        <v>0.43714350922293649</v>
      </c>
      <c r="Y272">
        <v>0.44701670691099615</v>
      </c>
      <c r="Z272">
        <v>0.48163619049233375</v>
      </c>
      <c r="AA272">
        <v>0.76810473464852624</v>
      </c>
      <c r="AB272">
        <v>0.8025826337550086</v>
      </c>
      <c r="AC272">
        <v>0.76843014095454254</v>
      </c>
      <c r="AD272">
        <v>0.61913972691371155</v>
      </c>
      <c r="AE272">
        <v>154.42984826860632</v>
      </c>
      <c r="AF272">
        <v>1211.2767177606854</v>
      </c>
      <c r="AG272">
        <v>1371.0273653013094</v>
      </c>
      <c r="AH272">
        <v>12024.528298655609</v>
      </c>
      <c r="AI272">
        <v>9419.8477147074573</v>
      </c>
      <c r="AJ272">
        <v>37414.206136129156</v>
      </c>
      <c r="AK272">
        <v>11030.651077758961</v>
      </c>
      <c r="AL272">
        <v>694.71337058276845</v>
      </c>
      <c r="AM272">
        <v>410.01595756574949</v>
      </c>
      <c r="AO272">
        <v>40806.463290376698</v>
      </c>
      <c r="AP272">
        <v>13.228208101969523</v>
      </c>
      <c r="AQ272">
        <v>46833.845940509644</v>
      </c>
      <c r="AR272">
        <v>13.379278953452809</v>
      </c>
      <c r="AS272" s="2">
        <f t="shared" si="29"/>
        <v>6027.3826501329459</v>
      </c>
      <c r="AT272" s="2">
        <f t="shared" si="30"/>
        <v>0.15107085148328636</v>
      </c>
      <c r="AV272">
        <f t="shared" si="31"/>
        <v>1282014.3469065756</v>
      </c>
      <c r="AW272">
        <f t="shared" si="32"/>
        <v>1291094.0494047713</v>
      </c>
      <c r="AY272">
        <f t="shared" si="33"/>
        <v>0</v>
      </c>
      <c r="AZ272">
        <f t="shared" si="34"/>
        <v>1</v>
      </c>
    </row>
    <row r="273" spans="1:52" x14ac:dyDescent="0.2">
      <c r="A273">
        <f t="shared" si="28"/>
        <v>269</v>
      </c>
      <c r="B273">
        <v>2.8555603472047664E-2</v>
      </c>
      <c r="C273">
        <v>3.8454198569289444E-2</v>
      </c>
      <c r="D273">
        <v>3.9805665816084135E-2</v>
      </c>
      <c r="E273">
        <v>6.9961538797906455E-3</v>
      </c>
      <c r="F273">
        <v>3.3105503801510142E-3</v>
      </c>
      <c r="G273">
        <v>1.3079263263990337E-2</v>
      </c>
      <c r="H273">
        <v>1.3303792335131513E-2</v>
      </c>
      <c r="I273">
        <v>0.1148128341080621</v>
      </c>
      <c r="J273">
        <v>0</v>
      </c>
      <c r="K273">
        <v>0.43903392126244256</v>
      </c>
      <c r="L273">
        <v>0.12219170390853545</v>
      </c>
      <c r="M273">
        <v>0.8778082960914646</v>
      </c>
      <c r="N273">
        <v>5.7202885415940874E-2</v>
      </c>
      <c r="O273" s="72">
        <v>0.88427377656625206</v>
      </c>
      <c r="P273">
        <v>0.94158133939909838</v>
      </c>
      <c r="Q273">
        <v>0.9536696036992085</v>
      </c>
      <c r="R273">
        <v>0.49011256419095217</v>
      </c>
      <c r="S273">
        <v>0.41635882015820913</v>
      </c>
      <c r="T273">
        <v>0.19183903331143259</v>
      </c>
      <c r="U273">
        <v>0.7597014158783757</v>
      </c>
      <c r="V273">
        <v>0.68579071580173945</v>
      </c>
      <c r="W273">
        <v>0.52036553200774294</v>
      </c>
      <c r="X273">
        <v>0.39587125725935285</v>
      </c>
      <c r="Y273">
        <v>0.49142730324944861</v>
      </c>
      <c r="Z273">
        <v>0.41937172202300937</v>
      </c>
      <c r="AA273">
        <v>0.55997268417452439</v>
      </c>
      <c r="AB273">
        <v>0.89753827314557932</v>
      </c>
      <c r="AC273">
        <v>0.64475150421160177</v>
      </c>
      <c r="AD273">
        <v>0.59023420070613231</v>
      </c>
      <c r="AE273">
        <v>187.90794197154628</v>
      </c>
      <c r="AF273">
        <v>995.39861346923328</v>
      </c>
      <c r="AG273">
        <v>1377.4905692047946</v>
      </c>
      <c r="AH273">
        <v>12070.094437002304</v>
      </c>
      <c r="AI273">
        <v>9770.593872464231</v>
      </c>
      <c r="AJ273">
        <v>32687.525418495763</v>
      </c>
      <c r="AK273">
        <v>8420.2779313577867</v>
      </c>
      <c r="AL273">
        <v>1670.0408745084835</v>
      </c>
      <c r="AM273">
        <v>378.11916081120228</v>
      </c>
      <c r="AO273">
        <v>43631.581739169531</v>
      </c>
      <c r="AP273">
        <v>14.13278305715404</v>
      </c>
      <c r="AQ273">
        <v>48839.3433062529</v>
      </c>
      <c r="AR273">
        <v>14.417611541557871</v>
      </c>
      <c r="AS273" s="2">
        <f t="shared" si="29"/>
        <v>5207.7615670833693</v>
      </c>
      <c r="AT273" s="2">
        <f t="shared" si="30"/>
        <v>0.28482848440383179</v>
      </c>
      <c r="AV273">
        <f t="shared" si="31"/>
        <v>1369646.7239762344</v>
      </c>
      <c r="AW273">
        <f t="shared" si="32"/>
        <v>1392921.8108495341</v>
      </c>
      <c r="AY273">
        <f t="shared" si="33"/>
        <v>0</v>
      </c>
      <c r="AZ273">
        <f t="shared" si="34"/>
        <v>1</v>
      </c>
    </row>
    <row r="274" spans="1:52" x14ac:dyDescent="0.2">
      <c r="A274">
        <f t="shared" si="28"/>
        <v>270</v>
      </c>
      <c r="B274">
        <v>2.9998225508030663E-2</v>
      </c>
      <c r="C274">
        <v>2.9443718723787184E-2</v>
      </c>
      <c r="D274">
        <v>2.4609746377467764E-2</v>
      </c>
      <c r="E274">
        <v>1.4879354721573423E-2</v>
      </c>
      <c r="F274">
        <v>3.2807753370776116E-3</v>
      </c>
      <c r="G274">
        <v>1.7955654016919342E-2</v>
      </c>
      <c r="H274">
        <v>2.0735494482351409E-2</v>
      </c>
      <c r="I274">
        <v>0.1377731191086824</v>
      </c>
      <c r="J274">
        <v>0</v>
      </c>
      <c r="K274">
        <v>0.42732115753277256</v>
      </c>
      <c r="L274">
        <v>0.19881352579527406</v>
      </c>
      <c r="M274">
        <v>0.80118647420472588</v>
      </c>
      <c r="N274">
        <v>3.8047489745034545E-2</v>
      </c>
      <c r="O274" s="72">
        <v>0.95496300919333577</v>
      </c>
      <c r="P274">
        <v>0.97978067853507378</v>
      </c>
      <c r="Q274">
        <v>0.95877279869688858</v>
      </c>
      <c r="R274">
        <v>0.48307568621578056</v>
      </c>
      <c r="S274">
        <v>0.42445481209734914</v>
      </c>
      <c r="T274">
        <v>0.12442812709262596</v>
      </c>
      <c r="U274">
        <v>0.74804219722245646</v>
      </c>
      <c r="V274">
        <v>0.66457634584252689</v>
      </c>
      <c r="W274">
        <v>0.61991943663779225</v>
      </c>
      <c r="X274">
        <v>0.49550158112172749</v>
      </c>
      <c r="Y274">
        <v>0.40669794808425969</v>
      </c>
      <c r="Z274">
        <v>0.44649698009006555</v>
      </c>
      <c r="AA274">
        <v>0.66487046286246332</v>
      </c>
      <c r="AB274">
        <v>0.84712450701458497</v>
      </c>
      <c r="AC274">
        <v>0.6945957122014228</v>
      </c>
      <c r="AD274">
        <v>0.52169377075149381</v>
      </c>
      <c r="AE274">
        <v>219.80858892217586</v>
      </c>
      <c r="AF274">
        <v>1065.7351665825715</v>
      </c>
      <c r="AG274">
        <v>1591.638701757943</v>
      </c>
      <c r="AH274">
        <v>10454.366134418964</v>
      </c>
      <c r="AI274">
        <v>12029.380094497932</v>
      </c>
      <c r="AJ274">
        <v>35695.21617331903</v>
      </c>
      <c r="AK274">
        <v>8820.8032719951279</v>
      </c>
      <c r="AL274">
        <v>2148.9835019598831</v>
      </c>
      <c r="AM274">
        <v>380.13576111668948</v>
      </c>
      <c r="AO274">
        <v>46005.624643918214</v>
      </c>
      <c r="AP274">
        <v>13.52585499850349</v>
      </c>
      <c r="AQ274">
        <v>47223.735833354134</v>
      </c>
      <c r="AR274">
        <v>13.726563276969404</v>
      </c>
      <c r="AS274" s="2">
        <f t="shared" si="29"/>
        <v>1218.1111894359201</v>
      </c>
      <c r="AT274" s="2">
        <f t="shared" si="30"/>
        <v>0.20070827846591399</v>
      </c>
      <c r="AV274">
        <f t="shared" si="31"/>
        <v>1306579.8752064309</v>
      </c>
      <c r="AW274">
        <f t="shared" si="32"/>
        <v>1325432.5918635863</v>
      </c>
      <c r="AY274">
        <f t="shared" si="33"/>
        <v>0</v>
      </c>
      <c r="AZ274">
        <f t="shared" si="34"/>
        <v>1</v>
      </c>
    </row>
    <row r="275" spans="1:52" x14ac:dyDescent="0.2">
      <c r="A275">
        <f t="shared" si="28"/>
        <v>271</v>
      </c>
      <c r="B275">
        <v>2.5372366052579975E-2</v>
      </c>
      <c r="C275">
        <v>3.4215223763407E-2</v>
      </c>
      <c r="D275">
        <v>3.7012335234399507E-2</v>
      </c>
      <c r="E275">
        <v>1.3696324542941785E-2</v>
      </c>
      <c r="F275">
        <v>3.4744429112018027E-3</v>
      </c>
      <c r="G275">
        <v>1.9142723254027788E-3</v>
      </c>
      <c r="H275">
        <v>1.0464203592340066E-2</v>
      </c>
      <c r="I275">
        <v>0.13389668020464063</v>
      </c>
      <c r="J275">
        <v>0</v>
      </c>
      <c r="K275">
        <v>0.40424066911646434</v>
      </c>
      <c r="L275">
        <v>0.19529640874119938</v>
      </c>
      <c r="M275">
        <v>0.80470359125880064</v>
      </c>
      <c r="N275">
        <v>5.4748229334430236E-2</v>
      </c>
      <c r="O275" s="72">
        <v>0.99985428135449517</v>
      </c>
      <c r="P275">
        <v>0.99998053148838095</v>
      </c>
      <c r="Q275">
        <v>0.97670935844443274</v>
      </c>
      <c r="R275">
        <v>0.47428530079619391</v>
      </c>
      <c r="S275">
        <v>0.3868379433696274</v>
      </c>
      <c r="T275">
        <v>0.17777200404202231</v>
      </c>
      <c r="U275">
        <v>0.78552862932735601</v>
      </c>
      <c r="V275">
        <v>0.65824001189906345</v>
      </c>
      <c r="W275">
        <v>0.55858686891610532</v>
      </c>
      <c r="X275">
        <v>0.45257495621990196</v>
      </c>
      <c r="Y275">
        <v>0.42214473311860401</v>
      </c>
      <c r="Z275">
        <v>0.48038684000989329</v>
      </c>
      <c r="AA275">
        <v>0.58138512589628011</v>
      </c>
      <c r="AB275">
        <v>0.72512610187922044</v>
      </c>
      <c r="AC275">
        <v>0.69180954494692137</v>
      </c>
      <c r="AD275">
        <v>0.59540930722468155</v>
      </c>
      <c r="AE275">
        <v>177.70392518712623</v>
      </c>
      <c r="AF275">
        <v>895.24133798068112</v>
      </c>
      <c r="AG275">
        <v>1788.7316716336754</v>
      </c>
      <c r="AH275">
        <v>14266.300661216665</v>
      </c>
      <c r="AI275">
        <v>11009.903673983423</v>
      </c>
      <c r="AJ275">
        <v>40642.22851743245</v>
      </c>
      <c r="AK275">
        <v>9684.5538049493971</v>
      </c>
      <c r="AL275">
        <v>1528.2629546144206</v>
      </c>
      <c r="AM275">
        <v>308.65192368173518</v>
      </c>
      <c r="AO275">
        <v>44229.225989881183</v>
      </c>
      <c r="AP275">
        <v>12.042790472658044</v>
      </c>
      <c r="AQ275">
        <v>45291.285983373215</v>
      </c>
      <c r="AR275">
        <v>12.131817024545539</v>
      </c>
      <c r="AS275" s="2">
        <f t="shared" si="29"/>
        <v>1062.0599934920319</v>
      </c>
      <c r="AT275" s="2">
        <f t="shared" si="30"/>
        <v>8.9026551887494421E-2</v>
      </c>
      <c r="AV275">
        <f t="shared" si="31"/>
        <v>1160049.8212759232</v>
      </c>
      <c r="AW275">
        <f t="shared" si="32"/>
        <v>1167890.4164711807</v>
      </c>
      <c r="AY275">
        <f t="shared" si="33"/>
        <v>0</v>
      </c>
      <c r="AZ275">
        <f t="shared" si="34"/>
        <v>1</v>
      </c>
    </row>
    <row r="276" spans="1:52" x14ac:dyDescent="0.2">
      <c r="A276">
        <f t="shared" si="28"/>
        <v>272</v>
      </c>
      <c r="B276">
        <v>1.8830773093659919E-2</v>
      </c>
      <c r="C276">
        <v>3.3036493486403924E-2</v>
      </c>
      <c r="D276">
        <v>3.0433559389635729E-2</v>
      </c>
      <c r="E276">
        <v>2.5140191225313191E-2</v>
      </c>
      <c r="F276">
        <v>3.2956073729766885E-3</v>
      </c>
      <c r="G276">
        <v>4.2733834149015423E-3</v>
      </c>
      <c r="H276">
        <v>2.416541544645651E-2</v>
      </c>
      <c r="I276">
        <v>0.12586971328795507</v>
      </c>
      <c r="J276">
        <v>0</v>
      </c>
      <c r="K276">
        <v>0.44436597200981354</v>
      </c>
      <c r="L276">
        <v>9.9313679990744488E-2</v>
      </c>
      <c r="M276">
        <v>0.90068632000925553</v>
      </c>
      <c r="N276">
        <v>7.9585924835285371E-2</v>
      </c>
      <c r="O276" s="72">
        <v>0.99941719325521783</v>
      </c>
      <c r="P276">
        <v>0.99998990426170542</v>
      </c>
      <c r="Q276">
        <v>0.97744716815465549</v>
      </c>
      <c r="R276">
        <v>0.48279726658707689</v>
      </c>
      <c r="S276">
        <v>0.44917269036774243</v>
      </c>
      <c r="T276">
        <v>0.21062749300881756</v>
      </c>
      <c r="U276">
        <v>0.7661381949657915</v>
      </c>
      <c r="V276">
        <v>0.63746750294567545</v>
      </c>
      <c r="W276">
        <v>0.58502637093671339</v>
      </c>
      <c r="X276">
        <v>0.4048581454650314</v>
      </c>
      <c r="Y276">
        <v>0.45109845414142302</v>
      </c>
      <c r="Z276">
        <v>0.43118483593653356</v>
      </c>
      <c r="AA276">
        <v>0.71805856314611527</v>
      </c>
      <c r="AB276">
        <v>0.84919423335009236</v>
      </c>
      <c r="AC276">
        <v>0.68572393002428123</v>
      </c>
      <c r="AD276">
        <v>0.51361335355099469</v>
      </c>
      <c r="AE276">
        <v>243.90778422286618</v>
      </c>
      <c r="AF276">
        <v>859.1453561707059</v>
      </c>
      <c r="AG276">
        <v>1054.769246280234</v>
      </c>
      <c r="AH276">
        <v>17225.216508268615</v>
      </c>
      <c r="AI276">
        <v>10904.738912910789</v>
      </c>
      <c r="AJ276">
        <v>40530.498239853339</v>
      </c>
      <c r="AK276">
        <v>12055.587602647118</v>
      </c>
      <c r="AL276">
        <v>2044.9537314877132</v>
      </c>
      <c r="AM276">
        <v>439.03567872415533</v>
      </c>
      <c r="AO276">
        <v>44035.008907530362</v>
      </c>
      <c r="AP276">
        <v>13.540771612945194</v>
      </c>
      <c r="AQ276">
        <v>47376.257365469755</v>
      </c>
      <c r="AR276">
        <v>13.730703923036202</v>
      </c>
      <c r="AS276" s="2">
        <f t="shared" si="29"/>
        <v>3341.2484579393931</v>
      </c>
      <c r="AT276" s="2">
        <f t="shared" si="30"/>
        <v>0.18993231009100775</v>
      </c>
      <c r="AV276">
        <f t="shared" si="31"/>
        <v>1310042.152386989</v>
      </c>
      <c r="AW276">
        <f t="shared" si="32"/>
        <v>1325694.1349381504</v>
      </c>
      <c r="AY276">
        <f t="shared" si="33"/>
        <v>0</v>
      </c>
      <c r="AZ276">
        <f t="shared" si="34"/>
        <v>1</v>
      </c>
    </row>
    <row r="277" spans="1:52" x14ac:dyDescent="0.2">
      <c r="A277">
        <f t="shared" si="28"/>
        <v>273</v>
      </c>
      <c r="B277">
        <v>2.7879693607004263E-2</v>
      </c>
      <c r="C277">
        <v>3.1836362459143987E-2</v>
      </c>
      <c r="D277">
        <v>4.2202629099055033E-2</v>
      </c>
      <c r="E277">
        <v>1.0837680102170117E-2</v>
      </c>
      <c r="F277">
        <v>3.3219303773508089E-3</v>
      </c>
      <c r="G277">
        <v>8.8639430415130491E-3</v>
      </c>
      <c r="H277">
        <v>3.821107111242128E-2</v>
      </c>
      <c r="I277">
        <v>0.12263774037286417</v>
      </c>
      <c r="J277">
        <v>0</v>
      </c>
      <c r="K277">
        <v>0.45927287042170439</v>
      </c>
      <c r="L277">
        <v>0.26871608375606193</v>
      </c>
      <c r="M277">
        <v>0.73128391624393807</v>
      </c>
      <c r="N277">
        <v>5.0804239679937475E-2</v>
      </c>
      <c r="O277" s="72">
        <v>0.99971329168401679</v>
      </c>
      <c r="P277">
        <v>0.99984890943522331</v>
      </c>
      <c r="Q277">
        <v>0.99163890007197097</v>
      </c>
      <c r="R277">
        <v>0.46278108680688546</v>
      </c>
      <c r="S277">
        <v>0.43865541295709842</v>
      </c>
      <c r="T277">
        <v>0.34246323819397206</v>
      </c>
      <c r="U277">
        <v>0.73992251339492932</v>
      </c>
      <c r="V277">
        <v>0.65773876755335026</v>
      </c>
      <c r="W277">
        <v>0.49943548361522405</v>
      </c>
      <c r="X277">
        <v>0.41987222328059703</v>
      </c>
      <c r="Y277">
        <v>0.47942682612789933</v>
      </c>
      <c r="Z277">
        <v>0.43104488880781877</v>
      </c>
      <c r="AA277">
        <v>0.62472201802625593</v>
      </c>
      <c r="AB277">
        <v>0.85000401194614583</v>
      </c>
      <c r="AC277">
        <v>0.72821041811646103</v>
      </c>
      <c r="AD277">
        <v>0.51848403612599225</v>
      </c>
      <c r="AE277">
        <v>295.32203090573654</v>
      </c>
      <c r="AF277">
        <v>1149.7192773858951</v>
      </c>
      <c r="AG277">
        <v>1698.0164029679463</v>
      </c>
      <c r="AH277">
        <v>9350.0966687963592</v>
      </c>
      <c r="AI277">
        <v>14274.679739886409</v>
      </c>
      <c r="AJ277">
        <v>35764.182013845661</v>
      </c>
      <c r="AK277">
        <v>17131.589669591987</v>
      </c>
      <c r="AL277">
        <v>1799.5395053991961</v>
      </c>
      <c r="AM277">
        <v>264.39367065598935</v>
      </c>
      <c r="AO277">
        <v>40771.314169969017</v>
      </c>
      <c r="AP277">
        <v>13.61225428453205</v>
      </c>
      <c r="AQ277">
        <v>44556.41031401803</v>
      </c>
      <c r="AR277">
        <v>13.826032849544452</v>
      </c>
      <c r="AS277" s="2">
        <f t="shared" si="29"/>
        <v>3785.0961440490137</v>
      </c>
      <c r="AT277" s="2">
        <f t="shared" si="30"/>
        <v>0.21377856501240267</v>
      </c>
      <c r="AV277">
        <f t="shared" si="31"/>
        <v>1320454.114283236</v>
      </c>
      <c r="AW277">
        <f t="shared" si="32"/>
        <v>1338046.8746404271</v>
      </c>
      <c r="AY277">
        <f t="shared" si="33"/>
        <v>0</v>
      </c>
      <c r="AZ277">
        <f t="shared" si="34"/>
        <v>1</v>
      </c>
    </row>
    <row r="278" spans="1:52" x14ac:dyDescent="0.2">
      <c r="A278">
        <f t="shared" si="28"/>
        <v>274</v>
      </c>
      <c r="B278">
        <v>2.0988334304699076E-2</v>
      </c>
      <c r="C278">
        <v>3.7436151863819767E-2</v>
      </c>
      <c r="D278">
        <v>2.5454906758272951E-2</v>
      </c>
      <c r="E278">
        <v>4.4642449764088652E-3</v>
      </c>
      <c r="F278">
        <v>3.3919510875233261E-3</v>
      </c>
      <c r="G278">
        <v>1.6537427085475898E-2</v>
      </c>
      <c r="H278">
        <v>5.1383380075126661E-2</v>
      </c>
      <c r="I278">
        <v>0.12452075367367781</v>
      </c>
      <c r="J278">
        <v>0</v>
      </c>
      <c r="K278">
        <v>0.36710786961492725</v>
      </c>
      <c r="L278">
        <v>0.19044065814105726</v>
      </c>
      <c r="M278">
        <v>0.80955934185894274</v>
      </c>
      <c r="N278">
        <v>6.0256830079171264E-2</v>
      </c>
      <c r="O278" s="72">
        <v>0.94932774604403847</v>
      </c>
      <c r="P278">
        <v>0.99916653215828499</v>
      </c>
      <c r="Q278">
        <v>0.98026825374829352</v>
      </c>
      <c r="R278">
        <v>0.46659063290978242</v>
      </c>
      <c r="S278">
        <v>0.37756139609446759</v>
      </c>
      <c r="T278">
        <v>0.22231183686808242</v>
      </c>
      <c r="U278">
        <v>0.73680600942728225</v>
      </c>
      <c r="V278">
        <v>0.70559949355770568</v>
      </c>
      <c r="W278">
        <v>0.4621369561441756</v>
      </c>
      <c r="X278">
        <v>0.42879317765967168</v>
      </c>
      <c r="Y278">
        <v>0.48963823664841333</v>
      </c>
      <c r="Z278">
        <v>0.42777383846425165</v>
      </c>
      <c r="AA278">
        <v>0.70400280052085407</v>
      </c>
      <c r="AB278">
        <v>0.8392537145402772</v>
      </c>
      <c r="AC278">
        <v>0.6856732029688688</v>
      </c>
      <c r="AD278">
        <v>0.57188177733502776</v>
      </c>
      <c r="AE278">
        <v>202.12893203362879</v>
      </c>
      <c r="AF278">
        <v>994.07757839457861</v>
      </c>
      <c r="AG278">
        <v>1184.5596887171976</v>
      </c>
      <c r="AH278">
        <v>17729.891651627386</v>
      </c>
      <c r="AI278">
        <v>13008.827605836606</v>
      </c>
      <c r="AJ278">
        <v>39788.115195710234</v>
      </c>
      <c r="AK278">
        <v>13982.02011378419</v>
      </c>
      <c r="AL278">
        <v>2086.4471526379261</v>
      </c>
      <c r="AM278">
        <v>401.29511517295043</v>
      </c>
      <c r="AO278">
        <v>45095.352651477086</v>
      </c>
      <c r="AP278">
        <v>13.464045030630862</v>
      </c>
      <c r="AQ278">
        <v>47008.582281605661</v>
      </c>
      <c r="AR278">
        <v>13.672855762668513</v>
      </c>
      <c r="AS278" s="2">
        <f t="shared" si="29"/>
        <v>1913.2296301285751</v>
      </c>
      <c r="AT278" s="2">
        <f t="shared" si="30"/>
        <v>0.20881073203765155</v>
      </c>
      <c r="AV278">
        <f t="shared" si="31"/>
        <v>1301309.1504116091</v>
      </c>
      <c r="AW278">
        <f t="shared" si="32"/>
        <v>1320276.9939852457</v>
      </c>
      <c r="AY278">
        <f t="shared" si="33"/>
        <v>0</v>
      </c>
      <c r="AZ278">
        <f t="shared" si="34"/>
        <v>1</v>
      </c>
    </row>
    <row r="279" spans="1:52" x14ac:dyDescent="0.2">
      <c r="A279">
        <f t="shared" si="28"/>
        <v>275</v>
      </c>
      <c r="B279">
        <v>3.043787400819209E-2</v>
      </c>
      <c r="C279">
        <v>3.4628366304060479E-2</v>
      </c>
      <c r="D279">
        <v>3.6299574605518019E-2</v>
      </c>
      <c r="E279">
        <v>5.2909876464383287E-3</v>
      </c>
      <c r="F279">
        <v>3.3246439124200548E-3</v>
      </c>
      <c r="G279">
        <v>1.6892639535373899E-2</v>
      </c>
      <c r="H279">
        <v>2.8903975873837973E-2</v>
      </c>
      <c r="I279">
        <v>0.13123539459691735</v>
      </c>
      <c r="J279">
        <v>0</v>
      </c>
      <c r="K279">
        <v>0.46400361392246081</v>
      </c>
      <c r="L279">
        <v>0.1982453681266268</v>
      </c>
      <c r="M279">
        <v>0.80175463187337326</v>
      </c>
      <c r="N279">
        <v>5.0139577568369717E-2</v>
      </c>
      <c r="O279" s="72">
        <v>0.99992275567813327</v>
      </c>
      <c r="P279">
        <v>0.92956549840220404</v>
      </c>
      <c r="Q279">
        <v>0.98802157126338119</v>
      </c>
      <c r="R279">
        <v>0.49820733943568685</v>
      </c>
      <c r="S279">
        <v>0.39761421841238465</v>
      </c>
      <c r="T279">
        <v>0.21975595518056124</v>
      </c>
      <c r="U279">
        <v>0.77672639693277223</v>
      </c>
      <c r="V279">
        <v>0.6921570755952462</v>
      </c>
      <c r="W279">
        <v>0.55594565603319768</v>
      </c>
      <c r="X279">
        <v>0.42469189492951193</v>
      </c>
      <c r="Y279">
        <v>0.4453359511015853</v>
      </c>
      <c r="Z279">
        <v>0.48189651686104085</v>
      </c>
      <c r="AA279">
        <v>0.74725303508045982</v>
      </c>
      <c r="AB279">
        <v>0.78573953145953324</v>
      </c>
      <c r="AC279">
        <v>0.74919489305926801</v>
      </c>
      <c r="AD279">
        <v>0.61802050871746883</v>
      </c>
      <c r="AE279">
        <v>127.57816869367788</v>
      </c>
      <c r="AF279">
        <v>1004.7538437858185</v>
      </c>
      <c r="AG279">
        <v>1582.0777023102046</v>
      </c>
      <c r="AH279">
        <v>12972.624843482257</v>
      </c>
      <c r="AI279">
        <v>10431.529943648799</v>
      </c>
      <c r="AJ279">
        <v>43880.504467863277</v>
      </c>
      <c r="AK279">
        <v>21798.376124154449</v>
      </c>
      <c r="AL279">
        <v>2628.4557106386928</v>
      </c>
      <c r="AM279">
        <v>386.50765038031767</v>
      </c>
      <c r="AO279">
        <v>42941.072720370161</v>
      </c>
      <c r="AP279">
        <v>12.981095339509809</v>
      </c>
      <c r="AQ279">
        <v>48704.224549316408</v>
      </c>
      <c r="AR279">
        <v>13.106981748485646</v>
      </c>
      <c r="AS279" s="2">
        <f t="shared" si="29"/>
        <v>5763.1518289462474</v>
      </c>
      <c r="AT279" s="2">
        <f t="shared" si="30"/>
        <v>0.12588640897583758</v>
      </c>
      <c r="AV279">
        <f t="shared" si="31"/>
        <v>1255168.4612306105</v>
      </c>
      <c r="AW279">
        <f t="shared" si="32"/>
        <v>1261993.9502992483</v>
      </c>
      <c r="AY279">
        <f t="shared" si="33"/>
        <v>0</v>
      </c>
      <c r="AZ279">
        <f t="shared" si="34"/>
        <v>1</v>
      </c>
    </row>
    <row r="280" spans="1:52" x14ac:dyDescent="0.2">
      <c r="A280">
        <f t="shared" si="28"/>
        <v>276</v>
      </c>
      <c r="B280">
        <v>2.5652222280975412E-2</v>
      </c>
      <c r="C280">
        <v>3.8764770421121919E-2</v>
      </c>
      <c r="D280">
        <v>3.2562760591228264E-2</v>
      </c>
      <c r="E280">
        <v>1.9578085809265455E-2</v>
      </c>
      <c r="F280">
        <v>3.3977623984746685E-3</v>
      </c>
      <c r="G280">
        <v>2.3117652215664641E-2</v>
      </c>
      <c r="H280">
        <v>2.4341806553183968E-2</v>
      </c>
      <c r="I280">
        <v>0.11957408541293461</v>
      </c>
      <c r="J280">
        <v>0</v>
      </c>
      <c r="K280">
        <v>0.4305603305170056</v>
      </c>
      <c r="L280">
        <v>0.22095442024077272</v>
      </c>
      <c r="M280">
        <v>0.77904557975922728</v>
      </c>
      <c r="N280">
        <v>5.4325024517417914E-2</v>
      </c>
      <c r="O280" s="72">
        <v>0.99999984027350519</v>
      </c>
      <c r="P280">
        <v>0.99961352797102609</v>
      </c>
      <c r="Q280">
        <v>0.99323929927236587</v>
      </c>
      <c r="R280">
        <v>0.43782564153572545</v>
      </c>
      <c r="S280">
        <v>0.43826250618476037</v>
      </c>
      <c r="T280">
        <v>0.29798518727216405</v>
      </c>
      <c r="U280">
        <v>0.78088144357044476</v>
      </c>
      <c r="V280">
        <v>0.71294361801844719</v>
      </c>
      <c r="W280">
        <v>0.50446125922111906</v>
      </c>
      <c r="X280">
        <v>0.4704290952557969</v>
      </c>
      <c r="Y280">
        <v>0.46523844071307985</v>
      </c>
      <c r="Z280">
        <v>0.42935832469084534</v>
      </c>
      <c r="AA280">
        <v>0.66409716706227728</v>
      </c>
      <c r="AB280">
        <v>0.85587642575735179</v>
      </c>
      <c r="AC280">
        <v>0.71106741910478932</v>
      </c>
      <c r="AD280">
        <v>0.58591320010228354</v>
      </c>
      <c r="AE280">
        <v>197.83650706523159</v>
      </c>
      <c r="AF280">
        <v>1201.8046267864738</v>
      </c>
      <c r="AG280">
        <v>1840.6679791094634</v>
      </c>
      <c r="AH280">
        <v>11058.76016281058</v>
      </c>
      <c r="AI280">
        <v>14847.536345383058</v>
      </c>
      <c r="AJ280">
        <v>37808.016491634044</v>
      </c>
      <c r="AK280">
        <v>13929.925972476991</v>
      </c>
      <c r="AL280">
        <v>2054.6202517660681</v>
      </c>
      <c r="AM280">
        <v>382.88019606073885</v>
      </c>
      <c r="AO280">
        <v>44365.771135799645</v>
      </c>
      <c r="AP280">
        <v>13.75429617036712</v>
      </c>
      <c r="AQ280">
        <v>46389.200925290985</v>
      </c>
      <c r="AR280">
        <v>13.968892469990697</v>
      </c>
      <c r="AS280" s="2">
        <f t="shared" si="29"/>
        <v>2023.4297894913398</v>
      </c>
      <c r="AT280" s="2">
        <f t="shared" si="30"/>
        <v>0.21459629962357774</v>
      </c>
      <c r="AV280">
        <f t="shared" si="31"/>
        <v>1331063.8459009123</v>
      </c>
      <c r="AW280">
        <f t="shared" si="32"/>
        <v>1350500.0460737788</v>
      </c>
      <c r="AY280">
        <f t="shared" si="33"/>
        <v>0</v>
      </c>
      <c r="AZ280">
        <f t="shared" si="34"/>
        <v>1</v>
      </c>
    </row>
    <row r="281" spans="1:52" x14ac:dyDescent="0.2">
      <c r="A281">
        <f t="shared" si="28"/>
        <v>277</v>
      </c>
      <c r="B281">
        <v>1.8217705019746126E-2</v>
      </c>
      <c r="C281">
        <v>5.0473934112959751E-2</v>
      </c>
      <c r="D281">
        <v>2.2781427872275876E-2</v>
      </c>
      <c r="E281">
        <v>8.534867267321845E-3</v>
      </c>
      <c r="F281">
        <v>3.3772866710218841E-3</v>
      </c>
      <c r="G281">
        <v>1.6591038580519468E-2</v>
      </c>
      <c r="H281">
        <v>3.2339663961407417E-2</v>
      </c>
      <c r="I281">
        <v>0.11384156926804313</v>
      </c>
      <c r="J281">
        <v>0</v>
      </c>
      <c r="K281">
        <v>0.5165928052551555</v>
      </c>
      <c r="L281">
        <v>0.16340573969042888</v>
      </c>
      <c r="M281">
        <v>0.83659426030957107</v>
      </c>
      <c r="N281">
        <v>3.2440600511435172E-2</v>
      </c>
      <c r="O281" s="72">
        <v>0.99992040109840363</v>
      </c>
      <c r="P281">
        <v>0.99196543676354265</v>
      </c>
      <c r="Q281">
        <v>0.92450176818719942</v>
      </c>
      <c r="R281">
        <v>0.5124665716886625</v>
      </c>
      <c r="S281">
        <v>0.41438776403436028</v>
      </c>
      <c r="T281">
        <v>0.21671364656912728</v>
      </c>
      <c r="U281">
        <v>0.77202271728360916</v>
      </c>
      <c r="V281">
        <v>0.59360773247815735</v>
      </c>
      <c r="W281">
        <v>0.53579387064953987</v>
      </c>
      <c r="X281">
        <v>0.49747165207890531</v>
      </c>
      <c r="Y281">
        <v>0.46293405927558751</v>
      </c>
      <c r="Z281">
        <v>0.41801066898946543</v>
      </c>
      <c r="AA281">
        <v>0.62426224386758133</v>
      </c>
      <c r="AB281">
        <v>0.87839800045753624</v>
      </c>
      <c r="AC281">
        <v>0.67646563327592757</v>
      </c>
      <c r="AD281">
        <v>0.49619843895544002</v>
      </c>
      <c r="AE281">
        <v>319.1759445519321</v>
      </c>
      <c r="AF281">
        <v>939.04224241859583</v>
      </c>
      <c r="AG281">
        <v>1461.5834986723166</v>
      </c>
      <c r="AH281">
        <v>12913.079039784099</v>
      </c>
      <c r="AI281">
        <v>12953.853388504496</v>
      </c>
      <c r="AJ281">
        <v>42600.449698643235</v>
      </c>
      <c r="AK281">
        <v>14042.304460456518</v>
      </c>
      <c r="AL281">
        <v>2375.2141164416416</v>
      </c>
      <c r="AM281">
        <v>481.62645105402686</v>
      </c>
      <c r="AO281">
        <v>43775.794635992213</v>
      </c>
      <c r="AP281">
        <v>13.915275503720061</v>
      </c>
      <c r="AQ281">
        <v>48515.208413330438</v>
      </c>
      <c r="AR281">
        <v>14.096056802892814</v>
      </c>
      <c r="AS281" s="2">
        <f t="shared" si="29"/>
        <v>4739.4137773382245</v>
      </c>
      <c r="AT281" s="2">
        <f t="shared" si="30"/>
        <v>0.18078129917275376</v>
      </c>
      <c r="AV281">
        <f t="shared" si="31"/>
        <v>1347751.7557360139</v>
      </c>
      <c r="AW281">
        <f t="shared" si="32"/>
        <v>1361090.4718759512</v>
      </c>
      <c r="AY281">
        <f t="shared" si="33"/>
        <v>0</v>
      </c>
      <c r="AZ281">
        <f t="shared" si="34"/>
        <v>1</v>
      </c>
    </row>
    <row r="282" spans="1:52" x14ac:dyDescent="0.2">
      <c r="A282">
        <f t="shared" si="28"/>
        <v>278</v>
      </c>
      <c r="B282">
        <v>2.6157585483173595E-2</v>
      </c>
      <c r="C282">
        <v>3.7757574741476008E-2</v>
      </c>
      <c r="D282">
        <v>3.0176355570329792E-2</v>
      </c>
      <c r="E282">
        <v>2.8056701377247917E-2</v>
      </c>
      <c r="F282">
        <v>3.3559624022475587E-3</v>
      </c>
      <c r="G282">
        <v>1.4034849211002731E-2</v>
      </c>
      <c r="H282">
        <v>2.2648866675079395E-2</v>
      </c>
      <c r="I282">
        <v>0.1373513431139588</v>
      </c>
      <c r="J282">
        <v>0</v>
      </c>
      <c r="K282">
        <v>0.49305316945802591</v>
      </c>
      <c r="L282">
        <v>0.11847060757960699</v>
      </c>
      <c r="M282">
        <v>0.88152939242039297</v>
      </c>
      <c r="N282">
        <v>4.4595099508102844E-2</v>
      </c>
      <c r="O282" s="72">
        <v>0.99920352254762002</v>
      </c>
      <c r="P282">
        <v>0.99980822036538708</v>
      </c>
      <c r="Q282">
        <v>0.96615802052071287</v>
      </c>
      <c r="R282">
        <v>0.46773236088962433</v>
      </c>
      <c r="S282">
        <v>0.40592082369181215</v>
      </c>
      <c r="T282">
        <v>0.16725482365515232</v>
      </c>
      <c r="U282">
        <v>0.77505617637279367</v>
      </c>
      <c r="V282">
        <v>0.60922445009457959</v>
      </c>
      <c r="W282">
        <v>0.53865098473233264</v>
      </c>
      <c r="X282">
        <v>0.46298978158629223</v>
      </c>
      <c r="Y282">
        <v>0.45219896309043539</v>
      </c>
      <c r="Z282">
        <v>0.45793331435972662</v>
      </c>
      <c r="AA282">
        <v>0.751670317107198</v>
      </c>
      <c r="AB282">
        <v>0.78598657836065478</v>
      </c>
      <c r="AC282">
        <v>0.65031359241023579</v>
      </c>
      <c r="AD282">
        <v>0.58153022764237328</v>
      </c>
      <c r="AE282">
        <v>175.35653606109125</v>
      </c>
      <c r="AF282">
        <v>1006.8843330556432</v>
      </c>
      <c r="AG282">
        <v>1609.6540809127821</v>
      </c>
      <c r="AH282">
        <v>14411.223560322993</v>
      </c>
      <c r="AI282">
        <v>13400.597177401218</v>
      </c>
      <c r="AJ282">
        <v>39148.510084941365</v>
      </c>
      <c r="AK282">
        <v>16137.648788335957</v>
      </c>
      <c r="AL282">
        <v>2010.3194815915833</v>
      </c>
      <c r="AM282">
        <v>399.28424970644392</v>
      </c>
      <c r="AO282">
        <v>45659.409319031991</v>
      </c>
      <c r="AP282">
        <v>12.676897055636422</v>
      </c>
      <c r="AQ282">
        <v>46728.123852973113</v>
      </c>
      <c r="AR282">
        <v>12.882656375258794</v>
      </c>
      <c r="AS282" s="2">
        <f t="shared" si="29"/>
        <v>1068.7145339411218</v>
      </c>
      <c r="AT282" s="2">
        <f t="shared" si="30"/>
        <v>0.20575931962237171</v>
      </c>
      <c r="AV282">
        <f t="shared" si="31"/>
        <v>1222030.2962446101</v>
      </c>
      <c r="AW282">
        <f t="shared" si="32"/>
        <v>1241537.5136729062</v>
      </c>
      <c r="AY282">
        <f t="shared" si="33"/>
        <v>0</v>
      </c>
      <c r="AZ282">
        <f t="shared" si="34"/>
        <v>1</v>
      </c>
    </row>
    <row r="283" spans="1:52" x14ac:dyDescent="0.2">
      <c r="A283">
        <f t="shared" si="28"/>
        <v>279</v>
      </c>
      <c r="B283">
        <v>2.4452660434610165E-2</v>
      </c>
      <c r="C283">
        <v>3.4002415238531092E-2</v>
      </c>
      <c r="D283">
        <v>2.8412139310895111E-2</v>
      </c>
      <c r="E283">
        <v>1.3589522585858549E-2</v>
      </c>
      <c r="F283">
        <v>3.1881752886504448E-3</v>
      </c>
      <c r="G283">
        <v>2.4727119916511057E-3</v>
      </c>
      <c r="H283">
        <v>4.3608836492549208E-2</v>
      </c>
      <c r="I283">
        <v>0.11571018704699541</v>
      </c>
      <c r="J283">
        <v>0</v>
      </c>
      <c r="K283">
        <v>0.45890630371316976</v>
      </c>
      <c r="L283">
        <v>0.14609659167255432</v>
      </c>
      <c r="M283">
        <v>0.85390340832744571</v>
      </c>
      <c r="N283">
        <v>5.6758542159886072E-2</v>
      </c>
      <c r="O283" s="72">
        <v>0.97729278430849509</v>
      </c>
      <c r="P283">
        <v>0.99789574876857556</v>
      </c>
      <c r="Q283">
        <v>0.9275143849081805</v>
      </c>
      <c r="R283">
        <v>0.47786397904259725</v>
      </c>
      <c r="S283">
        <v>0.39539393720206095</v>
      </c>
      <c r="T283">
        <v>0.36009086970182225</v>
      </c>
      <c r="U283">
        <v>0.7671509809356758</v>
      </c>
      <c r="V283">
        <v>0.69181790707441826</v>
      </c>
      <c r="W283">
        <v>0.55787724575945619</v>
      </c>
      <c r="X283">
        <v>0.4497864151645844</v>
      </c>
      <c r="Y283">
        <v>0.45301497728112128</v>
      </c>
      <c r="Z283">
        <v>0.46759719085286333</v>
      </c>
      <c r="AA283">
        <v>0.67481198672392084</v>
      </c>
      <c r="AB283">
        <v>0.84859393400171657</v>
      </c>
      <c r="AC283">
        <v>0.73327462836190282</v>
      </c>
      <c r="AD283">
        <v>0.65862854143204741</v>
      </c>
      <c r="AE283">
        <v>254.37847280616458</v>
      </c>
      <c r="AF283">
        <v>1023.8384059499629</v>
      </c>
      <c r="AG283">
        <v>1950.1242089058289</v>
      </c>
      <c r="AH283">
        <v>12154.762428566877</v>
      </c>
      <c r="AI283">
        <v>15307.421284046051</v>
      </c>
      <c r="AJ283">
        <v>45528.385675253012</v>
      </c>
      <c r="AK283">
        <v>11733.50859377248</v>
      </c>
      <c r="AL283">
        <v>1280.1864477369018</v>
      </c>
      <c r="AM283">
        <v>368.67657945690263</v>
      </c>
      <c r="AO283">
        <v>41825.081934150519</v>
      </c>
      <c r="AP283">
        <v>13.834952671149434</v>
      </c>
      <c r="AQ283">
        <v>46615.116149672031</v>
      </c>
      <c r="AR283">
        <v>14.007347367446195</v>
      </c>
      <c r="AS283" s="2">
        <f t="shared" si="29"/>
        <v>4790.0342155215112</v>
      </c>
      <c r="AT283" s="2">
        <f t="shared" si="30"/>
        <v>0.1723946962967613</v>
      </c>
      <c r="AV283">
        <f t="shared" si="31"/>
        <v>1341670.1851807928</v>
      </c>
      <c r="AW283">
        <f t="shared" si="32"/>
        <v>1354119.6205949474</v>
      </c>
      <c r="AY283">
        <f t="shared" si="33"/>
        <v>0</v>
      </c>
      <c r="AZ283">
        <f t="shared" si="34"/>
        <v>1</v>
      </c>
    </row>
    <row r="284" spans="1:52" x14ac:dyDescent="0.2">
      <c r="A284">
        <f t="shared" si="28"/>
        <v>280</v>
      </c>
      <c r="B284">
        <v>2.1364017746626624E-2</v>
      </c>
      <c r="C284">
        <v>3.5654973735217109E-2</v>
      </c>
      <c r="D284">
        <v>4.5306879408444023E-2</v>
      </c>
      <c r="E284">
        <v>5.5931029281350185E-3</v>
      </c>
      <c r="F284">
        <v>3.2762668430819466E-3</v>
      </c>
      <c r="G284">
        <v>1.0959749087377353E-2</v>
      </c>
      <c r="H284">
        <v>2.4973563800025241E-2</v>
      </c>
      <c r="I284">
        <v>0.12527319407217508</v>
      </c>
      <c r="J284">
        <v>0</v>
      </c>
      <c r="K284">
        <v>0.44746733677583339</v>
      </c>
      <c r="L284">
        <v>0.2518849739043092</v>
      </c>
      <c r="M284">
        <v>0.7481150260956908</v>
      </c>
      <c r="N284">
        <v>5.7635345348423517E-2</v>
      </c>
      <c r="O284" s="72">
        <v>0.99990428792756902</v>
      </c>
      <c r="P284">
        <v>0.99984328902200248</v>
      </c>
      <c r="Q284">
        <v>0.9848904369692949</v>
      </c>
      <c r="R284">
        <v>0.54566072779034847</v>
      </c>
      <c r="S284">
        <v>0.29890723753392823</v>
      </c>
      <c r="T284">
        <v>0.23559436508322107</v>
      </c>
      <c r="U284">
        <v>0.77403711872486181</v>
      </c>
      <c r="V284">
        <v>0.71756690978891569</v>
      </c>
      <c r="W284">
        <v>0.59990447631019128</v>
      </c>
      <c r="X284">
        <v>0.47990925083269165</v>
      </c>
      <c r="Y284">
        <v>0.47020837558305206</v>
      </c>
      <c r="Z284">
        <v>0.45300678839777941</v>
      </c>
      <c r="AA284">
        <v>0.68297705981465673</v>
      </c>
      <c r="AB284">
        <v>0.80688451670273953</v>
      </c>
      <c r="AC284">
        <v>0.7147322563031423</v>
      </c>
      <c r="AD284">
        <v>0.62481627973248366</v>
      </c>
      <c r="AE284">
        <v>201.78830986621918</v>
      </c>
      <c r="AF284">
        <v>1244.9660984197894</v>
      </c>
      <c r="AG284">
        <v>1838.7697697827916</v>
      </c>
      <c r="AH284">
        <v>12631.521690278554</v>
      </c>
      <c r="AI284">
        <v>10716.447054298618</v>
      </c>
      <c r="AJ284">
        <v>33405.687114933382</v>
      </c>
      <c r="AK284">
        <v>18994.138084953262</v>
      </c>
      <c r="AL284">
        <v>1813.2594680790908</v>
      </c>
      <c r="AM284">
        <v>327.08708534316429</v>
      </c>
      <c r="AO284">
        <v>41251.584747888723</v>
      </c>
      <c r="AP284">
        <v>13.212649961670705</v>
      </c>
      <c r="AQ284">
        <v>45564.80922276021</v>
      </c>
      <c r="AR284">
        <v>13.350093751385664</v>
      </c>
      <c r="AS284" s="2">
        <f t="shared" si="29"/>
        <v>4313.2244748714875</v>
      </c>
      <c r="AT284" s="2">
        <f t="shared" si="30"/>
        <v>0.13744378971495941</v>
      </c>
      <c r="AV284">
        <f t="shared" si="31"/>
        <v>1280013.4114191819</v>
      </c>
      <c r="AW284">
        <f t="shared" si="32"/>
        <v>1289444.5659158062</v>
      </c>
      <c r="AY284">
        <f t="shared" si="33"/>
        <v>0</v>
      </c>
      <c r="AZ284">
        <f t="shared" si="34"/>
        <v>1</v>
      </c>
    </row>
    <row r="285" spans="1:52" x14ac:dyDescent="0.2">
      <c r="A285">
        <f t="shared" si="28"/>
        <v>281</v>
      </c>
      <c r="B285">
        <v>2.7288615744401445E-2</v>
      </c>
      <c r="C285">
        <v>2.7538195189535816E-2</v>
      </c>
      <c r="D285">
        <v>4.6117065143802094E-2</v>
      </c>
      <c r="E285">
        <v>1.5906305956693068E-2</v>
      </c>
      <c r="F285">
        <v>3.3294715298291017E-3</v>
      </c>
      <c r="G285">
        <v>5.1922796903371565E-3</v>
      </c>
      <c r="H285">
        <v>2.9375434528280064E-2</v>
      </c>
      <c r="I285">
        <v>0.13729440690312233</v>
      </c>
      <c r="J285">
        <v>0</v>
      </c>
      <c r="K285">
        <v>0.45427146431951515</v>
      </c>
      <c r="L285">
        <v>0.19931221303295868</v>
      </c>
      <c r="M285">
        <v>0.80068778696704135</v>
      </c>
      <c r="N285">
        <v>6.2886898338678887E-2</v>
      </c>
      <c r="O285" s="72">
        <v>0.95776518416769885</v>
      </c>
      <c r="P285">
        <v>0.99960162235435279</v>
      </c>
      <c r="Q285">
        <v>0.92106417115696726</v>
      </c>
      <c r="R285">
        <v>0.48655180270950482</v>
      </c>
      <c r="S285">
        <v>0.3796197670755751</v>
      </c>
      <c r="T285">
        <v>0.13682631896479847</v>
      </c>
      <c r="U285">
        <v>0.77720356962920523</v>
      </c>
      <c r="V285">
        <v>0.64426617632202088</v>
      </c>
      <c r="W285">
        <v>0.54223812244178771</v>
      </c>
      <c r="X285">
        <v>0.42195746114736477</v>
      </c>
      <c r="Y285">
        <v>0.46691825680328747</v>
      </c>
      <c r="Z285">
        <v>0.409348710081676</v>
      </c>
      <c r="AA285">
        <v>0.56337624995376201</v>
      </c>
      <c r="AB285">
        <v>0.86042318301462373</v>
      </c>
      <c r="AC285">
        <v>0.63243153628085857</v>
      </c>
      <c r="AD285">
        <v>0.55982931502406652</v>
      </c>
      <c r="AE285">
        <v>203.85811523175963</v>
      </c>
      <c r="AF285">
        <v>912.68750299167561</v>
      </c>
      <c r="AG285">
        <v>2022.1794769523424</v>
      </c>
      <c r="AH285">
        <v>9528.3742064296857</v>
      </c>
      <c r="AI285">
        <v>10815.137766875499</v>
      </c>
      <c r="AJ285">
        <v>32143.206228881856</v>
      </c>
      <c r="AK285">
        <v>13200.99222849205</v>
      </c>
      <c r="AL285">
        <v>2051.5834959441613</v>
      </c>
      <c r="AM285">
        <v>346.19136007393854</v>
      </c>
      <c r="AO285">
        <v>45077.759922252852</v>
      </c>
      <c r="AP285">
        <v>13.566001206831235</v>
      </c>
      <c r="AQ285">
        <v>46194.870329901576</v>
      </c>
      <c r="AR285">
        <v>13.849867646167001</v>
      </c>
      <c r="AS285" s="2">
        <f t="shared" si="29"/>
        <v>1117.1104076487245</v>
      </c>
      <c r="AT285" s="2">
        <f t="shared" si="30"/>
        <v>0.28386643933576572</v>
      </c>
      <c r="AV285">
        <f t="shared" si="31"/>
        <v>1311522.3607608709</v>
      </c>
      <c r="AW285">
        <f t="shared" si="32"/>
        <v>1338791.8942867985</v>
      </c>
      <c r="AY285">
        <f t="shared" si="33"/>
        <v>0</v>
      </c>
      <c r="AZ285">
        <f t="shared" si="34"/>
        <v>1</v>
      </c>
    </row>
    <row r="286" spans="1:52" x14ac:dyDescent="0.2">
      <c r="A286">
        <f t="shared" si="28"/>
        <v>282</v>
      </c>
      <c r="B286">
        <v>2.1050396959621902E-2</v>
      </c>
      <c r="C286">
        <v>3.5158613100974408E-2</v>
      </c>
      <c r="D286">
        <v>2.5515512928592023E-2</v>
      </c>
      <c r="E286">
        <v>4.3116748713096009E-2</v>
      </c>
      <c r="F286">
        <v>3.3845722970932135E-3</v>
      </c>
      <c r="G286">
        <v>2.1205235772863595E-2</v>
      </c>
      <c r="H286">
        <v>2.6361492607551069E-2</v>
      </c>
      <c r="I286">
        <v>0.11861605029258319</v>
      </c>
      <c r="J286">
        <v>0</v>
      </c>
      <c r="K286">
        <v>0.47235918224439366</v>
      </c>
      <c r="L286">
        <v>0.20035977972097349</v>
      </c>
      <c r="M286">
        <v>0.79964022027902648</v>
      </c>
      <c r="N286">
        <v>3.91145989271365E-2</v>
      </c>
      <c r="O286" s="72">
        <v>0.99307833799208367</v>
      </c>
      <c r="P286">
        <v>0.99995578431348398</v>
      </c>
      <c r="Q286">
        <v>0.9183500518285721</v>
      </c>
      <c r="R286">
        <v>0.5074283013256049</v>
      </c>
      <c r="S286">
        <v>0.40067597662523935</v>
      </c>
      <c r="T286">
        <v>0.21016213638675374</v>
      </c>
      <c r="U286">
        <v>0.78484209653421522</v>
      </c>
      <c r="V286">
        <v>0.65238792550498048</v>
      </c>
      <c r="W286">
        <v>0.62373939381073518</v>
      </c>
      <c r="X286">
        <v>0.43834894174012257</v>
      </c>
      <c r="Y286">
        <v>0.45730065202105508</v>
      </c>
      <c r="Z286">
        <v>0.44814856636637374</v>
      </c>
      <c r="AA286">
        <v>0.68725926877332832</v>
      </c>
      <c r="AB286">
        <v>0.82464047795771189</v>
      </c>
      <c r="AC286">
        <v>0.67630165088184024</v>
      </c>
      <c r="AD286">
        <v>0.64227019861009027</v>
      </c>
      <c r="AE286">
        <v>177.26781482056109</v>
      </c>
      <c r="AF286">
        <v>979.23615846387463</v>
      </c>
      <c r="AG286">
        <v>1746.7100006253684</v>
      </c>
      <c r="AH286">
        <v>11532.769749105162</v>
      </c>
      <c r="AI286">
        <v>12997.130859437249</v>
      </c>
      <c r="AJ286">
        <v>36034.768281948593</v>
      </c>
      <c r="AK286">
        <v>17497.039025696184</v>
      </c>
      <c r="AL286">
        <v>2307.1721340828904</v>
      </c>
      <c r="AM286">
        <v>409.8972670978917</v>
      </c>
      <c r="AO286">
        <v>42602.860401132275</v>
      </c>
      <c r="AP286">
        <v>13.336612199264218</v>
      </c>
      <c r="AQ286">
        <v>47061.21623935044</v>
      </c>
      <c r="AR286">
        <v>13.545551491511652</v>
      </c>
      <c r="AS286" s="2">
        <f t="shared" si="29"/>
        <v>4458.3558382181654</v>
      </c>
      <c r="AT286" s="2">
        <f t="shared" si="30"/>
        <v>0.20893929224743424</v>
      </c>
      <c r="AV286">
        <f t="shared" si="31"/>
        <v>1291058.3595252894</v>
      </c>
      <c r="AW286">
        <f t="shared" si="32"/>
        <v>1307493.9329118149</v>
      </c>
      <c r="AY286">
        <f t="shared" si="33"/>
        <v>0</v>
      </c>
      <c r="AZ286">
        <f t="shared" si="34"/>
        <v>1</v>
      </c>
    </row>
    <row r="287" spans="1:52" x14ac:dyDescent="0.2">
      <c r="A287">
        <f t="shared" si="28"/>
        <v>283</v>
      </c>
      <c r="B287">
        <v>2.4077171743828236E-2</v>
      </c>
      <c r="C287">
        <v>3.2530622763053706E-2</v>
      </c>
      <c r="D287">
        <v>4.7039716456527825E-2</v>
      </c>
      <c r="E287">
        <v>9.2860384856462939E-3</v>
      </c>
      <c r="F287">
        <v>3.231933128482281E-3</v>
      </c>
      <c r="G287">
        <v>1.9643925046232469E-2</v>
      </c>
      <c r="H287">
        <v>4.4418036134199479E-2</v>
      </c>
      <c r="I287">
        <v>0.13265351199626985</v>
      </c>
      <c r="J287">
        <v>0</v>
      </c>
      <c r="K287">
        <v>0.4398521317188645</v>
      </c>
      <c r="L287">
        <v>0.25707746245825214</v>
      </c>
      <c r="M287">
        <v>0.74292253754174786</v>
      </c>
      <c r="N287">
        <v>5.3315180171723098E-2</v>
      </c>
      <c r="O287" s="72">
        <v>0.98779946371607608</v>
      </c>
      <c r="P287">
        <v>0.99999198875271511</v>
      </c>
      <c r="Q287">
        <v>0.95298620684029334</v>
      </c>
      <c r="R287">
        <v>0.47877096624146409</v>
      </c>
      <c r="S287">
        <v>0.45088530227836043</v>
      </c>
      <c r="T287">
        <v>0.21239846251188788</v>
      </c>
      <c r="U287">
        <v>0.74029537269353807</v>
      </c>
      <c r="V287">
        <v>0.67630533900058831</v>
      </c>
      <c r="W287">
        <v>0.56446044360505265</v>
      </c>
      <c r="X287">
        <v>0.46145211825834043</v>
      </c>
      <c r="Y287">
        <v>0.45734349414600994</v>
      </c>
      <c r="Z287">
        <v>0.44636319765328231</v>
      </c>
      <c r="AA287">
        <v>0.69244368490385866</v>
      </c>
      <c r="AB287">
        <v>0.83658464282632083</v>
      </c>
      <c r="AC287">
        <v>0.76447910285536302</v>
      </c>
      <c r="AD287">
        <v>0.62636829734827748</v>
      </c>
      <c r="AE287">
        <v>136.86768429190042</v>
      </c>
      <c r="AF287">
        <v>1009.160716936699</v>
      </c>
      <c r="AG287">
        <v>1591.5136854556517</v>
      </c>
      <c r="AH287">
        <v>13411.559671867137</v>
      </c>
      <c r="AI287">
        <v>10941.833570343813</v>
      </c>
      <c r="AJ287">
        <v>40985.300513736795</v>
      </c>
      <c r="AK287">
        <v>20015.76857058407</v>
      </c>
      <c r="AL287">
        <v>1829.8605458296538</v>
      </c>
      <c r="AM287">
        <v>476.949806164336</v>
      </c>
      <c r="AO287">
        <v>44725.496326339773</v>
      </c>
      <c r="AP287">
        <v>13.623879112329179</v>
      </c>
      <c r="AQ287">
        <v>47977.719769675765</v>
      </c>
      <c r="AR287">
        <v>13.852372254939951</v>
      </c>
      <c r="AS287" s="2">
        <f t="shared" si="29"/>
        <v>3252.2234433359918</v>
      </c>
      <c r="AT287" s="2">
        <f t="shared" si="30"/>
        <v>0.22849314261077147</v>
      </c>
      <c r="AV287">
        <f t="shared" si="31"/>
        <v>1317662.4149065784</v>
      </c>
      <c r="AW287">
        <f t="shared" si="32"/>
        <v>1337259.5057243193</v>
      </c>
      <c r="AY287">
        <f t="shared" si="33"/>
        <v>0</v>
      </c>
      <c r="AZ287">
        <f t="shared" si="34"/>
        <v>1</v>
      </c>
    </row>
    <row r="288" spans="1:52" x14ac:dyDescent="0.2">
      <c r="A288">
        <f t="shared" si="28"/>
        <v>284</v>
      </c>
      <c r="B288">
        <v>2.914876334736749E-2</v>
      </c>
      <c r="C288">
        <v>3.6975173068954037E-2</v>
      </c>
      <c r="D288">
        <v>3.8819282929597798E-2</v>
      </c>
      <c r="E288">
        <v>4.2489995376973733E-2</v>
      </c>
      <c r="F288">
        <v>3.3422777714310348E-3</v>
      </c>
      <c r="G288">
        <v>9.198106146677822E-3</v>
      </c>
      <c r="H288">
        <v>1.5053733034027539E-2</v>
      </c>
      <c r="I288">
        <v>0.11432821647987368</v>
      </c>
      <c r="J288">
        <v>0</v>
      </c>
      <c r="K288">
        <v>0.41845148557280065</v>
      </c>
      <c r="L288">
        <v>0.18643244244557447</v>
      </c>
      <c r="M288">
        <v>0.81356755755442556</v>
      </c>
      <c r="N288">
        <v>5.7084133455856945E-2</v>
      </c>
      <c r="O288" s="72">
        <v>0.99784409572297217</v>
      </c>
      <c r="P288">
        <v>0.995676744159257</v>
      </c>
      <c r="Q288">
        <v>0.94675513816785983</v>
      </c>
      <c r="R288">
        <v>0.45735448798895195</v>
      </c>
      <c r="S288">
        <v>0.47006821514666253</v>
      </c>
      <c r="T288">
        <v>0.19066907979492764</v>
      </c>
      <c r="U288">
        <v>0.7562323813416737</v>
      </c>
      <c r="V288">
        <v>0.66695479447981554</v>
      </c>
      <c r="W288">
        <v>0.47538071497429729</v>
      </c>
      <c r="X288">
        <v>0.48170242606781122</v>
      </c>
      <c r="Y288">
        <v>0.48154133090135554</v>
      </c>
      <c r="Z288">
        <v>0.43270673372823998</v>
      </c>
      <c r="AA288">
        <v>0.55385934136443116</v>
      </c>
      <c r="AB288">
        <v>0.87073687160482094</v>
      </c>
      <c r="AC288">
        <v>0.72794791660356351</v>
      </c>
      <c r="AD288">
        <v>0.62217430831469622</v>
      </c>
      <c r="AE288">
        <v>179.76557688187404</v>
      </c>
      <c r="AF288">
        <v>912.79845506262097</v>
      </c>
      <c r="AG288">
        <v>1883.5220605129387</v>
      </c>
      <c r="AH288">
        <v>13622.239842400313</v>
      </c>
      <c r="AI288">
        <v>13310.219052257051</v>
      </c>
      <c r="AJ288">
        <v>40334.184270177568</v>
      </c>
      <c r="AK288">
        <v>8108.4500188014272</v>
      </c>
      <c r="AL288">
        <v>1850.3912819919624</v>
      </c>
      <c r="AM288">
        <v>370.95852720047947</v>
      </c>
      <c r="AO288">
        <v>44530.115426533761</v>
      </c>
      <c r="AP288">
        <v>13.893131478364683</v>
      </c>
      <c r="AQ288">
        <v>46525.085584009823</v>
      </c>
      <c r="AR288">
        <v>14.25198902807688</v>
      </c>
      <c r="AS288" s="2">
        <f t="shared" si="29"/>
        <v>1994.970157476062</v>
      </c>
      <c r="AT288" s="2">
        <f t="shared" si="30"/>
        <v>0.35885754971219619</v>
      </c>
      <c r="AV288">
        <f t="shared" si="31"/>
        <v>1344783.0324099346</v>
      </c>
      <c r="AW288">
        <f t="shared" si="32"/>
        <v>1378673.8172236781</v>
      </c>
      <c r="AY288">
        <f t="shared" si="33"/>
        <v>0</v>
      </c>
      <c r="AZ288">
        <f t="shared" si="34"/>
        <v>1</v>
      </c>
    </row>
    <row r="289" spans="1:52" x14ac:dyDescent="0.2">
      <c r="A289">
        <f t="shared" si="28"/>
        <v>285</v>
      </c>
      <c r="B289">
        <v>1.8366724928220939E-2</v>
      </c>
      <c r="C289">
        <v>3.2785190902170178E-2</v>
      </c>
      <c r="D289">
        <v>4.3457986635540569E-2</v>
      </c>
      <c r="E289">
        <v>1.4712447711394905E-2</v>
      </c>
      <c r="F289">
        <v>3.4648352272379501E-3</v>
      </c>
      <c r="G289">
        <v>2.318222077177523E-2</v>
      </c>
      <c r="H289">
        <v>1.3512032159040425E-2</v>
      </c>
      <c r="I289">
        <v>0.141949098334191</v>
      </c>
      <c r="J289">
        <v>0</v>
      </c>
      <c r="K289">
        <v>0.40139969671881626</v>
      </c>
      <c r="L289">
        <v>0.23886984936469036</v>
      </c>
      <c r="M289">
        <v>0.76113015063530964</v>
      </c>
      <c r="N289">
        <v>5.4055730272900719E-2</v>
      </c>
      <c r="O289" s="72">
        <v>0.99998977633507891</v>
      </c>
      <c r="P289">
        <v>0.99361198678163631</v>
      </c>
      <c r="Q289">
        <v>0.94455897611344664</v>
      </c>
      <c r="R289">
        <v>0.52876117000091172</v>
      </c>
      <c r="S289">
        <v>0.46271297120953681</v>
      </c>
      <c r="T289">
        <v>0.20207409551042155</v>
      </c>
      <c r="U289">
        <v>0.76298880731984509</v>
      </c>
      <c r="V289">
        <v>0.63251477756253782</v>
      </c>
      <c r="W289">
        <v>0.5572591187022935</v>
      </c>
      <c r="X289">
        <v>0.45123734366631107</v>
      </c>
      <c r="Y289">
        <v>0.47053655918328918</v>
      </c>
      <c r="Z289">
        <v>0.46006767899061229</v>
      </c>
      <c r="AA289">
        <v>0.60630947745380093</v>
      </c>
      <c r="AB289">
        <v>0.84633876839797695</v>
      </c>
      <c r="AC289">
        <v>0.71937273687137238</v>
      </c>
      <c r="AD289">
        <v>0.62391667506467896</v>
      </c>
      <c r="AE289">
        <v>210.47148426820348</v>
      </c>
      <c r="AF289">
        <v>1028.7686008817659</v>
      </c>
      <c r="AG289">
        <v>1711.3905746086548</v>
      </c>
      <c r="AH289">
        <v>10202.829816014804</v>
      </c>
      <c r="AI289">
        <v>10081.136458319219</v>
      </c>
      <c r="AJ289">
        <v>45369.361238233134</v>
      </c>
      <c r="AK289">
        <v>12855.822727956102</v>
      </c>
      <c r="AL289">
        <v>1521.2269619634551</v>
      </c>
      <c r="AM289">
        <v>435.98641759939193</v>
      </c>
      <c r="AO289">
        <v>41736.614844898504</v>
      </c>
      <c r="AP289">
        <v>13.679831962009951</v>
      </c>
      <c r="AQ289">
        <v>47518.206000976657</v>
      </c>
      <c r="AR289">
        <v>13.898488870112978</v>
      </c>
      <c r="AS289" s="2">
        <f t="shared" si="29"/>
        <v>5781.5911560781533</v>
      </c>
      <c r="AT289" s="2">
        <f t="shared" si="30"/>
        <v>0.21865690810302674</v>
      </c>
      <c r="AV289">
        <f t="shared" si="31"/>
        <v>1326246.5813560965</v>
      </c>
      <c r="AW289">
        <f t="shared" si="32"/>
        <v>1342330.681010321</v>
      </c>
      <c r="AY289">
        <f t="shared" si="33"/>
        <v>0</v>
      </c>
      <c r="AZ289">
        <f t="shared" si="34"/>
        <v>1</v>
      </c>
    </row>
    <row r="290" spans="1:52" x14ac:dyDescent="0.2">
      <c r="A290">
        <f t="shared" si="28"/>
        <v>286</v>
      </c>
      <c r="B290">
        <v>2.2542382804398246E-2</v>
      </c>
      <c r="C290">
        <v>3.595535534450698E-2</v>
      </c>
      <c r="D290">
        <v>2.7905584451533631E-2</v>
      </c>
      <c r="E290">
        <v>1.0064841382731433E-2</v>
      </c>
      <c r="F290">
        <v>3.3704832723597811E-3</v>
      </c>
      <c r="G290">
        <v>1.9585208422448264E-2</v>
      </c>
      <c r="H290">
        <v>2.6048562322137852E-2</v>
      </c>
      <c r="I290">
        <v>0.1314866826910438</v>
      </c>
      <c r="J290">
        <v>0</v>
      </c>
      <c r="K290">
        <v>0.41755973853492806</v>
      </c>
      <c r="L290">
        <v>0.24520091492235097</v>
      </c>
      <c r="M290">
        <v>0.75479908507764903</v>
      </c>
      <c r="N290">
        <v>4.9092484815270752E-2</v>
      </c>
      <c r="O290" s="72">
        <v>0.99554728365135936</v>
      </c>
      <c r="P290">
        <v>0.97543961439562743</v>
      </c>
      <c r="Q290">
        <v>0.97851575645977473</v>
      </c>
      <c r="R290">
        <v>0.48418051978328669</v>
      </c>
      <c r="S290">
        <v>0.46242641561187336</v>
      </c>
      <c r="T290">
        <v>0.3482365993597234</v>
      </c>
      <c r="U290">
        <v>0.77053762010633053</v>
      </c>
      <c r="V290">
        <v>0.68537052098490192</v>
      </c>
      <c r="W290">
        <v>0.45741515686146006</v>
      </c>
      <c r="X290">
        <v>0.44947071547743617</v>
      </c>
      <c r="Y290">
        <v>0.42011208357977742</v>
      </c>
      <c r="Z290">
        <v>0.45621232252574317</v>
      </c>
      <c r="AA290">
        <v>0.71265038387547319</v>
      </c>
      <c r="AB290">
        <v>0.86133717545360533</v>
      </c>
      <c r="AC290">
        <v>0.75243467013011567</v>
      </c>
      <c r="AD290">
        <v>0.61031785948275319</v>
      </c>
      <c r="AE290">
        <v>233.61468665986351</v>
      </c>
      <c r="AF290">
        <v>1026.5116531076039</v>
      </c>
      <c r="AG290">
        <v>1554.6135002928781</v>
      </c>
      <c r="AH290">
        <v>9920.2995783856768</v>
      </c>
      <c r="AI290">
        <v>11669.278672783737</v>
      </c>
      <c r="AJ290">
        <v>43525.677321867333</v>
      </c>
      <c r="AK290">
        <v>10525.120298562935</v>
      </c>
      <c r="AL290">
        <v>1330.3581623610673</v>
      </c>
      <c r="AM290">
        <v>333.70128605734516</v>
      </c>
      <c r="AO290">
        <v>40185.295795534999</v>
      </c>
      <c r="AP290">
        <v>13.969144800310122</v>
      </c>
      <c r="AQ290">
        <v>46399.247041201255</v>
      </c>
      <c r="AR290">
        <v>14.149112939690438</v>
      </c>
      <c r="AS290" s="2">
        <f t="shared" si="29"/>
        <v>6213.951245666256</v>
      </c>
      <c r="AT290" s="2">
        <f t="shared" si="30"/>
        <v>0.17996813938031586</v>
      </c>
      <c r="AV290">
        <f t="shared" si="31"/>
        <v>1356729.1842354774</v>
      </c>
      <c r="AW290">
        <f t="shared" si="32"/>
        <v>1368512.0469278425</v>
      </c>
      <c r="AY290">
        <f t="shared" si="33"/>
        <v>0</v>
      </c>
      <c r="AZ290">
        <f t="shared" si="34"/>
        <v>1</v>
      </c>
    </row>
    <row r="291" spans="1:52" x14ac:dyDescent="0.2">
      <c r="A291">
        <f t="shared" si="28"/>
        <v>287</v>
      </c>
      <c r="B291">
        <v>2.6434701993403364E-2</v>
      </c>
      <c r="C291">
        <v>4.0415137081715735E-2</v>
      </c>
      <c r="D291">
        <v>3.2425950931700705E-2</v>
      </c>
      <c r="E291">
        <v>7.4841176801835382E-3</v>
      </c>
      <c r="F291">
        <v>3.3905859706852004E-3</v>
      </c>
      <c r="G291">
        <v>1.0274048455797978E-2</v>
      </c>
      <c r="H291">
        <v>1.7302491902935924E-2</v>
      </c>
      <c r="I291">
        <v>0.13286952420550258</v>
      </c>
      <c r="J291">
        <v>0</v>
      </c>
      <c r="K291">
        <v>0.43417364418194349</v>
      </c>
      <c r="L291">
        <v>0.25131677887140602</v>
      </c>
      <c r="M291">
        <v>0.74868322112859398</v>
      </c>
      <c r="N291">
        <v>4.2221798880828817E-2</v>
      </c>
      <c r="O291" s="72">
        <v>0.99999173399953256</v>
      </c>
      <c r="P291">
        <v>0.99999425480722826</v>
      </c>
      <c r="Q291">
        <v>0.94720309404519054</v>
      </c>
      <c r="R291">
        <v>0.46154413539768979</v>
      </c>
      <c r="S291">
        <v>0.4574619053677853</v>
      </c>
      <c r="T291">
        <v>0.25703020728109571</v>
      </c>
      <c r="U291">
        <v>0.783961980196065</v>
      </c>
      <c r="V291">
        <v>0.67790484336995949</v>
      </c>
      <c r="W291">
        <v>0.54376279153462281</v>
      </c>
      <c r="X291">
        <v>0.47621554637210084</v>
      </c>
      <c r="Y291">
        <v>0.4158756253554054</v>
      </c>
      <c r="Z291">
        <v>0.46116612581707028</v>
      </c>
      <c r="AA291">
        <v>0.57917923924814996</v>
      </c>
      <c r="AB291">
        <v>0.82947478115659434</v>
      </c>
      <c r="AC291">
        <v>0.66477350125864443</v>
      </c>
      <c r="AD291">
        <v>0.57387869391422752</v>
      </c>
      <c r="AE291">
        <v>165.99113248072882</v>
      </c>
      <c r="AF291">
        <v>956.19791870884842</v>
      </c>
      <c r="AG291">
        <v>1440.2310561101847</v>
      </c>
      <c r="AH291">
        <v>15420.354093586862</v>
      </c>
      <c r="AI291">
        <v>12858.528276079522</v>
      </c>
      <c r="AJ291">
        <v>39933.077482306689</v>
      </c>
      <c r="AK291">
        <v>20475.716894597746</v>
      </c>
      <c r="AL291">
        <v>2573.1801524217126</v>
      </c>
      <c r="AM291">
        <v>441.38872797266214</v>
      </c>
      <c r="AO291">
        <v>44356.729952835718</v>
      </c>
      <c r="AP291">
        <v>13.335762236369066</v>
      </c>
      <c r="AQ291">
        <v>47460.50639185671</v>
      </c>
      <c r="AR291">
        <v>13.501025893706025</v>
      </c>
      <c r="AS291" s="2">
        <f t="shared" si="29"/>
        <v>3103.7764390209923</v>
      </c>
      <c r="AT291" s="2">
        <f t="shared" si="30"/>
        <v>0.16526365733695947</v>
      </c>
      <c r="AV291">
        <f t="shared" si="31"/>
        <v>1289219.4936840709</v>
      </c>
      <c r="AW291">
        <f t="shared" si="32"/>
        <v>1302642.0829787457</v>
      </c>
      <c r="AY291">
        <f t="shared" si="33"/>
        <v>0</v>
      </c>
      <c r="AZ291">
        <f t="shared" si="34"/>
        <v>1</v>
      </c>
    </row>
    <row r="292" spans="1:52" x14ac:dyDescent="0.2">
      <c r="A292">
        <f t="shared" si="28"/>
        <v>288</v>
      </c>
      <c r="B292">
        <v>2.2587116181480113E-2</v>
      </c>
      <c r="C292">
        <v>3.3374848411501436E-2</v>
      </c>
      <c r="D292">
        <v>2.7678317504108201E-2</v>
      </c>
      <c r="E292">
        <v>3.886773453339154E-2</v>
      </c>
      <c r="F292">
        <v>3.3027512305034059E-3</v>
      </c>
      <c r="G292">
        <v>2.4586988206183991E-2</v>
      </c>
      <c r="H292">
        <v>2.9548596065790633E-2</v>
      </c>
      <c r="I292">
        <v>0.1219475032642303</v>
      </c>
      <c r="J292">
        <v>0</v>
      </c>
      <c r="K292">
        <v>0.38429356722767916</v>
      </c>
      <c r="L292">
        <v>0.16317333409746504</v>
      </c>
      <c r="M292">
        <v>0.83682666590253496</v>
      </c>
      <c r="N292">
        <v>4.0740021923161222E-2</v>
      </c>
      <c r="O292" s="72">
        <v>0.99800882564996007</v>
      </c>
      <c r="P292">
        <v>0.94227702304548799</v>
      </c>
      <c r="Q292">
        <v>0.93110543873069129</v>
      </c>
      <c r="R292">
        <v>0.49170214311192983</v>
      </c>
      <c r="S292">
        <v>0.48376055831383524</v>
      </c>
      <c r="T292">
        <v>0.28182866937606699</v>
      </c>
      <c r="U292">
        <v>0.78813996006946585</v>
      </c>
      <c r="V292">
        <v>0.73087986774519842</v>
      </c>
      <c r="W292">
        <v>0.51072239859059987</v>
      </c>
      <c r="X292">
        <v>0.42902887148232327</v>
      </c>
      <c r="Y292">
        <v>0.41033374796723421</v>
      </c>
      <c r="Z292">
        <v>0.46052951942603704</v>
      </c>
      <c r="AA292">
        <v>0.58170237222339105</v>
      </c>
      <c r="AB292">
        <v>0.87599228653672145</v>
      </c>
      <c r="AC292">
        <v>0.68678377826961035</v>
      </c>
      <c r="AD292">
        <v>0.57980353446373767</v>
      </c>
      <c r="AE292">
        <v>180.55502715418328</v>
      </c>
      <c r="AF292">
        <v>1015.9948294577596</v>
      </c>
      <c r="AG292">
        <v>1178.9680319465422</v>
      </c>
      <c r="AH292">
        <v>12981.26846634428</v>
      </c>
      <c r="AI292">
        <v>12861.410795388045</v>
      </c>
      <c r="AJ292">
        <v>41785.593635593505</v>
      </c>
      <c r="AK292">
        <v>13618.37456065173</v>
      </c>
      <c r="AL292">
        <v>2326.9045206241944</v>
      </c>
      <c r="AM292">
        <v>417.28011025784036</v>
      </c>
      <c r="AO292">
        <v>41505.55965670188</v>
      </c>
      <c r="AP292">
        <v>13.975206108078002</v>
      </c>
      <c r="AQ292">
        <v>48966.565980795254</v>
      </c>
      <c r="AR292">
        <v>14.18451506822176</v>
      </c>
      <c r="AS292" s="2">
        <f t="shared" si="29"/>
        <v>7461.0063240933741</v>
      </c>
      <c r="AT292" s="2">
        <f t="shared" si="30"/>
        <v>0.20930896014375833</v>
      </c>
      <c r="AV292">
        <f t="shared" si="31"/>
        <v>1356015.0511510982</v>
      </c>
      <c r="AW292">
        <f t="shared" si="32"/>
        <v>1369484.9408413807</v>
      </c>
      <c r="AY292">
        <f t="shared" si="33"/>
        <v>0</v>
      </c>
      <c r="AZ292">
        <f t="shared" si="34"/>
        <v>1</v>
      </c>
    </row>
    <row r="293" spans="1:52" x14ac:dyDescent="0.2">
      <c r="A293">
        <f t="shared" si="28"/>
        <v>289</v>
      </c>
      <c r="B293">
        <v>2.8835885129721572E-2</v>
      </c>
      <c r="C293">
        <v>3.9295910122119304E-2</v>
      </c>
      <c r="D293">
        <v>3.4488656459776605E-2</v>
      </c>
      <c r="E293">
        <v>2.336642324552396E-2</v>
      </c>
      <c r="F293">
        <v>3.3809813693412849E-3</v>
      </c>
      <c r="G293">
        <v>7.8731393620152558E-3</v>
      </c>
      <c r="H293">
        <v>2.5267837735238011E-2</v>
      </c>
      <c r="I293">
        <v>0.14764882470997387</v>
      </c>
      <c r="J293">
        <v>0</v>
      </c>
      <c r="K293">
        <v>0.41718010272505557</v>
      </c>
      <c r="L293">
        <v>0.14101697659286724</v>
      </c>
      <c r="M293">
        <v>0.85898302340713273</v>
      </c>
      <c r="N293">
        <v>8.5339851626071273E-2</v>
      </c>
      <c r="O293" s="72">
        <v>0.99570902376405335</v>
      </c>
      <c r="P293">
        <v>0.99048470632510166</v>
      </c>
      <c r="Q293">
        <v>0.92045952171828715</v>
      </c>
      <c r="R293">
        <v>0.49429505751101488</v>
      </c>
      <c r="S293">
        <v>0.41479903440461185</v>
      </c>
      <c r="T293">
        <v>0.25028652883528357</v>
      </c>
      <c r="U293">
        <v>0.743974204427025</v>
      </c>
      <c r="V293">
        <v>0.73486503502293954</v>
      </c>
      <c r="W293">
        <v>0.51742193267836334</v>
      </c>
      <c r="X293">
        <v>0.45651717511036471</v>
      </c>
      <c r="Y293">
        <v>0.48352413767197888</v>
      </c>
      <c r="Z293">
        <v>0.47747705180633671</v>
      </c>
      <c r="AA293">
        <v>0.69501661133571113</v>
      </c>
      <c r="AB293">
        <v>0.88081229789495663</v>
      </c>
      <c r="AC293">
        <v>0.66752974213067318</v>
      </c>
      <c r="AD293">
        <v>0.61661370989124986</v>
      </c>
      <c r="AE293">
        <v>228.79421905128166</v>
      </c>
      <c r="AF293">
        <v>1252.4443742344688</v>
      </c>
      <c r="AG293">
        <v>1805.3386314265617</v>
      </c>
      <c r="AH293">
        <v>12124.133902304895</v>
      </c>
      <c r="AI293">
        <v>10262.483245513258</v>
      </c>
      <c r="AJ293">
        <v>44810.221777233615</v>
      </c>
      <c r="AK293">
        <v>17190.988926576727</v>
      </c>
      <c r="AL293">
        <v>2280.2836947025144</v>
      </c>
      <c r="AM293">
        <v>473.20150871796432</v>
      </c>
      <c r="AO293">
        <v>43642.758077188417</v>
      </c>
      <c r="AP293">
        <v>13.993457805892737</v>
      </c>
      <c r="AQ293">
        <v>48397.16839136355</v>
      </c>
      <c r="AR293">
        <v>14.27150542320339</v>
      </c>
      <c r="AS293" s="2">
        <f t="shared" si="29"/>
        <v>4754.410314175133</v>
      </c>
      <c r="AT293" s="2">
        <f t="shared" si="30"/>
        <v>0.27804761731065319</v>
      </c>
      <c r="AV293">
        <f t="shared" si="31"/>
        <v>1355703.0225120853</v>
      </c>
      <c r="AW293">
        <f t="shared" si="32"/>
        <v>1378753.3739289755</v>
      </c>
      <c r="AY293">
        <f t="shared" si="33"/>
        <v>0</v>
      </c>
      <c r="AZ293">
        <f t="shared" si="34"/>
        <v>1</v>
      </c>
    </row>
    <row r="294" spans="1:52" x14ac:dyDescent="0.2">
      <c r="A294">
        <f t="shared" si="28"/>
        <v>290</v>
      </c>
      <c r="B294">
        <v>2.6575118780282958E-2</v>
      </c>
      <c r="C294">
        <v>4.5688634876563827E-2</v>
      </c>
      <c r="D294">
        <v>3.1929048829234682E-2</v>
      </c>
      <c r="E294">
        <v>1.4640370995260943E-2</v>
      </c>
      <c r="F294">
        <v>3.2483480554797214E-3</v>
      </c>
      <c r="G294">
        <v>2.2772833637226486E-2</v>
      </c>
      <c r="H294">
        <v>5.0299640600086182E-2</v>
      </c>
      <c r="I294">
        <v>0.13937612400713417</v>
      </c>
      <c r="J294">
        <v>0</v>
      </c>
      <c r="K294">
        <v>0.42114402930413475</v>
      </c>
      <c r="L294">
        <v>0.18025525791260508</v>
      </c>
      <c r="M294">
        <v>0.8197447420873949</v>
      </c>
      <c r="N294">
        <v>6.9434836581750536E-2</v>
      </c>
      <c r="O294" s="72">
        <v>0.99199400700797513</v>
      </c>
      <c r="P294">
        <v>0.99864225553643315</v>
      </c>
      <c r="Q294">
        <v>0.97967720691691396</v>
      </c>
      <c r="R294">
        <v>0.49333009751897305</v>
      </c>
      <c r="S294">
        <v>0.40885931328931369</v>
      </c>
      <c r="T294">
        <v>0.33981535817220321</v>
      </c>
      <c r="U294">
        <v>0.7947095397050199</v>
      </c>
      <c r="V294">
        <v>0.65512203613585263</v>
      </c>
      <c r="W294">
        <v>0.56990228487724304</v>
      </c>
      <c r="X294">
        <v>0.44558461246068115</v>
      </c>
      <c r="Y294">
        <v>0.49483073846072112</v>
      </c>
      <c r="Z294">
        <v>0.49115156746174993</v>
      </c>
      <c r="AA294">
        <v>0.62060138450795954</v>
      </c>
      <c r="AB294">
        <v>0.74499800128030158</v>
      </c>
      <c r="AC294">
        <v>0.70284956687277922</v>
      </c>
      <c r="AD294">
        <v>0.5438467841261696</v>
      </c>
      <c r="AE294">
        <v>196.5055851777449</v>
      </c>
      <c r="AF294">
        <v>963.87211733835443</v>
      </c>
      <c r="AG294">
        <v>1565.6661273201539</v>
      </c>
      <c r="AH294">
        <v>11798.908782926768</v>
      </c>
      <c r="AI294">
        <v>11334.200301468627</v>
      </c>
      <c r="AJ294">
        <v>40021.145115017578</v>
      </c>
      <c r="AK294">
        <v>23252.040775874881</v>
      </c>
      <c r="AL294">
        <v>2121.9602934133268</v>
      </c>
      <c r="AM294">
        <v>337.74637819080334</v>
      </c>
      <c r="AO294">
        <v>40413.137948376432</v>
      </c>
      <c r="AP294">
        <v>12.313042300811269</v>
      </c>
      <c r="AQ294">
        <v>45732.327607294974</v>
      </c>
      <c r="AR294">
        <v>12.358466007166406</v>
      </c>
      <c r="AS294" s="2">
        <f t="shared" si="29"/>
        <v>5319.1896589185417</v>
      </c>
      <c r="AT294" s="2">
        <f t="shared" si="30"/>
        <v>4.5423706355137483E-2</v>
      </c>
      <c r="AV294">
        <f t="shared" si="31"/>
        <v>1190891.0921327504</v>
      </c>
      <c r="AW294">
        <f t="shared" si="32"/>
        <v>1190114.2731093457</v>
      </c>
      <c r="AY294">
        <f t="shared" si="33"/>
        <v>1</v>
      </c>
      <c r="AZ294">
        <f t="shared" si="34"/>
        <v>0</v>
      </c>
    </row>
    <row r="295" spans="1:52" x14ac:dyDescent="0.2">
      <c r="A295">
        <f t="shared" si="28"/>
        <v>291</v>
      </c>
      <c r="B295">
        <v>1.9655521571844668E-2</v>
      </c>
      <c r="C295">
        <v>3.6530743702359786E-2</v>
      </c>
      <c r="D295">
        <v>2.7902030161083748E-2</v>
      </c>
      <c r="E295">
        <v>5.0942343073612202E-3</v>
      </c>
      <c r="F295">
        <v>3.4053653103583992E-3</v>
      </c>
      <c r="G295">
        <v>2.3149404659549067E-2</v>
      </c>
      <c r="H295">
        <v>1.6804802822104545E-2</v>
      </c>
      <c r="I295">
        <v>0.12202490678370989</v>
      </c>
      <c r="J295">
        <v>0</v>
      </c>
      <c r="K295">
        <v>0.45753127856466547</v>
      </c>
      <c r="L295">
        <v>0.25990327545591785</v>
      </c>
      <c r="M295">
        <v>0.74009672454408215</v>
      </c>
      <c r="N295">
        <v>5.5814253148833558E-2</v>
      </c>
      <c r="O295" s="72">
        <v>0.99780840854809161</v>
      </c>
      <c r="P295">
        <v>0.99992033724247065</v>
      </c>
      <c r="Q295">
        <v>0.97879574036948824</v>
      </c>
      <c r="R295">
        <v>0.48217444412452182</v>
      </c>
      <c r="S295">
        <v>0.34193823585722727</v>
      </c>
      <c r="T295">
        <v>0.17768140867745974</v>
      </c>
      <c r="U295">
        <v>0.80002875347528024</v>
      </c>
      <c r="V295">
        <v>0.61211812336407978</v>
      </c>
      <c r="W295">
        <v>0.62353570116822454</v>
      </c>
      <c r="X295">
        <v>0.44849799356238668</v>
      </c>
      <c r="Y295">
        <v>0.50342249688619756</v>
      </c>
      <c r="Z295">
        <v>0.48253933334713606</v>
      </c>
      <c r="AA295">
        <v>0.56505565687442627</v>
      </c>
      <c r="AB295">
        <v>0.83084105641217587</v>
      </c>
      <c r="AC295">
        <v>0.65862708319825214</v>
      </c>
      <c r="AD295">
        <v>0.69236166618994943</v>
      </c>
      <c r="AE295">
        <v>164.05985895618136</v>
      </c>
      <c r="AF295">
        <v>1001.5365224223966</v>
      </c>
      <c r="AG295">
        <v>1700.6436327127647</v>
      </c>
      <c r="AH295">
        <v>11917.703245657127</v>
      </c>
      <c r="AI295">
        <v>13198.950762287999</v>
      </c>
      <c r="AJ295">
        <v>42995.00062307404</v>
      </c>
      <c r="AK295">
        <v>15210.41608468855</v>
      </c>
      <c r="AL295">
        <v>1938.2073922115824</v>
      </c>
      <c r="AM295">
        <v>377.42374667464696</v>
      </c>
      <c r="AO295">
        <v>45397.542333771766</v>
      </c>
      <c r="AP295">
        <v>13.495411796231414</v>
      </c>
      <c r="AQ295">
        <v>46306.98330809355</v>
      </c>
      <c r="AR295">
        <v>13.670994979669079</v>
      </c>
      <c r="AS295" s="2">
        <f t="shared" si="29"/>
        <v>909.44097432178387</v>
      </c>
      <c r="AT295" s="2">
        <f t="shared" si="30"/>
        <v>0.17558318343766466</v>
      </c>
      <c r="AV295">
        <f t="shared" si="31"/>
        <v>1304143.6372893697</v>
      </c>
      <c r="AW295">
        <f t="shared" si="32"/>
        <v>1320792.5146588143</v>
      </c>
      <c r="AY295">
        <f t="shared" si="33"/>
        <v>0</v>
      </c>
      <c r="AZ295">
        <f t="shared" si="34"/>
        <v>1</v>
      </c>
    </row>
    <row r="296" spans="1:52" x14ac:dyDescent="0.2">
      <c r="A296">
        <f t="shared" si="28"/>
        <v>292</v>
      </c>
      <c r="B296">
        <v>2.7426615180438985E-2</v>
      </c>
      <c r="C296">
        <v>3.7988103125788042E-2</v>
      </c>
      <c r="D296">
        <v>3.73116219490187E-2</v>
      </c>
      <c r="E296">
        <v>1.2896498304096672E-3</v>
      </c>
      <c r="F296">
        <v>3.3981679859691472E-3</v>
      </c>
      <c r="G296">
        <v>1.7054966937869342E-2</v>
      </c>
      <c r="H296">
        <v>1.0597540092594226E-2</v>
      </c>
      <c r="I296">
        <v>0.12326650159785994</v>
      </c>
      <c r="J296">
        <v>0</v>
      </c>
      <c r="K296">
        <v>0.36412209770730419</v>
      </c>
      <c r="L296">
        <v>0.13492187685684442</v>
      </c>
      <c r="M296">
        <v>0.86507812314315558</v>
      </c>
      <c r="N296">
        <v>5.0109657013178641E-2</v>
      </c>
      <c r="O296" s="72">
        <v>0.99996599418767895</v>
      </c>
      <c r="P296">
        <v>0.95082608182041706</v>
      </c>
      <c r="Q296">
        <v>0.91498894706512235</v>
      </c>
      <c r="R296">
        <v>0.51437622921679549</v>
      </c>
      <c r="S296">
        <v>0.40861382529127022</v>
      </c>
      <c r="T296">
        <v>0.17776252397216163</v>
      </c>
      <c r="U296">
        <v>0.76703571940095316</v>
      </c>
      <c r="V296">
        <v>0.64831725891541447</v>
      </c>
      <c r="W296">
        <v>0.58851197081191997</v>
      </c>
      <c r="X296">
        <v>0.46868582532176362</v>
      </c>
      <c r="Y296">
        <v>0.44271901027006194</v>
      </c>
      <c r="Z296">
        <v>0.43270938063023306</v>
      </c>
      <c r="AA296">
        <v>0.638221472921363</v>
      </c>
      <c r="AB296">
        <v>0.78429997327251377</v>
      </c>
      <c r="AC296">
        <v>0.86880852314360579</v>
      </c>
      <c r="AD296">
        <v>0.67587879762282244</v>
      </c>
      <c r="AE296">
        <v>160.65579912758668</v>
      </c>
      <c r="AF296">
        <v>998.57498040905227</v>
      </c>
      <c r="AG296">
        <v>1692.6654716097732</v>
      </c>
      <c r="AH296">
        <v>13757.442753984415</v>
      </c>
      <c r="AI296">
        <v>7928.3393867370432</v>
      </c>
      <c r="AJ296">
        <v>42727.433126981261</v>
      </c>
      <c r="AK296">
        <v>23946.750661054277</v>
      </c>
      <c r="AL296">
        <v>1808.36227902063</v>
      </c>
      <c r="AM296">
        <v>350.2869760129069</v>
      </c>
      <c r="AO296">
        <v>42831.346115422159</v>
      </c>
      <c r="AP296">
        <v>13.234201639775666</v>
      </c>
      <c r="AQ296">
        <v>47740.351896138302</v>
      </c>
      <c r="AR296">
        <v>13.382419086154288</v>
      </c>
      <c r="AS296" s="2">
        <f t="shared" si="29"/>
        <v>4909.0057807161429</v>
      </c>
      <c r="AT296" s="2">
        <f t="shared" si="30"/>
        <v>0.14821744637862189</v>
      </c>
      <c r="AV296">
        <f t="shared" si="31"/>
        <v>1280588.8178621444</v>
      </c>
      <c r="AW296">
        <f t="shared" si="32"/>
        <v>1290501.5567192903</v>
      </c>
      <c r="AY296">
        <f t="shared" si="33"/>
        <v>0</v>
      </c>
      <c r="AZ296">
        <f t="shared" si="34"/>
        <v>1</v>
      </c>
    </row>
    <row r="297" spans="1:52" x14ac:dyDescent="0.2">
      <c r="A297">
        <f t="shared" si="28"/>
        <v>293</v>
      </c>
      <c r="B297">
        <v>1.9594040515460834E-2</v>
      </c>
      <c r="C297">
        <v>3.7228239587064449E-2</v>
      </c>
      <c r="D297">
        <v>3.77012675454938E-2</v>
      </c>
      <c r="E297">
        <v>7.9363443476864592E-3</v>
      </c>
      <c r="F297">
        <v>3.4401359927611619E-3</v>
      </c>
      <c r="G297">
        <v>5.911796053463151E-3</v>
      </c>
      <c r="H297">
        <v>3.3197600858950072E-2</v>
      </c>
      <c r="I297">
        <v>0.13570096880087568</v>
      </c>
      <c r="J297">
        <v>0</v>
      </c>
      <c r="K297">
        <v>0.42915521163882525</v>
      </c>
      <c r="L297">
        <v>0.22681160154401647</v>
      </c>
      <c r="M297">
        <v>0.77318839845598353</v>
      </c>
      <c r="N297">
        <v>5.0106428755799182E-2</v>
      </c>
      <c r="O297" s="72">
        <v>0.99387098886039715</v>
      </c>
      <c r="P297">
        <v>0.99751333286642829</v>
      </c>
      <c r="Q297">
        <v>0.98060487662700924</v>
      </c>
      <c r="R297">
        <v>0.44263788787666791</v>
      </c>
      <c r="S297">
        <v>0.40691335830917263</v>
      </c>
      <c r="T297">
        <v>0.24734197461839869</v>
      </c>
      <c r="U297">
        <v>0.74431784088217634</v>
      </c>
      <c r="V297">
        <v>0.67268949397823286</v>
      </c>
      <c r="W297">
        <v>0.61023972646523661</v>
      </c>
      <c r="X297">
        <v>0.43518434293085234</v>
      </c>
      <c r="Y297">
        <v>0.41780712682984211</v>
      </c>
      <c r="Z297">
        <v>0.44620725222099505</v>
      </c>
      <c r="AA297">
        <v>0.62702526420823856</v>
      </c>
      <c r="AB297">
        <v>0.78584114701659691</v>
      </c>
      <c r="AC297">
        <v>0.69576109372137418</v>
      </c>
      <c r="AD297">
        <v>0.66417233142468346</v>
      </c>
      <c r="AE297">
        <v>172.89588855310743</v>
      </c>
      <c r="AF297">
        <v>1079.0009314651361</v>
      </c>
      <c r="AG297">
        <v>1447.945805196561</v>
      </c>
      <c r="AH297">
        <v>12719.414436904101</v>
      </c>
      <c r="AI297">
        <v>12834.883904495602</v>
      </c>
      <c r="AJ297">
        <v>41029.008128116322</v>
      </c>
      <c r="AK297">
        <v>16827.996003802295</v>
      </c>
      <c r="AL297">
        <v>2367.8569555902086</v>
      </c>
      <c r="AM297">
        <v>335.70809723750767</v>
      </c>
      <c r="AO297">
        <v>44443.358430864304</v>
      </c>
      <c r="AP297">
        <v>12.917454835154631</v>
      </c>
      <c r="AQ297">
        <v>45751.062135617605</v>
      </c>
      <c r="AR297">
        <v>13.075322025413104</v>
      </c>
      <c r="AS297" s="2">
        <f t="shared" si="29"/>
        <v>1307.7037047533013</v>
      </c>
      <c r="AT297" s="2">
        <f t="shared" si="30"/>
        <v>0.1578671902584734</v>
      </c>
      <c r="AV297">
        <f t="shared" si="31"/>
        <v>1247302.1250845988</v>
      </c>
      <c r="AW297">
        <f t="shared" si="32"/>
        <v>1261781.1404056926</v>
      </c>
      <c r="AY297">
        <f t="shared" si="33"/>
        <v>0</v>
      </c>
      <c r="AZ297">
        <f t="shared" si="34"/>
        <v>1</v>
      </c>
    </row>
    <row r="298" spans="1:52" x14ac:dyDescent="0.2">
      <c r="A298">
        <f t="shared" si="28"/>
        <v>294</v>
      </c>
      <c r="B298">
        <v>2.6428712329537474E-2</v>
      </c>
      <c r="C298">
        <v>5.0361436231251333E-2</v>
      </c>
      <c r="D298">
        <v>4.3470647599756163E-2</v>
      </c>
      <c r="E298">
        <v>3.8495974179094776E-3</v>
      </c>
      <c r="F298">
        <v>3.480842465455436E-3</v>
      </c>
      <c r="G298">
        <v>6.9807734465018555E-3</v>
      </c>
      <c r="H298">
        <v>3.133928337798253E-2</v>
      </c>
      <c r="I298">
        <v>0.12169572487427512</v>
      </c>
      <c r="J298">
        <v>0</v>
      </c>
      <c r="K298">
        <v>0.44287456260275426</v>
      </c>
      <c r="L298">
        <v>0.15528275209135864</v>
      </c>
      <c r="M298">
        <v>0.84471724790864133</v>
      </c>
      <c r="N298">
        <v>6.4984239335128535E-2</v>
      </c>
      <c r="O298" s="72">
        <v>0.99259434686174064</v>
      </c>
      <c r="P298">
        <v>0.99799460168585674</v>
      </c>
      <c r="Q298">
        <v>0.93507895531393737</v>
      </c>
      <c r="R298">
        <v>0.44924139582678935</v>
      </c>
      <c r="S298">
        <v>0.3929820599440782</v>
      </c>
      <c r="T298">
        <v>0.12664067450738992</v>
      </c>
      <c r="U298">
        <v>0.77776888916747255</v>
      </c>
      <c r="V298">
        <v>0.63085972074325058</v>
      </c>
      <c r="W298">
        <v>0.59147459786610024</v>
      </c>
      <c r="X298">
        <v>0.47272970820045801</v>
      </c>
      <c r="Y298">
        <v>0.43646787524205338</v>
      </c>
      <c r="Z298">
        <v>0.41209617170790097</v>
      </c>
      <c r="AA298">
        <v>0.59927388000156467</v>
      </c>
      <c r="AB298">
        <v>0.90229268875164781</v>
      </c>
      <c r="AC298">
        <v>0.71901026581488192</v>
      </c>
      <c r="AD298">
        <v>0.55526422886055971</v>
      </c>
      <c r="AE298">
        <v>275.40897091166016</v>
      </c>
      <c r="AF298">
        <v>868.17726484397826</v>
      </c>
      <c r="AG298">
        <v>1866.5691348146797</v>
      </c>
      <c r="AH298">
        <v>12559.958494660197</v>
      </c>
      <c r="AI298">
        <v>13840.57900069889</v>
      </c>
      <c r="AJ298">
        <v>39932.802663083799</v>
      </c>
      <c r="AK298">
        <v>11875.04200214312</v>
      </c>
      <c r="AL298">
        <v>1751.0341515575601</v>
      </c>
      <c r="AM298">
        <v>357.51108904640807</v>
      </c>
      <c r="AO298">
        <v>48479.987422623519</v>
      </c>
      <c r="AP298">
        <v>14.277607045788738</v>
      </c>
      <c r="AQ298">
        <v>46360.587359743469</v>
      </c>
      <c r="AR298">
        <v>14.583494973306516</v>
      </c>
      <c r="AS298" s="2">
        <f t="shared" si="29"/>
        <v>-2119.4000628800495</v>
      </c>
      <c r="AT298" s="2">
        <f t="shared" si="30"/>
        <v>0.30588792751777838</v>
      </c>
      <c r="AV298">
        <f t="shared" si="31"/>
        <v>1379280.7171562503</v>
      </c>
      <c r="AW298">
        <f t="shared" si="32"/>
        <v>1411988.9099709082</v>
      </c>
      <c r="AY298">
        <f t="shared" si="33"/>
        <v>0</v>
      </c>
      <c r="AZ298">
        <f t="shared" si="34"/>
        <v>1</v>
      </c>
    </row>
    <row r="299" spans="1:52" x14ac:dyDescent="0.2">
      <c r="A299">
        <f t="shared" si="28"/>
        <v>295</v>
      </c>
      <c r="B299">
        <v>2.8503932604083126E-2</v>
      </c>
      <c r="C299">
        <v>2.852270804180539E-2</v>
      </c>
      <c r="D299">
        <v>3.6038276557737656E-2</v>
      </c>
      <c r="E299">
        <v>1.9546264669073341E-3</v>
      </c>
      <c r="F299">
        <v>3.3322747109606377E-3</v>
      </c>
      <c r="G299">
        <v>1.4152325893325678E-3</v>
      </c>
      <c r="H299">
        <v>2.3199030049050638E-2</v>
      </c>
      <c r="I299">
        <v>0.13324037001335443</v>
      </c>
      <c r="J299">
        <v>0</v>
      </c>
      <c r="K299">
        <v>0.44985099337292533</v>
      </c>
      <c r="L299">
        <v>0.21275647732662195</v>
      </c>
      <c r="M299">
        <v>0.78724352267337805</v>
      </c>
      <c r="N299">
        <v>4.497651547693151E-2</v>
      </c>
      <c r="O299" s="72">
        <v>0.94783925654791601</v>
      </c>
      <c r="P299">
        <v>0.99993405890024634</v>
      </c>
      <c r="Q299">
        <v>0.9293298401214567</v>
      </c>
      <c r="R299">
        <v>0.48966468358829929</v>
      </c>
      <c r="S299">
        <v>0.40089096752152553</v>
      </c>
      <c r="T299">
        <v>0.19629747729234381</v>
      </c>
      <c r="U299">
        <v>0.7454716871963446</v>
      </c>
      <c r="V299">
        <v>0.63430383428470538</v>
      </c>
      <c r="W299">
        <v>0.49893618950850172</v>
      </c>
      <c r="X299">
        <v>0.44732389494865543</v>
      </c>
      <c r="Y299">
        <v>0.40436889227016376</v>
      </c>
      <c r="Z299">
        <v>0.4153126909113859</v>
      </c>
      <c r="AA299">
        <v>0.62047058349475093</v>
      </c>
      <c r="AB299">
        <v>0.8604255162149228</v>
      </c>
      <c r="AC299">
        <v>0.65897873477500768</v>
      </c>
      <c r="AD299">
        <v>0.62799164448903189</v>
      </c>
      <c r="AE299">
        <v>196.51606768873131</v>
      </c>
      <c r="AF299">
        <v>1086.3418020204563</v>
      </c>
      <c r="AG299">
        <v>1499.2135431754348</v>
      </c>
      <c r="AH299">
        <v>13816.095263473217</v>
      </c>
      <c r="AI299">
        <v>11403.718924925392</v>
      </c>
      <c r="AJ299">
        <v>41095.684646852998</v>
      </c>
      <c r="AK299">
        <v>14142.9329727556</v>
      </c>
      <c r="AL299">
        <v>1789.1831091176621</v>
      </c>
      <c r="AM299">
        <v>269.61423030212256</v>
      </c>
      <c r="AO299">
        <v>42325.076481741722</v>
      </c>
      <c r="AP299">
        <v>13.724671354291516</v>
      </c>
      <c r="AQ299">
        <v>45071.243215808587</v>
      </c>
      <c r="AR299">
        <v>13.992720462678967</v>
      </c>
      <c r="AS299" s="2">
        <f t="shared" si="29"/>
        <v>2746.1667340668646</v>
      </c>
      <c r="AT299" s="2">
        <f t="shared" si="30"/>
        <v>0.26804910838745144</v>
      </c>
      <c r="AV299">
        <f t="shared" si="31"/>
        <v>1330142.05894741</v>
      </c>
      <c r="AW299">
        <f t="shared" si="32"/>
        <v>1354200.803052088</v>
      </c>
      <c r="AY299">
        <f t="shared" si="33"/>
        <v>0</v>
      </c>
      <c r="AZ299">
        <f t="shared" si="34"/>
        <v>1</v>
      </c>
    </row>
    <row r="300" spans="1:52" x14ac:dyDescent="0.2">
      <c r="A300">
        <f t="shared" si="28"/>
        <v>296</v>
      </c>
      <c r="B300">
        <v>2.2129520371341912E-2</v>
      </c>
      <c r="C300">
        <v>2.9445289883288199E-2</v>
      </c>
      <c r="D300">
        <v>4.2757250446618267E-2</v>
      </c>
      <c r="E300">
        <v>7.8768166861674666E-3</v>
      </c>
      <c r="F300">
        <v>3.3185210665650521E-3</v>
      </c>
      <c r="G300">
        <v>4.9766755164723014E-3</v>
      </c>
      <c r="H300">
        <v>3.5181791963284637E-2</v>
      </c>
      <c r="I300">
        <v>0.11676201890165666</v>
      </c>
      <c r="J300">
        <v>0</v>
      </c>
      <c r="K300">
        <v>0.40236551914482588</v>
      </c>
      <c r="L300">
        <v>0.18966445340290461</v>
      </c>
      <c r="M300">
        <v>0.81033554659709539</v>
      </c>
      <c r="N300">
        <v>8.0471963124171042E-2</v>
      </c>
      <c r="O300" s="72">
        <v>0.99924791715257477</v>
      </c>
      <c r="P300">
        <v>0.99347980964269944</v>
      </c>
      <c r="Q300">
        <v>0.97575178443616062</v>
      </c>
      <c r="R300">
        <v>0.51213271239358948</v>
      </c>
      <c r="S300">
        <v>0.43413880467532739</v>
      </c>
      <c r="T300">
        <v>0.26523549216887121</v>
      </c>
      <c r="U300">
        <v>0.77007055715227823</v>
      </c>
      <c r="V300">
        <v>0.68890049636517636</v>
      </c>
      <c r="W300">
        <v>0.65671238533797904</v>
      </c>
      <c r="X300">
        <v>0.46715449206237769</v>
      </c>
      <c r="Y300">
        <v>0.39801583295392612</v>
      </c>
      <c r="Z300">
        <v>0.45041998584356102</v>
      </c>
      <c r="AA300">
        <v>0.64701259993344584</v>
      </c>
      <c r="AB300">
        <v>0.91531423613125362</v>
      </c>
      <c r="AC300">
        <v>0.74510737392564741</v>
      </c>
      <c r="AD300">
        <v>0.62052065361480147</v>
      </c>
      <c r="AE300">
        <v>273.25958098520886</v>
      </c>
      <c r="AF300">
        <v>1051.9178691334018</v>
      </c>
      <c r="AG300">
        <v>2160.1277262806029</v>
      </c>
      <c r="AH300">
        <v>10371.712169529901</v>
      </c>
      <c r="AI300">
        <v>8356.8318134027304</v>
      </c>
      <c r="AJ300">
        <v>37636.170629625492</v>
      </c>
      <c r="AK300">
        <v>13553.11700830651</v>
      </c>
      <c r="AL300">
        <v>1460.9268832765251</v>
      </c>
      <c r="AM300">
        <v>441.60953398675525</v>
      </c>
      <c r="AO300">
        <v>42062.417933021759</v>
      </c>
      <c r="AP300">
        <v>14.680027792504472</v>
      </c>
      <c r="AQ300">
        <v>47626.085335917145</v>
      </c>
      <c r="AR300">
        <v>14.901783489109215</v>
      </c>
      <c r="AS300" s="2">
        <f t="shared" si="29"/>
        <v>5563.6674028953857</v>
      </c>
      <c r="AT300" s="2">
        <f t="shared" si="30"/>
        <v>0.22175569660474359</v>
      </c>
      <c r="AV300">
        <f t="shared" si="31"/>
        <v>1425940.3613174255</v>
      </c>
      <c r="AW300">
        <f t="shared" si="32"/>
        <v>1442552.2635750044</v>
      </c>
      <c r="AY300">
        <f t="shared" si="33"/>
        <v>0</v>
      </c>
      <c r="AZ300">
        <f t="shared" si="34"/>
        <v>1</v>
      </c>
    </row>
    <row r="301" spans="1:52" x14ac:dyDescent="0.2">
      <c r="A301">
        <f t="shared" si="28"/>
        <v>297</v>
      </c>
      <c r="B301">
        <v>3.0532278767664178E-2</v>
      </c>
      <c r="C301">
        <v>2.9340935254580817E-2</v>
      </c>
      <c r="D301">
        <v>2.7874287430515676E-2</v>
      </c>
      <c r="E301">
        <v>8.0440366239505675E-3</v>
      </c>
      <c r="F301">
        <v>3.2184899221350482E-3</v>
      </c>
      <c r="G301">
        <v>5.8833653339244209E-3</v>
      </c>
      <c r="H301">
        <v>2.5639183580652043E-2</v>
      </c>
      <c r="I301">
        <v>0.12559167688907191</v>
      </c>
      <c r="J301">
        <v>0</v>
      </c>
      <c r="K301">
        <v>0.42617908863092951</v>
      </c>
      <c r="L301">
        <v>0.2330203688040664</v>
      </c>
      <c r="M301">
        <v>0.7669796311959336</v>
      </c>
      <c r="N301">
        <v>5.8245709817615343E-2</v>
      </c>
      <c r="O301" s="72">
        <v>0.99649475503432838</v>
      </c>
      <c r="P301">
        <v>0.98637678442215393</v>
      </c>
      <c r="Q301">
        <v>0.90338606376957331</v>
      </c>
      <c r="R301">
        <v>0.49596132874806276</v>
      </c>
      <c r="S301">
        <v>0.35794218610795914</v>
      </c>
      <c r="T301">
        <v>0.18830293532227382</v>
      </c>
      <c r="U301">
        <v>0.78767321965649462</v>
      </c>
      <c r="V301">
        <v>0.69070137331435189</v>
      </c>
      <c r="W301">
        <v>0.6217299607172978</v>
      </c>
      <c r="X301">
        <v>0.48341695103810733</v>
      </c>
      <c r="Y301">
        <v>0.4290867066446476</v>
      </c>
      <c r="Z301">
        <v>0.42637475239304262</v>
      </c>
      <c r="AA301">
        <v>0.6447889896104434</v>
      </c>
      <c r="AB301">
        <v>0.80863737060695273</v>
      </c>
      <c r="AC301">
        <v>0.7436484221490387</v>
      </c>
      <c r="AD301">
        <v>0.61224663993920614</v>
      </c>
      <c r="AE301">
        <v>139.24898594276394</v>
      </c>
      <c r="AF301">
        <v>983.01382807846346</v>
      </c>
      <c r="AG301">
        <v>1253.8522583012248</v>
      </c>
      <c r="AH301">
        <v>13790.184758650865</v>
      </c>
      <c r="AI301">
        <v>9131.4301665946423</v>
      </c>
      <c r="AJ301">
        <v>44846.186098449441</v>
      </c>
      <c r="AK301">
        <v>13260.116683841155</v>
      </c>
      <c r="AL301">
        <v>1137.8606399389103</v>
      </c>
      <c r="AM301">
        <v>332.52887432937399</v>
      </c>
      <c r="AO301">
        <v>43439.326899682557</v>
      </c>
      <c r="AP301">
        <v>13.280133788818651</v>
      </c>
      <c r="AQ301">
        <v>46282.667918554784</v>
      </c>
      <c r="AR301">
        <v>13.407700733771609</v>
      </c>
      <c r="AS301" s="2">
        <f t="shared" si="29"/>
        <v>2843.3410188722264</v>
      </c>
      <c r="AT301" s="2">
        <f t="shared" si="30"/>
        <v>0.12756694495295839</v>
      </c>
      <c r="AV301">
        <f t="shared" si="31"/>
        <v>1284574.0519821823</v>
      </c>
      <c r="AW301">
        <f t="shared" si="32"/>
        <v>1294487.4054586061</v>
      </c>
      <c r="AY301">
        <f t="shared" si="33"/>
        <v>0</v>
      </c>
      <c r="AZ301">
        <f t="shared" si="34"/>
        <v>1</v>
      </c>
    </row>
    <row r="302" spans="1:52" x14ac:dyDescent="0.2">
      <c r="A302">
        <f t="shared" si="28"/>
        <v>298</v>
      </c>
      <c r="B302">
        <v>2.9286445532741179E-2</v>
      </c>
      <c r="C302">
        <v>3.9183580052018163E-2</v>
      </c>
      <c r="D302">
        <v>4.9175053012031511E-2</v>
      </c>
      <c r="E302">
        <v>4.4337675346581762E-3</v>
      </c>
      <c r="F302">
        <v>3.2641785766158189E-3</v>
      </c>
      <c r="G302">
        <v>2.3132413515472732E-3</v>
      </c>
      <c r="H302">
        <v>2.4336118692713869E-2</v>
      </c>
      <c r="I302">
        <v>0.13389269294676487</v>
      </c>
      <c r="J302">
        <v>0</v>
      </c>
      <c r="K302">
        <v>0.41022220888001659</v>
      </c>
      <c r="L302">
        <v>0.28763953430993838</v>
      </c>
      <c r="M302">
        <v>0.71236046569006162</v>
      </c>
      <c r="N302">
        <v>4.8893235639175588E-2</v>
      </c>
      <c r="O302" s="72">
        <v>0.99983321958714266</v>
      </c>
      <c r="P302">
        <v>0.98493917037484602</v>
      </c>
      <c r="Q302">
        <v>0.94416329140121091</v>
      </c>
      <c r="R302">
        <v>0.58108276822224902</v>
      </c>
      <c r="S302">
        <v>0.51007472075239124</v>
      </c>
      <c r="T302">
        <v>0.32374474299539002</v>
      </c>
      <c r="U302">
        <v>0.78281047362505385</v>
      </c>
      <c r="V302">
        <v>0.63403293315917841</v>
      </c>
      <c r="W302">
        <v>0.47255921818065477</v>
      </c>
      <c r="X302">
        <v>0.46051763010961921</v>
      </c>
      <c r="Y302">
        <v>0.45862196330207294</v>
      </c>
      <c r="Z302">
        <v>0.48659674067958347</v>
      </c>
      <c r="AA302">
        <v>0.66099832768276023</v>
      </c>
      <c r="AB302">
        <v>0.85690095883911732</v>
      </c>
      <c r="AC302">
        <v>0.71517844293228205</v>
      </c>
      <c r="AD302">
        <v>0.66299341001763068</v>
      </c>
      <c r="AE302">
        <v>166.31461157676301</v>
      </c>
      <c r="AF302">
        <v>1226.0907593111497</v>
      </c>
      <c r="AG302">
        <v>1833.1749727378387</v>
      </c>
      <c r="AH302">
        <v>13309.801634464538</v>
      </c>
      <c r="AI302">
        <v>12760.001171726095</v>
      </c>
      <c r="AJ302">
        <v>48843.169567284553</v>
      </c>
      <c r="AK302">
        <v>22888.30002167722</v>
      </c>
      <c r="AL302">
        <v>2824.0373169271834</v>
      </c>
      <c r="AM302">
        <v>319.01978893753068</v>
      </c>
      <c r="AO302">
        <v>36081.376225186221</v>
      </c>
      <c r="AP302">
        <v>13.916067195592051</v>
      </c>
      <c r="AQ302">
        <v>46045.969508747388</v>
      </c>
      <c r="AR302">
        <v>14.092130806015829</v>
      </c>
      <c r="AS302" s="2">
        <f t="shared" si="29"/>
        <v>9964.5932835611675</v>
      </c>
      <c r="AT302" s="2">
        <f t="shared" si="30"/>
        <v>0.17606361042377827</v>
      </c>
      <c r="AV302">
        <f t="shared" si="31"/>
        <v>1355525.3433340187</v>
      </c>
      <c r="AW302">
        <f t="shared" si="32"/>
        <v>1363167.1110928357</v>
      </c>
      <c r="AY302">
        <f t="shared" si="33"/>
        <v>0</v>
      </c>
      <c r="AZ302">
        <f t="shared" si="34"/>
        <v>1</v>
      </c>
    </row>
    <row r="303" spans="1:52" x14ac:dyDescent="0.2">
      <c r="A303">
        <f t="shared" si="28"/>
        <v>299</v>
      </c>
      <c r="B303">
        <v>2.4046652430516569E-2</v>
      </c>
      <c r="C303">
        <v>3.1073212352967859E-2</v>
      </c>
      <c r="D303">
        <v>2.3806571672862216E-2</v>
      </c>
      <c r="E303">
        <v>9.5011445133297619E-3</v>
      </c>
      <c r="F303">
        <v>3.4350283998691999E-3</v>
      </c>
      <c r="G303">
        <v>2.6700264559244125E-2</v>
      </c>
      <c r="H303">
        <v>1.4690938847079452E-2</v>
      </c>
      <c r="I303">
        <v>0.12311562837075957</v>
      </c>
      <c r="J303">
        <v>0</v>
      </c>
      <c r="K303">
        <v>0.44157211483970393</v>
      </c>
      <c r="L303">
        <v>0.19997379363188439</v>
      </c>
      <c r="M303">
        <v>0.80002620636811561</v>
      </c>
      <c r="N303">
        <v>2.7871245484413609E-2</v>
      </c>
      <c r="O303" s="72">
        <v>0.95251025812122425</v>
      </c>
      <c r="P303">
        <v>0.99985100279372097</v>
      </c>
      <c r="Q303">
        <v>0.98416906948280036</v>
      </c>
      <c r="R303">
        <v>0.47530793546100736</v>
      </c>
      <c r="S303">
        <v>0.34094106136931113</v>
      </c>
      <c r="T303">
        <v>0.16523824027303136</v>
      </c>
      <c r="U303">
        <v>0.7884835962860588</v>
      </c>
      <c r="V303">
        <v>0.64171406180181256</v>
      </c>
      <c r="W303">
        <v>0.5539597653517232</v>
      </c>
      <c r="X303">
        <v>0.43619368093448635</v>
      </c>
      <c r="Y303">
        <v>0.42507848548450461</v>
      </c>
      <c r="Z303">
        <v>0.43535490579160052</v>
      </c>
      <c r="AA303">
        <v>0.62779246857549575</v>
      </c>
      <c r="AB303">
        <v>0.88731703158029096</v>
      </c>
      <c r="AC303">
        <v>0.72516434471097724</v>
      </c>
      <c r="AD303">
        <v>0.5087262309027375</v>
      </c>
      <c r="AE303">
        <v>222.3815486070194</v>
      </c>
      <c r="AF303">
        <v>954.12606779293276</v>
      </c>
      <c r="AG303">
        <v>1635.1191853258256</v>
      </c>
      <c r="AH303">
        <v>13319.4588701293</v>
      </c>
      <c r="AI303">
        <v>14237.450967178753</v>
      </c>
      <c r="AJ303">
        <v>41756.533720088308</v>
      </c>
      <c r="AK303">
        <v>14504.295246650578</v>
      </c>
      <c r="AL303">
        <v>1883.1551159637834</v>
      </c>
      <c r="AM303">
        <v>366.41487209427095</v>
      </c>
      <c r="AO303">
        <v>46091.51575986229</v>
      </c>
      <c r="AP303">
        <v>14.105111074234634</v>
      </c>
      <c r="AQ303">
        <v>46379.20961732349</v>
      </c>
      <c r="AR303">
        <v>14.322495820099872</v>
      </c>
      <c r="AS303" s="2">
        <f t="shared" si="29"/>
        <v>287.69385746119951</v>
      </c>
      <c r="AT303" s="2">
        <f t="shared" si="30"/>
        <v>0.21738474586523893</v>
      </c>
      <c r="AV303">
        <f t="shared" si="31"/>
        <v>1364419.5916636011</v>
      </c>
      <c r="AW303">
        <f t="shared" si="32"/>
        <v>1385870.3723926637</v>
      </c>
      <c r="AY303">
        <f t="shared" si="33"/>
        <v>0</v>
      </c>
      <c r="AZ303">
        <f t="shared" si="34"/>
        <v>1</v>
      </c>
    </row>
    <row r="304" spans="1:52" x14ac:dyDescent="0.2">
      <c r="A304">
        <f t="shared" si="28"/>
        <v>300</v>
      </c>
      <c r="B304">
        <v>2.3866798271883965E-2</v>
      </c>
      <c r="C304">
        <v>3.1782342945791339E-2</v>
      </c>
      <c r="D304">
        <v>4.1270232592668821E-2</v>
      </c>
      <c r="E304">
        <v>2.7109973572403634E-2</v>
      </c>
      <c r="F304">
        <v>3.281584384058915E-3</v>
      </c>
      <c r="G304">
        <v>3.112058215959221E-3</v>
      </c>
      <c r="H304">
        <v>2.6121727154986365E-2</v>
      </c>
      <c r="I304">
        <v>0.12644172503836748</v>
      </c>
      <c r="J304">
        <v>0</v>
      </c>
      <c r="K304">
        <v>0.43816143250228423</v>
      </c>
      <c r="L304">
        <v>0.1917794166297084</v>
      </c>
      <c r="M304">
        <v>0.80822058337029157</v>
      </c>
      <c r="N304">
        <v>4.6269466988505807E-2</v>
      </c>
      <c r="O304" s="72">
        <v>0.99996459282416261</v>
      </c>
      <c r="P304">
        <v>0.99992115541971383</v>
      </c>
      <c r="Q304">
        <v>0.96550919283273451</v>
      </c>
      <c r="R304">
        <v>0.49222466110290108</v>
      </c>
      <c r="S304">
        <v>0.3297449869282213</v>
      </c>
      <c r="T304">
        <v>0.42342335659642738</v>
      </c>
      <c r="U304">
        <v>0.72821304709417001</v>
      </c>
      <c r="V304">
        <v>0.72272453087780697</v>
      </c>
      <c r="W304">
        <v>0.47090308918800572</v>
      </c>
      <c r="X304">
        <v>0.51354901982704626</v>
      </c>
      <c r="Y304">
        <v>0.43396064006798518</v>
      </c>
      <c r="Z304">
        <v>0.51027414523141434</v>
      </c>
      <c r="AA304">
        <v>0.65976082809743897</v>
      </c>
      <c r="AB304">
        <v>0.81379108074270801</v>
      </c>
      <c r="AC304">
        <v>0.75191214520284366</v>
      </c>
      <c r="AD304">
        <v>0.64189641970148781</v>
      </c>
      <c r="AE304">
        <v>149.46759674043381</v>
      </c>
      <c r="AF304">
        <v>1000.7314101340726</v>
      </c>
      <c r="AG304">
        <v>1748.0216613748717</v>
      </c>
      <c r="AH304">
        <v>12900.318735375266</v>
      </c>
      <c r="AI304">
        <v>11197.955105096678</v>
      </c>
      <c r="AJ304">
        <v>37146.032937101583</v>
      </c>
      <c r="AK304">
        <v>13916.708225551727</v>
      </c>
      <c r="AL304">
        <v>2278.5833967692183</v>
      </c>
      <c r="AM304">
        <v>488.56544584563431</v>
      </c>
      <c r="AO304">
        <v>42952.662514987387</v>
      </c>
      <c r="AP304">
        <v>13.360785152949813</v>
      </c>
      <c r="AQ304">
        <v>48099.176635778073</v>
      </c>
      <c r="AR304">
        <v>13.536101162877371</v>
      </c>
      <c r="AS304" s="2">
        <f t="shared" si="29"/>
        <v>5146.5141207906854</v>
      </c>
      <c r="AT304" s="2">
        <f t="shared" si="30"/>
        <v>0.17531600992755791</v>
      </c>
      <c r="AV304">
        <f t="shared" si="31"/>
        <v>1293125.8527799938</v>
      </c>
      <c r="AW304">
        <f t="shared" si="32"/>
        <v>1305510.9396519591</v>
      </c>
      <c r="AY304">
        <f t="shared" si="33"/>
        <v>0</v>
      </c>
      <c r="AZ304">
        <f t="shared" si="34"/>
        <v>1</v>
      </c>
    </row>
    <row r="305" spans="1:52" x14ac:dyDescent="0.2">
      <c r="A305">
        <f t="shared" si="28"/>
        <v>301</v>
      </c>
      <c r="B305">
        <v>2.659754411436277E-2</v>
      </c>
      <c r="C305">
        <v>3.3758202954445163E-2</v>
      </c>
      <c r="D305">
        <v>4.8459553401595246E-2</v>
      </c>
      <c r="E305">
        <v>1.7889909565329098E-2</v>
      </c>
      <c r="F305">
        <v>3.2970584777478277E-3</v>
      </c>
      <c r="G305">
        <v>1.13964947802892E-2</v>
      </c>
      <c r="H305">
        <v>4.010443316483947E-2</v>
      </c>
      <c r="I305">
        <v>0.12645830423546006</v>
      </c>
      <c r="J305">
        <v>0</v>
      </c>
      <c r="K305">
        <v>0.44168773976956333</v>
      </c>
      <c r="L305">
        <v>0.2632884733919667</v>
      </c>
      <c r="M305">
        <v>0.7367115266080333</v>
      </c>
      <c r="N305">
        <v>3.9321700553281991E-2</v>
      </c>
      <c r="O305" s="72">
        <v>0.99731674240565305</v>
      </c>
      <c r="P305">
        <v>0.99979597041087609</v>
      </c>
      <c r="Q305">
        <v>0.95501271809129107</v>
      </c>
      <c r="R305">
        <v>0.47346257697532446</v>
      </c>
      <c r="S305">
        <v>0.40986804520312414</v>
      </c>
      <c r="T305">
        <v>0.26499384877230592</v>
      </c>
      <c r="U305">
        <v>0.80024685433412701</v>
      </c>
      <c r="V305">
        <v>0.68297399865993924</v>
      </c>
      <c r="W305">
        <v>0.56132356427164765</v>
      </c>
      <c r="X305">
        <v>0.46036582313488938</v>
      </c>
      <c r="Y305">
        <v>0.44169747703841683</v>
      </c>
      <c r="Z305">
        <v>0.44632463041732279</v>
      </c>
      <c r="AA305">
        <v>0.6952835835510347</v>
      </c>
      <c r="AB305">
        <v>0.79570627618786316</v>
      </c>
      <c r="AC305">
        <v>0.74691094572180416</v>
      </c>
      <c r="AD305">
        <v>0.66193545539332677</v>
      </c>
      <c r="AE305">
        <v>139.30484287467524</v>
      </c>
      <c r="AF305">
        <v>1091.3146986772506</v>
      </c>
      <c r="AG305">
        <v>1184.2160667011999</v>
      </c>
      <c r="AH305">
        <v>12382.90187260833</v>
      </c>
      <c r="AI305">
        <v>9855.0559465842907</v>
      </c>
      <c r="AJ305">
        <v>38203.160154438607</v>
      </c>
      <c r="AK305">
        <v>11800.061667315291</v>
      </c>
      <c r="AL305">
        <v>2237.5133856956209</v>
      </c>
      <c r="AM305">
        <v>349.34642937168371</v>
      </c>
      <c r="AO305">
        <v>42423.155808297321</v>
      </c>
      <c r="AP305">
        <v>13.155058460450141</v>
      </c>
      <c r="AQ305">
        <v>45904.062871993985</v>
      </c>
      <c r="AR305">
        <v>13.302263870971988</v>
      </c>
      <c r="AS305" s="2">
        <f t="shared" si="29"/>
        <v>3480.9070636966644</v>
      </c>
      <c r="AT305" s="2">
        <f t="shared" si="30"/>
        <v>0.14720541052184721</v>
      </c>
      <c r="AV305">
        <f t="shared" si="31"/>
        <v>1273082.6902367168</v>
      </c>
      <c r="AW305">
        <f t="shared" si="32"/>
        <v>1284322.3242252048</v>
      </c>
      <c r="AY305">
        <f t="shared" si="33"/>
        <v>0</v>
      </c>
      <c r="AZ305">
        <f t="shared" si="34"/>
        <v>1</v>
      </c>
    </row>
    <row r="306" spans="1:52" x14ac:dyDescent="0.2">
      <c r="A306">
        <f t="shared" si="28"/>
        <v>302</v>
      </c>
      <c r="B306">
        <v>2.5107380697087844E-2</v>
      </c>
      <c r="C306">
        <v>4.499836084063169E-2</v>
      </c>
      <c r="D306">
        <v>3.5607873338171225E-2</v>
      </c>
      <c r="E306">
        <v>7.069796820138933E-3</v>
      </c>
      <c r="F306">
        <v>3.2535111088298264E-3</v>
      </c>
      <c r="G306">
        <v>7.5285048714138249E-3</v>
      </c>
      <c r="H306">
        <v>4.8719318766161535E-2</v>
      </c>
      <c r="I306">
        <v>0.12757081188138741</v>
      </c>
      <c r="J306">
        <v>0</v>
      </c>
      <c r="K306">
        <v>0.45225739515875119</v>
      </c>
      <c r="L306">
        <v>0.26295302915644347</v>
      </c>
      <c r="M306">
        <v>0.73704697084355653</v>
      </c>
      <c r="N306">
        <v>4.8982942756543163E-2</v>
      </c>
      <c r="O306" s="72">
        <v>0.99985375377334862</v>
      </c>
      <c r="P306">
        <v>0.99999977734745416</v>
      </c>
      <c r="Q306">
        <v>0.94634632398695973</v>
      </c>
      <c r="R306">
        <v>0.49152415917104575</v>
      </c>
      <c r="S306">
        <v>0.46580770774414804</v>
      </c>
      <c r="T306">
        <v>0.2429178471094493</v>
      </c>
      <c r="U306">
        <v>0.74461975240527989</v>
      </c>
      <c r="V306">
        <v>0.70736859494276882</v>
      </c>
      <c r="W306">
        <v>0.48773695581675336</v>
      </c>
      <c r="X306">
        <v>0.39905006598852444</v>
      </c>
      <c r="Y306">
        <v>0.48256849305616067</v>
      </c>
      <c r="Z306">
        <v>0.45853444582055825</v>
      </c>
      <c r="AA306">
        <v>0.68158708451065264</v>
      </c>
      <c r="AB306">
        <v>0.78690856890244698</v>
      </c>
      <c r="AC306">
        <v>0.75574598759769251</v>
      </c>
      <c r="AD306">
        <v>0.64858787078084024</v>
      </c>
      <c r="AE306">
        <v>242.2678905328539</v>
      </c>
      <c r="AF306">
        <v>1040.1265251077534</v>
      </c>
      <c r="AG306">
        <v>1272.2652393821345</v>
      </c>
      <c r="AH306">
        <v>12547.0594343055</v>
      </c>
      <c r="AI306">
        <v>7118.8861855895193</v>
      </c>
      <c r="AJ306">
        <v>37765.757928396939</v>
      </c>
      <c r="AK306">
        <v>10123.522800549445</v>
      </c>
      <c r="AL306">
        <v>2864.3859702824361</v>
      </c>
      <c r="AM306">
        <v>327.66057451682258</v>
      </c>
      <c r="AO306">
        <v>41273.020846738254</v>
      </c>
      <c r="AP306">
        <v>13.01838206923259</v>
      </c>
      <c r="AQ306">
        <v>45665.024706444601</v>
      </c>
      <c r="AR306">
        <v>13.177453303199007</v>
      </c>
      <c r="AS306" s="2">
        <f t="shared" si="29"/>
        <v>4392.0038597063467</v>
      </c>
      <c r="AT306" s="2">
        <f t="shared" si="30"/>
        <v>0.15907123396641687</v>
      </c>
      <c r="AV306">
        <f t="shared" si="31"/>
        <v>1260565.1860765207</v>
      </c>
      <c r="AW306">
        <f t="shared" si="32"/>
        <v>1272080.3056134561</v>
      </c>
      <c r="AY306">
        <f t="shared" si="33"/>
        <v>0</v>
      </c>
      <c r="AZ306">
        <f t="shared" si="34"/>
        <v>1</v>
      </c>
    </row>
    <row r="307" spans="1:52" x14ac:dyDescent="0.2">
      <c r="A307">
        <f t="shared" si="28"/>
        <v>303</v>
      </c>
      <c r="B307">
        <v>2.5500155418071269E-2</v>
      </c>
      <c r="C307">
        <v>2.8794903833381173E-2</v>
      </c>
      <c r="D307">
        <v>4.88465156331509E-2</v>
      </c>
      <c r="E307">
        <v>1.2026302060704985E-2</v>
      </c>
      <c r="F307">
        <v>3.2027200812922824E-3</v>
      </c>
      <c r="G307">
        <v>1.8959476338501702E-2</v>
      </c>
      <c r="H307">
        <v>3.2795118383918909E-2</v>
      </c>
      <c r="I307">
        <v>0.13556643610864938</v>
      </c>
      <c r="J307">
        <v>0</v>
      </c>
      <c r="K307">
        <v>0.46176688862665949</v>
      </c>
      <c r="L307">
        <v>0.20481800254720617</v>
      </c>
      <c r="M307">
        <v>0.79518199745279383</v>
      </c>
      <c r="N307">
        <v>5.3688638021966079E-2</v>
      </c>
      <c r="O307" s="72">
        <v>0.9993391166023663</v>
      </c>
      <c r="P307">
        <v>0.99947623165415311</v>
      </c>
      <c r="Q307">
        <v>0.97702916385431249</v>
      </c>
      <c r="R307">
        <v>0.54983610416686723</v>
      </c>
      <c r="S307">
        <v>0.37758589237018325</v>
      </c>
      <c r="T307">
        <v>0.18761606533313024</v>
      </c>
      <c r="U307">
        <v>0.73301549467036053</v>
      </c>
      <c r="V307">
        <v>0.66874104339645446</v>
      </c>
      <c r="W307">
        <v>0.63418076065293083</v>
      </c>
      <c r="X307">
        <v>0.43773607062161402</v>
      </c>
      <c r="Y307">
        <v>0.43064760116438316</v>
      </c>
      <c r="Z307">
        <v>0.46266042425181653</v>
      </c>
      <c r="AA307">
        <v>0.69944656382742876</v>
      </c>
      <c r="AB307">
        <v>0.83782593183627885</v>
      </c>
      <c r="AC307">
        <v>0.79778752447905443</v>
      </c>
      <c r="AD307">
        <v>0.64973600155322897</v>
      </c>
      <c r="AE307">
        <v>230.99609748245362</v>
      </c>
      <c r="AF307">
        <v>846.9029233736801</v>
      </c>
      <c r="AG307">
        <v>2054.5402142533271</v>
      </c>
      <c r="AH307">
        <v>13166.056622850592</v>
      </c>
      <c r="AI307">
        <v>11291.489449827297</v>
      </c>
      <c r="AJ307">
        <v>41804.913658101541</v>
      </c>
      <c r="AK307">
        <v>18874.012154514374</v>
      </c>
      <c r="AL307">
        <v>2089.2020859963768</v>
      </c>
      <c r="AM307">
        <v>421.41005537678228</v>
      </c>
      <c r="AO307">
        <v>42263.598106982601</v>
      </c>
      <c r="AP307">
        <v>13.727894710967728</v>
      </c>
      <c r="AQ307">
        <v>47076.422496523621</v>
      </c>
      <c r="AR307">
        <v>13.962425298264378</v>
      </c>
      <c r="AS307" s="2">
        <f t="shared" si="29"/>
        <v>4812.8243895410196</v>
      </c>
      <c r="AT307" s="2">
        <f t="shared" si="30"/>
        <v>0.23453058729664988</v>
      </c>
      <c r="AV307">
        <f t="shared" si="31"/>
        <v>1330525.8729897903</v>
      </c>
      <c r="AW307">
        <f t="shared" si="32"/>
        <v>1349166.1073299141</v>
      </c>
      <c r="AY307">
        <f t="shared" si="33"/>
        <v>0</v>
      </c>
      <c r="AZ307">
        <f t="shared" si="34"/>
        <v>1</v>
      </c>
    </row>
    <row r="308" spans="1:52" x14ac:dyDescent="0.2">
      <c r="A308">
        <f t="shared" si="28"/>
        <v>304</v>
      </c>
      <c r="B308">
        <v>3.3610405315910308E-2</v>
      </c>
      <c r="C308">
        <v>3.6655565711445903E-2</v>
      </c>
      <c r="D308">
        <v>6.2621326389455056E-2</v>
      </c>
      <c r="E308">
        <v>7.7080198601337038E-3</v>
      </c>
      <c r="F308">
        <v>3.3011223635130201E-3</v>
      </c>
      <c r="G308">
        <v>2.1956368414317029E-2</v>
      </c>
      <c r="H308">
        <v>3.0750624892706413E-2</v>
      </c>
      <c r="I308">
        <v>0.13771205082134652</v>
      </c>
      <c r="J308">
        <v>0</v>
      </c>
      <c r="K308">
        <v>0.43532786301330351</v>
      </c>
      <c r="L308">
        <v>0.27442163957053811</v>
      </c>
      <c r="M308">
        <v>0.72557836042946189</v>
      </c>
      <c r="N308">
        <v>4.3358791615869141E-2</v>
      </c>
      <c r="O308" s="72">
        <v>0.9999997318982411</v>
      </c>
      <c r="P308">
        <v>0.99259634293023813</v>
      </c>
      <c r="Q308">
        <v>0.91405054971129374</v>
      </c>
      <c r="R308">
        <v>0.47927471059484561</v>
      </c>
      <c r="S308">
        <v>0.3831565365135382</v>
      </c>
      <c r="T308">
        <v>0.29239760568859363</v>
      </c>
      <c r="U308">
        <v>0.79619286435966141</v>
      </c>
      <c r="V308">
        <v>0.64280588688824836</v>
      </c>
      <c r="W308">
        <v>0.55353343205719252</v>
      </c>
      <c r="X308">
        <v>0.44494101496891447</v>
      </c>
      <c r="Y308">
        <v>0.42863445184073601</v>
      </c>
      <c r="Z308">
        <v>0.43343456012834181</v>
      </c>
      <c r="AA308">
        <v>0.63446538990162837</v>
      </c>
      <c r="AB308">
        <v>0.82351244200569562</v>
      </c>
      <c r="AC308">
        <v>0.64317769459873964</v>
      </c>
      <c r="AD308">
        <v>0.54061377024819379</v>
      </c>
      <c r="AE308">
        <v>142.79064277835053</v>
      </c>
      <c r="AF308">
        <v>954.38916155490767</v>
      </c>
      <c r="AG308">
        <v>1096.5673072227451</v>
      </c>
      <c r="AH308">
        <v>18979.596609921333</v>
      </c>
      <c r="AI308">
        <v>12184.61634131877</v>
      </c>
      <c r="AJ308">
        <v>39026.283691610137</v>
      </c>
      <c r="AK308">
        <v>18452.744029020963</v>
      </c>
      <c r="AL308">
        <v>1728.5746438699662</v>
      </c>
      <c r="AM308">
        <v>404.46750861072871</v>
      </c>
      <c r="AO308">
        <v>43325.529990865442</v>
      </c>
      <c r="AP308">
        <v>13.14810891597015</v>
      </c>
      <c r="AQ308">
        <v>47236.040598625812</v>
      </c>
      <c r="AR308">
        <v>13.330781897904959</v>
      </c>
      <c r="AS308" s="2">
        <f t="shared" si="29"/>
        <v>3910.5106077603705</v>
      </c>
      <c r="AT308" s="2">
        <f t="shared" si="30"/>
        <v>0.18267298193480919</v>
      </c>
      <c r="AV308">
        <f t="shared" si="31"/>
        <v>1271485.3616061497</v>
      </c>
      <c r="AW308">
        <f t="shared" si="32"/>
        <v>1285842.1491918701</v>
      </c>
      <c r="AY308">
        <f t="shared" si="33"/>
        <v>0</v>
      </c>
      <c r="AZ308">
        <f t="shared" si="34"/>
        <v>1</v>
      </c>
    </row>
    <row r="309" spans="1:52" x14ac:dyDescent="0.2">
      <c r="A309">
        <f t="shared" si="28"/>
        <v>305</v>
      </c>
      <c r="B309">
        <v>2.2987628051911086E-2</v>
      </c>
      <c r="C309">
        <v>3.8651592669419865E-2</v>
      </c>
      <c r="D309">
        <v>2.9777069870310396E-2</v>
      </c>
      <c r="E309">
        <v>7.6405650197110793E-3</v>
      </c>
      <c r="F309">
        <v>3.4012991150743632E-3</v>
      </c>
      <c r="G309">
        <v>4.0649442932429336E-2</v>
      </c>
      <c r="H309">
        <v>2.835064526158014E-2</v>
      </c>
      <c r="I309">
        <v>0.12489872327516241</v>
      </c>
      <c r="J309">
        <v>0</v>
      </c>
      <c r="K309">
        <v>0.42319679346054478</v>
      </c>
      <c r="L309">
        <v>0.27694953358713936</v>
      </c>
      <c r="M309">
        <v>0.72305046641286064</v>
      </c>
      <c r="N309">
        <v>3.6978464616654681E-2</v>
      </c>
      <c r="O309" s="72">
        <v>0.99977834512215635</v>
      </c>
      <c r="P309">
        <v>0.99826934294074876</v>
      </c>
      <c r="Q309">
        <v>0.9643390163003932</v>
      </c>
      <c r="R309">
        <v>0.52461696875666131</v>
      </c>
      <c r="S309">
        <v>0.4546927542430238</v>
      </c>
      <c r="T309">
        <v>0.26834083754625682</v>
      </c>
      <c r="U309">
        <v>0.77970549968690028</v>
      </c>
      <c r="V309">
        <v>0.65807973756299154</v>
      </c>
      <c r="W309">
        <v>0.40990146810023992</v>
      </c>
      <c r="X309">
        <v>0.44434545683027848</v>
      </c>
      <c r="Y309">
        <v>0.40321647738684757</v>
      </c>
      <c r="Z309">
        <v>0.44339529561582269</v>
      </c>
      <c r="AA309">
        <v>0.70234414469908391</v>
      </c>
      <c r="AB309">
        <v>0.83736331039316103</v>
      </c>
      <c r="AC309">
        <v>0.73771392797325397</v>
      </c>
      <c r="AD309">
        <v>0.59866703336629334</v>
      </c>
      <c r="AE309">
        <v>154.8342843352444</v>
      </c>
      <c r="AF309">
        <v>1069.5642975752778</v>
      </c>
      <c r="AG309">
        <v>1576.8942426963265</v>
      </c>
      <c r="AH309">
        <v>11975.42089078481</v>
      </c>
      <c r="AI309">
        <v>17349.548463247349</v>
      </c>
      <c r="AJ309">
        <v>36885.677283132114</v>
      </c>
      <c r="AK309">
        <v>15497.74245716975</v>
      </c>
      <c r="AL309">
        <v>1452.9264454179138</v>
      </c>
      <c r="AM309">
        <v>415.92247598219586</v>
      </c>
      <c r="AO309">
        <v>40639.244931960893</v>
      </c>
      <c r="AP309">
        <v>13.603346956827354</v>
      </c>
      <c r="AQ309">
        <v>46985.888996412767</v>
      </c>
      <c r="AR309">
        <v>13.77557081648083</v>
      </c>
      <c r="AS309" s="2">
        <f t="shared" si="29"/>
        <v>6346.6440644518734</v>
      </c>
      <c r="AT309" s="2">
        <f t="shared" si="30"/>
        <v>0.1722238596534762</v>
      </c>
      <c r="AV309">
        <f t="shared" si="31"/>
        <v>1319695.4507507745</v>
      </c>
      <c r="AW309">
        <f t="shared" si="32"/>
        <v>1330571.1926516702</v>
      </c>
      <c r="AY309">
        <f t="shared" si="33"/>
        <v>0</v>
      </c>
      <c r="AZ309">
        <f t="shared" si="34"/>
        <v>1</v>
      </c>
    </row>
    <row r="310" spans="1:52" x14ac:dyDescent="0.2">
      <c r="A310">
        <f t="shared" si="28"/>
        <v>306</v>
      </c>
      <c r="B310">
        <v>2.3559840318356371E-2</v>
      </c>
      <c r="C310">
        <v>3.6739675196972632E-2</v>
      </c>
      <c r="D310">
        <v>4.7849530690184827E-2</v>
      </c>
      <c r="E310">
        <v>1.3536897883871579E-2</v>
      </c>
      <c r="F310">
        <v>3.4606637669651885E-3</v>
      </c>
      <c r="G310">
        <v>1.8658682070669341E-2</v>
      </c>
      <c r="H310">
        <v>2.1780948651879198E-2</v>
      </c>
      <c r="I310">
        <v>0.12980401738629843</v>
      </c>
      <c r="J310">
        <v>0</v>
      </c>
      <c r="K310">
        <v>0.44600918410839507</v>
      </c>
      <c r="L310">
        <v>0.26196749649037643</v>
      </c>
      <c r="M310">
        <v>0.73803250350962357</v>
      </c>
      <c r="N310">
        <v>3.8238017286345308E-2</v>
      </c>
      <c r="O310" s="72">
        <v>0.98554255720286466</v>
      </c>
      <c r="P310">
        <v>0.98277289889663955</v>
      </c>
      <c r="Q310">
        <v>0.88576890466706526</v>
      </c>
      <c r="R310">
        <v>0.55701418929249413</v>
      </c>
      <c r="S310">
        <v>0.41217378109495939</v>
      </c>
      <c r="T310">
        <v>0.22444267885752478</v>
      </c>
      <c r="U310">
        <v>0.74860841527286537</v>
      </c>
      <c r="V310">
        <v>0.65857894542056128</v>
      </c>
      <c r="W310">
        <v>0.61224751809435118</v>
      </c>
      <c r="X310">
        <v>0.40716277481130481</v>
      </c>
      <c r="Y310">
        <v>0.40661216421416241</v>
      </c>
      <c r="Z310">
        <v>0.48645872888215136</v>
      </c>
      <c r="AA310">
        <v>0.65882482299128653</v>
      </c>
      <c r="AB310">
        <v>0.86431039688647882</v>
      </c>
      <c r="AC310">
        <v>0.60053630752547715</v>
      </c>
      <c r="AD310">
        <v>0.6818551520674716</v>
      </c>
      <c r="AE310">
        <v>195.55063752584388</v>
      </c>
      <c r="AF310">
        <v>1097.1037059738962</v>
      </c>
      <c r="AG310">
        <v>1150.0198301036303</v>
      </c>
      <c r="AH310">
        <v>12895.718792342806</v>
      </c>
      <c r="AI310">
        <v>12999.387105537404</v>
      </c>
      <c r="AJ310">
        <v>35233.956042145233</v>
      </c>
      <c r="AK310">
        <v>10764.510109176897</v>
      </c>
      <c r="AL310">
        <v>2923.6746147733561</v>
      </c>
      <c r="AM310">
        <v>343.42962183997361</v>
      </c>
      <c r="AO310">
        <v>39380.378623472308</v>
      </c>
      <c r="AP310">
        <v>13.769896731765192</v>
      </c>
      <c r="AQ310">
        <v>46725.336781837759</v>
      </c>
      <c r="AR310">
        <v>14.006059192994348</v>
      </c>
      <c r="AS310" s="2">
        <f t="shared" si="29"/>
        <v>7344.9581583654508</v>
      </c>
      <c r="AT310" s="2">
        <f t="shared" si="30"/>
        <v>0.23616246122915641</v>
      </c>
      <c r="AV310">
        <f t="shared" si="31"/>
        <v>1337609.2945530468</v>
      </c>
      <c r="AW310">
        <f t="shared" si="32"/>
        <v>1353880.5825175971</v>
      </c>
      <c r="AY310">
        <f t="shared" si="33"/>
        <v>0</v>
      </c>
      <c r="AZ310">
        <f t="shared" si="34"/>
        <v>1</v>
      </c>
    </row>
    <row r="311" spans="1:52" x14ac:dyDescent="0.2">
      <c r="A311">
        <f t="shared" si="28"/>
        <v>307</v>
      </c>
      <c r="B311">
        <v>3.1365245342627635E-2</v>
      </c>
      <c r="C311">
        <v>4.6341057212542225E-2</v>
      </c>
      <c r="D311">
        <v>4.1167242989876396E-2</v>
      </c>
      <c r="E311">
        <v>1.8713656553303371E-2</v>
      </c>
      <c r="F311">
        <v>3.3427458728805259E-3</v>
      </c>
      <c r="G311">
        <v>7.8038403802529197E-4</v>
      </c>
      <c r="H311">
        <v>1.6696889887932866E-2</v>
      </c>
      <c r="I311">
        <v>0.12345992338680774</v>
      </c>
      <c r="J311">
        <v>0</v>
      </c>
      <c r="K311">
        <v>0.45428717805043684</v>
      </c>
      <c r="L311">
        <v>0.22283224875165275</v>
      </c>
      <c r="M311">
        <v>0.77716775124834725</v>
      </c>
      <c r="N311">
        <v>6.1215893191671089E-2</v>
      </c>
      <c r="O311" s="72">
        <v>0.99484031079541535</v>
      </c>
      <c r="P311">
        <v>0.9156583855159065</v>
      </c>
      <c r="Q311">
        <v>0.98286875266179807</v>
      </c>
      <c r="R311">
        <v>0.504576638623355</v>
      </c>
      <c r="S311">
        <v>0.32722442898593784</v>
      </c>
      <c r="T311">
        <v>0.11306852773378595</v>
      </c>
      <c r="U311">
        <v>0.73660062399744264</v>
      </c>
      <c r="V311">
        <v>0.67443009787084152</v>
      </c>
      <c r="W311">
        <v>0.6565091832620098</v>
      </c>
      <c r="X311">
        <v>0.41066907096770894</v>
      </c>
      <c r="Y311">
        <v>0.43540580156777176</v>
      </c>
      <c r="Z311">
        <v>0.40500805410570223</v>
      </c>
      <c r="AA311">
        <v>0.74611325072182655</v>
      </c>
      <c r="AB311">
        <v>0.81030571081768743</v>
      </c>
      <c r="AC311">
        <v>0.69143693660106242</v>
      </c>
      <c r="AD311">
        <v>0.65799281756399564</v>
      </c>
      <c r="AE311">
        <v>155.44571442457178</v>
      </c>
      <c r="AF311">
        <v>1042.1726051725361</v>
      </c>
      <c r="AG311">
        <v>2099.1219417707212</v>
      </c>
      <c r="AH311">
        <v>11593.535239402285</v>
      </c>
      <c r="AI311">
        <v>15436.09033304372</v>
      </c>
      <c r="AJ311">
        <v>36961.107532963615</v>
      </c>
      <c r="AK311">
        <v>19354.65672646189</v>
      </c>
      <c r="AL311">
        <v>2563.306469398543</v>
      </c>
      <c r="AM311">
        <v>422.45679155390121</v>
      </c>
      <c r="AO311">
        <v>47698.573140772751</v>
      </c>
      <c r="AP311">
        <v>13.104371435343056</v>
      </c>
      <c r="AQ311">
        <v>49863.117993357933</v>
      </c>
      <c r="AR311">
        <v>13.389067412299097</v>
      </c>
      <c r="AS311" s="2">
        <f t="shared" si="29"/>
        <v>2164.5448525851825</v>
      </c>
      <c r="AT311" s="2">
        <f t="shared" si="30"/>
        <v>0.28469597695604065</v>
      </c>
      <c r="AV311">
        <f t="shared" si="31"/>
        <v>1262738.570393533</v>
      </c>
      <c r="AW311">
        <f t="shared" si="32"/>
        <v>1289043.6232365519</v>
      </c>
      <c r="AY311">
        <f t="shared" si="33"/>
        <v>0</v>
      </c>
      <c r="AZ311">
        <f t="shared" si="34"/>
        <v>1</v>
      </c>
    </row>
    <row r="312" spans="1:52" x14ac:dyDescent="0.2">
      <c r="A312">
        <f t="shared" si="28"/>
        <v>308</v>
      </c>
      <c r="B312">
        <v>3.0176916609598092E-2</v>
      </c>
      <c r="C312">
        <v>3.1821059846101868E-2</v>
      </c>
      <c r="D312">
        <v>4.3153294683784593E-2</v>
      </c>
      <c r="E312">
        <v>3.3871403179352777E-2</v>
      </c>
      <c r="F312">
        <v>3.3689520750918023E-3</v>
      </c>
      <c r="G312">
        <v>1.0772737530647728E-2</v>
      </c>
      <c r="H312">
        <v>2.083604208521744E-2</v>
      </c>
      <c r="I312">
        <v>0.14233585567973084</v>
      </c>
      <c r="J312">
        <v>0</v>
      </c>
      <c r="K312">
        <v>0.48195786901718995</v>
      </c>
      <c r="L312">
        <v>0.17166128241176576</v>
      </c>
      <c r="M312">
        <v>0.82833871758823419</v>
      </c>
      <c r="N312">
        <v>8.1350342985750168E-2</v>
      </c>
      <c r="O312" s="72">
        <v>0.98101276593150966</v>
      </c>
      <c r="P312">
        <v>0.99999994075102405</v>
      </c>
      <c r="Q312">
        <v>0.93011243587502712</v>
      </c>
      <c r="R312">
        <v>0.49713013366528502</v>
      </c>
      <c r="S312">
        <v>0.35714624284397911</v>
      </c>
      <c r="T312">
        <v>0.18245722016565857</v>
      </c>
      <c r="U312">
        <v>0.77865742146393135</v>
      </c>
      <c r="V312">
        <v>0.65070464582992316</v>
      </c>
      <c r="W312">
        <v>0.52041548023638473</v>
      </c>
      <c r="X312">
        <v>0.43626568350886213</v>
      </c>
      <c r="Y312">
        <v>0.45541581782539597</v>
      </c>
      <c r="Z312">
        <v>0.43811212861847482</v>
      </c>
      <c r="AA312">
        <v>0.65398207749196668</v>
      </c>
      <c r="AB312">
        <v>0.72733367793277504</v>
      </c>
      <c r="AC312">
        <v>0.69315234510265467</v>
      </c>
      <c r="AD312">
        <v>0.59635298577834073</v>
      </c>
      <c r="AE312">
        <v>211.36474137180397</v>
      </c>
      <c r="AF312">
        <v>891.54123529736489</v>
      </c>
      <c r="AG312">
        <v>1360.5752955394589</v>
      </c>
      <c r="AH312">
        <v>14077.848277943911</v>
      </c>
      <c r="AI312">
        <v>19206.336363303159</v>
      </c>
      <c r="AJ312">
        <v>40359.193611600094</v>
      </c>
      <c r="AK312">
        <v>10174.337616144212</v>
      </c>
      <c r="AL312">
        <v>2091.5150513288531</v>
      </c>
      <c r="AM312">
        <v>316.87147857804308</v>
      </c>
      <c r="AO312">
        <v>43125.036013645011</v>
      </c>
      <c r="AP312">
        <v>12.001831893150788</v>
      </c>
      <c r="AQ312">
        <v>45626.681993500511</v>
      </c>
      <c r="AR312">
        <v>12.162507219990399</v>
      </c>
      <c r="AS312" s="2">
        <f t="shared" si="29"/>
        <v>2501.6459798555006</v>
      </c>
      <c r="AT312" s="2">
        <f t="shared" si="30"/>
        <v>0.16067532683961083</v>
      </c>
      <c r="AV312">
        <f t="shared" si="31"/>
        <v>1157058.1533014337</v>
      </c>
      <c r="AW312">
        <f t="shared" si="32"/>
        <v>1170624.0400055393</v>
      </c>
      <c r="AY312">
        <f t="shared" si="33"/>
        <v>0</v>
      </c>
      <c r="AZ312">
        <f t="shared" si="34"/>
        <v>1</v>
      </c>
    </row>
    <row r="313" spans="1:52" x14ac:dyDescent="0.2">
      <c r="A313">
        <f t="shared" si="28"/>
        <v>309</v>
      </c>
      <c r="B313">
        <v>2.6472862642423545E-2</v>
      </c>
      <c r="C313">
        <v>3.4844592371946245E-2</v>
      </c>
      <c r="D313">
        <v>3.8719391616188537E-2</v>
      </c>
      <c r="E313">
        <v>1.3843593136247057E-2</v>
      </c>
      <c r="F313">
        <v>3.43754219292014E-3</v>
      </c>
      <c r="G313">
        <v>7.9208760045817277E-3</v>
      </c>
      <c r="H313">
        <v>1.4200396042739675E-2</v>
      </c>
      <c r="I313">
        <v>0.12373841879514214</v>
      </c>
      <c r="J313">
        <v>0</v>
      </c>
      <c r="K313">
        <v>0.40012907725777447</v>
      </c>
      <c r="L313">
        <v>0.21561985345877532</v>
      </c>
      <c r="M313">
        <v>0.78438014654122468</v>
      </c>
      <c r="N313">
        <v>6.3723504813811727E-2</v>
      </c>
      <c r="O313" s="72">
        <v>0.99983398128750534</v>
      </c>
      <c r="P313">
        <v>0.99930724517021929</v>
      </c>
      <c r="Q313">
        <v>0.87025330699460857</v>
      </c>
      <c r="R313">
        <v>0.49692040865101939</v>
      </c>
      <c r="S313">
        <v>0.39576466744885797</v>
      </c>
      <c r="T313">
        <v>0.27477798001186649</v>
      </c>
      <c r="U313">
        <v>0.75780681161648145</v>
      </c>
      <c r="V313">
        <v>0.63400533709643869</v>
      </c>
      <c r="W313">
        <v>0.45313497191017377</v>
      </c>
      <c r="X313">
        <v>0.4430952843413723</v>
      </c>
      <c r="Y313">
        <v>0.45319348740504495</v>
      </c>
      <c r="Z313">
        <v>0.45531151617644139</v>
      </c>
      <c r="AA313">
        <v>0.6798298459403338</v>
      </c>
      <c r="AB313">
        <v>0.79754599536883042</v>
      </c>
      <c r="AC313">
        <v>0.70178584843384118</v>
      </c>
      <c r="AD313">
        <v>0.61846628214174504</v>
      </c>
      <c r="AE313">
        <v>131.30287446104217</v>
      </c>
      <c r="AF313">
        <v>961.95730583270586</v>
      </c>
      <c r="AG313">
        <v>1040.352643592402</v>
      </c>
      <c r="AH313">
        <v>9781.0544337364045</v>
      </c>
      <c r="AI313">
        <v>6942.5864276989523</v>
      </c>
      <c r="AJ313">
        <v>46616.413535758082</v>
      </c>
      <c r="AK313">
        <v>13330.457357188474</v>
      </c>
      <c r="AL313">
        <v>1761.2733862398818</v>
      </c>
      <c r="AM313">
        <v>418.58590601171881</v>
      </c>
      <c r="AO313">
        <v>42081.282528481992</v>
      </c>
      <c r="AP313">
        <v>13.003282525639076</v>
      </c>
      <c r="AQ313">
        <v>47246.88406640452</v>
      </c>
      <c r="AR313">
        <v>13.180351092174329</v>
      </c>
      <c r="AS313" s="2">
        <f t="shared" si="29"/>
        <v>5165.6015379225282</v>
      </c>
      <c r="AT313" s="2">
        <f t="shared" si="30"/>
        <v>0.17706856653525271</v>
      </c>
      <c r="AV313">
        <f t="shared" si="31"/>
        <v>1258246.9700354256</v>
      </c>
      <c r="AW313">
        <f t="shared" si="32"/>
        <v>1270788.2251510283</v>
      </c>
      <c r="AY313">
        <f t="shared" si="33"/>
        <v>0</v>
      </c>
      <c r="AZ313">
        <f t="shared" si="34"/>
        <v>1</v>
      </c>
    </row>
    <row r="314" spans="1:52" x14ac:dyDescent="0.2">
      <c r="A314">
        <f t="shared" si="28"/>
        <v>310</v>
      </c>
      <c r="B314">
        <v>2.6620878281742089E-2</v>
      </c>
      <c r="C314">
        <v>5.1786566461391126E-2</v>
      </c>
      <c r="D314">
        <v>2.9114248493796197E-2</v>
      </c>
      <c r="E314">
        <v>2.3927565704589759E-2</v>
      </c>
      <c r="F314">
        <v>3.35125431855543E-3</v>
      </c>
      <c r="G314">
        <v>2.836544432204291E-2</v>
      </c>
      <c r="H314">
        <v>1.7960826728392696E-2</v>
      </c>
      <c r="I314">
        <v>0.1176128552398364</v>
      </c>
      <c r="J314">
        <v>0</v>
      </c>
      <c r="K314">
        <v>0.39930466681094351</v>
      </c>
      <c r="L314">
        <v>0.1373892429905485</v>
      </c>
      <c r="M314">
        <v>0.86261075700945145</v>
      </c>
      <c r="N314">
        <v>6.7741779729452056E-2</v>
      </c>
      <c r="O314" s="72">
        <v>0.99267088202042175</v>
      </c>
      <c r="P314">
        <v>0.99999283014822127</v>
      </c>
      <c r="Q314">
        <v>0.98861575723265771</v>
      </c>
      <c r="R314">
        <v>0.46957725996980959</v>
      </c>
      <c r="S314">
        <v>0.35772589855504955</v>
      </c>
      <c r="T314">
        <v>0.16747778168809546</v>
      </c>
      <c r="U314">
        <v>0.75340330548873113</v>
      </c>
      <c r="V314">
        <v>0.65680544605261582</v>
      </c>
      <c r="W314">
        <v>0.47790280477731606</v>
      </c>
      <c r="X314">
        <v>0.41164921714042552</v>
      </c>
      <c r="Y314">
        <v>0.47577956757822748</v>
      </c>
      <c r="Z314">
        <v>0.45556364261296789</v>
      </c>
      <c r="AA314">
        <v>0.76750206264235743</v>
      </c>
      <c r="AB314">
        <v>0.8101216153064128</v>
      </c>
      <c r="AC314">
        <v>0.65705358067245889</v>
      </c>
      <c r="AD314">
        <v>0.60789403963951638</v>
      </c>
      <c r="AE314">
        <v>210.38174529091754</v>
      </c>
      <c r="AF314">
        <v>1049.172674476644</v>
      </c>
      <c r="AG314">
        <v>1937.988606455491</v>
      </c>
      <c r="AH314">
        <v>10925.900349454523</v>
      </c>
      <c r="AI314">
        <v>10809.535418842961</v>
      </c>
      <c r="AJ314">
        <v>40816.976067888601</v>
      </c>
      <c r="AK314">
        <v>15420.529243847199</v>
      </c>
      <c r="AL314">
        <v>1987.8436366248723</v>
      </c>
      <c r="AM314">
        <v>376.95778013911456</v>
      </c>
      <c r="AO314">
        <v>46059.062685966521</v>
      </c>
      <c r="AP314">
        <v>12.992871616979114</v>
      </c>
      <c r="AQ314">
        <v>46322.405412499182</v>
      </c>
      <c r="AR314">
        <v>13.265550035925331</v>
      </c>
      <c r="AS314" s="2">
        <f t="shared" si="29"/>
        <v>263.34272653266089</v>
      </c>
      <c r="AT314" s="2">
        <f t="shared" si="30"/>
        <v>0.27267841894621725</v>
      </c>
      <c r="AV314">
        <f t="shared" si="31"/>
        <v>1253228.0990119448</v>
      </c>
      <c r="AW314">
        <f t="shared" si="32"/>
        <v>1280232.598180034</v>
      </c>
      <c r="AY314">
        <f t="shared" si="33"/>
        <v>0</v>
      </c>
      <c r="AZ314">
        <f t="shared" si="34"/>
        <v>1</v>
      </c>
    </row>
    <row r="315" spans="1:52" x14ac:dyDescent="0.2">
      <c r="A315">
        <f t="shared" si="28"/>
        <v>311</v>
      </c>
      <c r="B315">
        <v>2.1923384037880526E-2</v>
      </c>
      <c r="C315">
        <v>3.7914570150330618E-2</v>
      </c>
      <c r="D315">
        <v>3.9423721422447655E-2</v>
      </c>
      <c r="E315">
        <v>2.3218715190926587E-3</v>
      </c>
      <c r="F315">
        <v>3.2960172548663312E-3</v>
      </c>
      <c r="G315">
        <v>2.7073543339580008E-2</v>
      </c>
      <c r="H315">
        <v>8.4292511483985422E-2</v>
      </c>
      <c r="I315">
        <v>0.13232911578377327</v>
      </c>
      <c r="J315">
        <v>0</v>
      </c>
      <c r="K315">
        <v>0.39739663495553568</v>
      </c>
      <c r="L315">
        <v>0.15729797251731434</v>
      </c>
      <c r="M315">
        <v>0.84270202748268563</v>
      </c>
      <c r="N315">
        <v>5.9221862574923012E-2</v>
      </c>
      <c r="O315" s="72">
        <v>0.99939468115783414</v>
      </c>
      <c r="P315">
        <v>0.99859588842425207</v>
      </c>
      <c r="Q315">
        <v>0.9682001070016899</v>
      </c>
      <c r="R315">
        <v>0.48107197253522793</v>
      </c>
      <c r="S315">
        <v>0.28912204928283525</v>
      </c>
      <c r="T315">
        <v>0.21768187822426266</v>
      </c>
      <c r="U315">
        <v>0.75906322375734614</v>
      </c>
      <c r="V315">
        <v>0.64625998648880922</v>
      </c>
      <c r="W315">
        <v>0.63594263165908727</v>
      </c>
      <c r="X315">
        <v>0.48405114983513231</v>
      </c>
      <c r="Y315">
        <v>0.49095172650330554</v>
      </c>
      <c r="Z315">
        <v>0.5101567974312069</v>
      </c>
      <c r="AA315">
        <v>0.57712589213895171</v>
      </c>
      <c r="AB315">
        <v>0.85639679476739661</v>
      </c>
      <c r="AC315">
        <v>0.75796387388091246</v>
      </c>
      <c r="AD315">
        <v>0.61316699478334113</v>
      </c>
      <c r="AE315">
        <v>199.98153779994669</v>
      </c>
      <c r="AF315">
        <v>967.06738898466563</v>
      </c>
      <c r="AG315">
        <v>1731.1066033075992</v>
      </c>
      <c r="AH315">
        <v>13767.689086251004</v>
      </c>
      <c r="AI315">
        <v>6632.1238159776576</v>
      </c>
      <c r="AJ315">
        <v>46574.090267748485</v>
      </c>
      <c r="AK315">
        <v>15828.525878797007</v>
      </c>
      <c r="AL315">
        <v>2661.078701965258</v>
      </c>
      <c r="AM315">
        <v>358.8944541849757</v>
      </c>
      <c r="AO315">
        <v>45217.26321831096</v>
      </c>
      <c r="AP315">
        <v>13.882418318072347</v>
      </c>
      <c r="AQ315">
        <v>46140.256562689989</v>
      </c>
      <c r="AR315">
        <v>14.099051106132189</v>
      </c>
      <c r="AS315" s="2">
        <f t="shared" si="29"/>
        <v>922.99334437902871</v>
      </c>
      <c r="AT315" s="2">
        <f t="shared" si="30"/>
        <v>0.21663278805984199</v>
      </c>
      <c r="AV315">
        <f t="shared" si="31"/>
        <v>1343024.5685889237</v>
      </c>
      <c r="AW315">
        <f t="shared" si="32"/>
        <v>1363764.854050529</v>
      </c>
      <c r="AY315">
        <f t="shared" si="33"/>
        <v>0</v>
      </c>
      <c r="AZ315">
        <f t="shared" si="34"/>
        <v>1</v>
      </c>
    </row>
    <row r="316" spans="1:52" x14ac:dyDescent="0.2">
      <c r="A316">
        <f t="shared" si="28"/>
        <v>312</v>
      </c>
      <c r="B316">
        <v>2.0816604726056214E-2</v>
      </c>
      <c r="C316">
        <v>2.7998259309555486E-2</v>
      </c>
      <c r="D316">
        <v>4.5931587343127966E-2</v>
      </c>
      <c r="E316">
        <v>1.6566045192373702E-2</v>
      </c>
      <c r="F316">
        <v>3.3065182511619593E-3</v>
      </c>
      <c r="G316">
        <v>7.3010825888505338E-3</v>
      </c>
      <c r="H316">
        <v>4.4580687830566235E-2</v>
      </c>
      <c r="I316">
        <v>0.12575718358911639</v>
      </c>
      <c r="J316">
        <v>0</v>
      </c>
      <c r="K316">
        <v>0.43892760616392823</v>
      </c>
      <c r="L316">
        <v>0.1910036644582962</v>
      </c>
      <c r="M316">
        <v>0.8089963355417038</v>
      </c>
      <c r="N316">
        <v>4.3515384752512556E-2</v>
      </c>
      <c r="O316" s="72">
        <v>0.99934348163966158</v>
      </c>
      <c r="P316">
        <v>0.99922032906256042</v>
      </c>
      <c r="Q316">
        <v>0.96210911957649348</v>
      </c>
      <c r="R316">
        <v>0.46739488315772448</v>
      </c>
      <c r="S316">
        <v>0.46004210418818225</v>
      </c>
      <c r="T316">
        <v>0.20447547107268638</v>
      </c>
      <c r="U316">
        <v>0.80218363575264484</v>
      </c>
      <c r="V316">
        <v>0.7029104431995703</v>
      </c>
      <c r="W316">
        <v>0.50827858389746261</v>
      </c>
      <c r="X316">
        <v>0.45479961480065856</v>
      </c>
      <c r="Y316">
        <v>0.39288350135992683</v>
      </c>
      <c r="Z316">
        <v>0.45192331063199775</v>
      </c>
      <c r="AA316">
        <v>0.63130066245323402</v>
      </c>
      <c r="AB316">
        <v>0.82088916525085032</v>
      </c>
      <c r="AC316">
        <v>0.69678568910991889</v>
      </c>
      <c r="AD316">
        <v>0.59856338285355826</v>
      </c>
      <c r="AE316">
        <v>212.16494932765588</v>
      </c>
      <c r="AF316">
        <v>1017.2861930333839</v>
      </c>
      <c r="AG316">
        <v>1891.2070070428326</v>
      </c>
      <c r="AH316">
        <v>13768.259122294476</v>
      </c>
      <c r="AI316">
        <v>8088.9863488154524</v>
      </c>
      <c r="AJ316">
        <v>36340.698736668375</v>
      </c>
      <c r="AK316">
        <v>15392.849890342712</v>
      </c>
      <c r="AL316">
        <v>1659.5270035193498</v>
      </c>
      <c r="AM316">
        <v>284.87412182318144</v>
      </c>
      <c r="AO316">
        <v>42723.747031295148</v>
      </c>
      <c r="AP316">
        <v>13.298032536739123</v>
      </c>
      <c r="AQ316">
        <v>45020.277390516007</v>
      </c>
      <c r="AR316">
        <v>13.474847851805242</v>
      </c>
      <c r="AS316" s="2">
        <f t="shared" si="29"/>
        <v>2296.5303592208584</v>
      </c>
      <c r="AT316" s="2">
        <f t="shared" si="30"/>
        <v>0.17681531506611847</v>
      </c>
      <c r="AV316">
        <f t="shared" si="31"/>
        <v>1287079.5066426171</v>
      </c>
      <c r="AW316">
        <f t="shared" si="32"/>
        <v>1302464.5077900083</v>
      </c>
      <c r="AY316">
        <f t="shared" si="33"/>
        <v>0</v>
      </c>
      <c r="AZ316">
        <f t="shared" si="34"/>
        <v>1</v>
      </c>
    </row>
    <row r="317" spans="1:52" x14ac:dyDescent="0.2">
      <c r="A317">
        <f t="shared" si="28"/>
        <v>313</v>
      </c>
      <c r="B317">
        <v>1.9303029332990669E-2</v>
      </c>
      <c r="C317">
        <v>4.0494821315213203E-2</v>
      </c>
      <c r="D317">
        <v>3.7685613113470885E-2</v>
      </c>
      <c r="E317">
        <v>5.6120145049817745E-3</v>
      </c>
      <c r="F317">
        <v>3.3494885151528209E-3</v>
      </c>
      <c r="G317">
        <v>8.4902874370152131E-3</v>
      </c>
      <c r="H317">
        <v>1.7734915789525293E-2</v>
      </c>
      <c r="I317">
        <v>0.11717536468754831</v>
      </c>
      <c r="J317">
        <v>0</v>
      </c>
      <c r="K317">
        <v>0.46182474203896062</v>
      </c>
      <c r="L317">
        <v>0.2132034446250759</v>
      </c>
      <c r="M317">
        <v>0.7867965553749241</v>
      </c>
      <c r="N317">
        <v>4.8023318754223124E-2</v>
      </c>
      <c r="O317" s="72">
        <v>0.99823348509084853</v>
      </c>
      <c r="P317">
        <v>0.99213383491649809</v>
      </c>
      <c r="Q317">
        <v>0.9799066321600034</v>
      </c>
      <c r="R317">
        <v>0.4756372086138565</v>
      </c>
      <c r="S317">
        <v>0.42470495135263642</v>
      </c>
      <c r="T317">
        <v>0.27599472332441677</v>
      </c>
      <c r="U317">
        <v>0.79883583868287911</v>
      </c>
      <c r="V317">
        <v>0.69973172158955732</v>
      </c>
      <c r="W317">
        <v>0.55183190345767108</v>
      </c>
      <c r="X317">
        <v>0.44717102917460827</v>
      </c>
      <c r="Y317">
        <v>0.46000688759207731</v>
      </c>
      <c r="Z317">
        <v>0.48314482605059994</v>
      </c>
      <c r="AA317">
        <v>0.71526262231261317</v>
      </c>
      <c r="AB317">
        <v>0.85293295831753491</v>
      </c>
      <c r="AC317">
        <v>0.67928165046196609</v>
      </c>
      <c r="AD317">
        <v>0.5539106361526408</v>
      </c>
      <c r="AE317">
        <v>199.58760203633162</v>
      </c>
      <c r="AF317">
        <v>1196.031332388477</v>
      </c>
      <c r="AG317">
        <v>1426.5090484274231</v>
      </c>
      <c r="AH317">
        <v>14844.50692652898</v>
      </c>
      <c r="AI317">
        <v>10881.588471345289</v>
      </c>
      <c r="AJ317">
        <v>39367.794144053427</v>
      </c>
      <c r="AK317">
        <v>18647.811608696069</v>
      </c>
      <c r="AL317">
        <v>1342.5287161705412</v>
      </c>
      <c r="AM317">
        <v>351.2905754338409</v>
      </c>
      <c r="AO317">
        <v>42450.643020218697</v>
      </c>
      <c r="AP317">
        <v>13.679390983223767</v>
      </c>
      <c r="AQ317">
        <v>46239.731669744331</v>
      </c>
      <c r="AR317">
        <v>13.82626194487702</v>
      </c>
      <c r="AS317" s="2">
        <f t="shared" si="29"/>
        <v>3789.0886495256345</v>
      </c>
      <c r="AT317" s="2">
        <f t="shared" si="30"/>
        <v>0.14687096165325286</v>
      </c>
      <c r="AV317">
        <f t="shared" si="31"/>
        <v>1325488.4553021579</v>
      </c>
      <c r="AW317">
        <f t="shared" si="32"/>
        <v>1336386.4628179579</v>
      </c>
      <c r="AY317">
        <f t="shared" si="33"/>
        <v>0</v>
      </c>
      <c r="AZ317">
        <f t="shared" si="34"/>
        <v>1</v>
      </c>
    </row>
    <row r="318" spans="1:52" x14ac:dyDescent="0.2">
      <c r="A318">
        <f t="shared" si="28"/>
        <v>314</v>
      </c>
      <c r="B318">
        <v>2.7455841420555127E-2</v>
      </c>
      <c r="C318">
        <v>4.9580980558863175E-2</v>
      </c>
      <c r="D318">
        <v>2.9105017382072565E-2</v>
      </c>
      <c r="E318">
        <v>9.7134294278098214E-3</v>
      </c>
      <c r="F318">
        <v>3.3664474237632414E-3</v>
      </c>
      <c r="G318">
        <v>3.694362144020058E-2</v>
      </c>
      <c r="H318">
        <v>3.9548986858159441E-2</v>
      </c>
      <c r="I318">
        <v>0.13260890443213758</v>
      </c>
      <c r="J318">
        <v>0</v>
      </c>
      <c r="K318">
        <v>0.40915615928999688</v>
      </c>
      <c r="L318">
        <v>0.20274776951114815</v>
      </c>
      <c r="M318">
        <v>0.79725223048885185</v>
      </c>
      <c r="N318">
        <v>6.0778412562474959E-2</v>
      </c>
      <c r="O318" s="72">
        <v>0.9995446101067782</v>
      </c>
      <c r="P318">
        <v>0.99308978438977147</v>
      </c>
      <c r="Q318">
        <v>0.96202870011735986</v>
      </c>
      <c r="R318">
        <v>0.44865454653360071</v>
      </c>
      <c r="S318">
        <v>0.44339721004159038</v>
      </c>
      <c r="T318">
        <v>0.19679049951110061</v>
      </c>
      <c r="U318">
        <v>0.7822575544695316</v>
      </c>
      <c r="V318">
        <v>0.68032014635120808</v>
      </c>
      <c r="W318">
        <v>0.41022852284436162</v>
      </c>
      <c r="X318">
        <v>0.44213163776696407</v>
      </c>
      <c r="Y318">
        <v>0.41226952844515719</v>
      </c>
      <c r="Z318">
        <v>0.48391864092111081</v>
      </c>
      <c r="AA318">
        <v>0.73060233681127751</v>
      </c>
      <c r="AB318">
        <v>0.88192908211877885</v>
      </c>
      <c r="AC318">
        <v>0.77381571609442645</v>
      </c>
      <c r="AD318">
        <v>0.56708878583219957</v>
      </c>
      <c r="AE318">
        <v>229.87571742632943</v>
      </c>
      <c r="AF318">
        <v>922.68969375909717</v>
      </c>
      <c r="AG318">
        <v>1537.2922050205432</v>
      </c>
      <c r="AH318">
        <v>10605.411699952565</v>
      </c>
      <c r="AI318">
        <v>10192.698555287756</v>
      </c>
      <c r="AJ318">
        <v>39074.913705556537</v>
      </c>
      <c r="AK318">
        <v>19858.58633917835</v>
      </c>
      <c r="AL318">
        <v>1536.4503736238935</v>
      </c>
      <c r="AM318">
        <v>375.68253494181795</v>
      </c>
      <c r="AO318">
        <v>45326.498054594849</v>
      </c>
      <c r="AP318">
        <v>14.136243405730815</v>
      </c>
      <c r="AQ318">
        <v>46528.516194537078</v>
      </c>
      <c r="AR318">
        <v>14.415438103801035</v>
      </c>
      <c r="AS318" s="2">
        <f t="shared" si="29"/>
        <v>1202.018139942229</v>
      </c>
      <c r="AT318" s="2">
        <f t="shared" si="30"/>
        <v>0.27919469807022068</v>
      </c>
      <c r="AV318">
        <f t="shared" si="31"/>
        <v>1368297.8425184865</v>
      </c>
      <c r="AW318">
        <f t="shared" si="32"/>
        <v>1395015.2941855665</v>
      </c>
      <c r="AY318">
        <f t="shared" si="33"/>
        <v>0</v>
      </c>
      <c r="AZ318">
        <f t="shared" si="34"/>
        <v>1</v>
      </c>
    </row>
    <row r="319" spans="1:52" x14ac:dyDescent="0.2">
      <c r="A319">
        <f t="shared" si="28"/>
        <v>315</v>
      </c>
      <c r="B319">
        <v>2.7579359540643833E-2</v>
      </c>
      <c r="C319">
        <v>2.8373468161300423E-2</v>
      </c>
      <c r="D319">
        <v>5.2977363446366943E-2</v>
      </c>
      <c r="E319">
        <v>2.6490348589367718E-2</v>
      </c>
      <c r="F319">
        <v>3.3168137744570051E-3</v>
      </c>
      <c r="G319">
        <v>2.0722693714061184E-3</v>
      </c>
      <c r="H319">
        <v>1.6805012174881864E-2</v>
      </c>
      <c r="I319">
        <v>0.13831778171938935</v>
      </c>
      <c r="J319">
        <v>0</v>
      </c>
      <c r="K319">
        <v>0.40121947901528748</v>
      </c>
      <c r="L319">
        <v>0.28644292103061886</v>
      </c>
      <c r="M319">
        <v>0.71355707896938114</v>
      </c>
      <c r="N319">
        <v>4.505205172178553E-2</v>
      </c>
      <c r="O319" s="72">
        <v>0.97732889778758014</v>
      </c>
      <c r="P319">
        <v>0.99919757865593195</v>
      </c>
      <c r="Q319">
        <v>0.91007151243271123</v>
      </c>
      <c r="R319">
        <v>0.41641098574141744</v>
      </c>
      <c r="S319">
        <v>0.37549470730693568</v>
      </c>
      <c r="T319">
        <v>0.2773352513163776</v>
      </c>
      <c r="U319">
        <v>0.7688508836041108</v>
      </c>
      <c r="V319">
        <v>0.71196635227536942</v>
      </c>
      <c r="W319">
        <v>0.52983657012705254</v>
      </c>
      <c r="X319">
        <v>0.4841599390725605</v>
      </c>
      <c r="Y319">
        <v>0.49972416242602979</v>
      </c>
      <c r="Z319">
        <v>0.47118860706217081</v>
      </c>
      <c r="AA319">
        <v>0.65241205333174546</v>
      </c>
      <c r="AB319">
        <v>0.78285300568802163</v>
      </c>
      <c r="AC319">
        <v>0.73124934740939329</v>
      </c>
      <c r="AD319">
        <v>0.62959727011478839</v>
      </c>
      <c r="AE319">
        <v>156.32128522214822</v>
      </c>
      <c r="AF319">
        <v>795.93996382898752</v>
      </c>
      <c r="AG319">
        <v>1036.5935318831368</v>
      </c>
      <c r="AH319">
        <v>13040.188063905407</v>
      </c>
      <c r="AI319">
        <v>8648.698460108877</v>
      </c>
      <c r="AJ319">
        <v>37281.475192192287</v>
      </c>
      <c r="AK319">
        <v>11503.252836326363</v>
      </c>
      <c r="AL319">
        <v>1317.8412621264636</v>
      </c>
      <c r="AM319">
        <v>448.4188240110002</v>
      </c>
      <c r="AO319">
        <v>47261.919372047589</v>
      </c>
      <c r="AP319">
        <v>12.877886800827016</v>
      </c>
      <c r="AQ319">
        <v>47703.577329602871</v>
      </c>
      <c r="AR319">
        <v>13.046935829193902</v>
      </c>
      <c r="AS319" s="2">
        <f t="shared" si="29"/>
        <v>441.65795755528234</v>
      </c>
      <c r="AT319" s="2">
        <f t="shared" si="30"/>
        <v>0.16904902836688684</v>
      </c>
      <c r="AV319">
        <f t="shared" si="31"/>
        <v>1240526.7607106541</v>
      </c>
      <c r="AW319">
        <f t="shared" si="32"/>
        <v>1256990.0055897874</v>
      </c>
      <c r="AY319">
        <f t="shared" si="33"/>
        <v>0</v>
      </c>
      <c r="AZ319">
        <f t="shared" si="34"/>
        <v>1</v>
      </c>
    </row>
    <row r="320" spans="1:52" x14ac:dyDescent="0.2">
      <c r="A320">
        <f t="shared" ref="A320:A383" si="35">A319+1</f>
        <v>316</v>
      </c>
      <c r="B320">
        <v>2.0380375811458656E-2</v>
      </c>
      <c r="C320">
        <v>4.8007010150142082E-2</v>
      </c>
      <c r="D320">
        <v>4.679741149019967E-2</v>
      </c>
      <c r="E320">
        <v>4.2941179977632983E-3</v>
      </c>
      <c r="F320">
        <v>3.4158910608745874E-3</v>
      </c>
      <c r="G320">
        <v>1.1707780895973172E-2</v>
      </c>
      <c r="H320">
        <v>1.5198374709003606E-2</v>
      </c>
      <c r="I320">
        <v>0.12508104225709746</v>
      </c>
      <c r="J320">
        <v>0</v>
      </c>
      <c r="K320">
        <v>0.40278538652217166</v>
      </c>
      <c r="L320">
        <v>0.1957560079306091</v>
      </c>
      <c r="M320">
        <v>0.8042439920693909</v>
      </c>
      <c r="N320">
        <v>5.4731750726777995E-2</v>
      </c>
      <c r="O320" s="72">
        <v>0.98409244339978375</v>
      </c>
      <c r="P320">
        <v>0.99989550589560217</v>
      </c>
      <c r="Q320">
        <v>0.98818818481273529</v>
      </c>
      <c r="R320">
        <v>0.51241208358128887</v>
      </c>
      <c r="S320">
        <v>0.37273186787105106</v>
      </c>
      <c r="T320">
        <v>0.26773419311116631</v>
      </c>
      <c r="U320">
        <v>0.72179599216458512</v>
      </c>
      <c r="V320">
        <v>0.59492888632747998</v>
      </c>
      <c r="W320">
        <v>0.44934908065276069</v>
      </c>
      <c r="X320">
        <v>0.43880947413122351</v>
      </c>
      <c r="Y320">
        <v>0.44697200471318971</v>
      </c>
      <c r="Z320">
        <v>0.45306705018233584</v>
      </c>
      <c r="AA320">
        <v>0.67546022636296321</v>
      </c>
      <c r="AB320">
        <v>0.83723929212534576</v>
      </c>
      <c r="AC320">
        <v>0.68074254690838643</v>
      </c>
      <c r="AD320">
        <v>0.63479457358827118</v>
      </c>
      <c r="AE320">
        <v>231.01481346910273</v>
      </c>
      <c r="AF320">
        <v>1076.5019890693004</v>
      </c>
      <c r="AG320">
        <v>1199.8276470196163</v>
      </c>
      <c r="AH320">
        <v>10238.646703922041</v>
      </c>
      <c r="AI320">
        <v>14155.861514114638</v>
      </c>
      <c r="AJ320">
        <v>33817.905341949416</v>
      </c>
      <c r="AK320">
        <v>17520.941200236299</v>
      </c>
      <c r="AL320">
        <v>1673.9391030497495</v>
      </c>
      <c r="AM320">
        <v>361.05935031650188</v>
      </c>
      <c r="AO320">
        <v>41214.386008368361</v>
      </c>
      <c r="AP320">
        <v>13.471506038414825</v>
      </c>
      <c r="AQ320">
        <v>46062.926545074093</v>
      </c>
      <c r="AR320">
        <v>13.720960915006222</v>
      </c>
      <c r="AS320" s="2">
        <f t="shared" si="29"/>
        <v>4848.5405367057319</v>
      </c>
      <c r="AT320" s="2">
        <f t="shared" si="30"/>
        <v>0.24945487659139687</v>
      </c>
      <c r="AV320">
        <f t="shared" si="31"/>
        <v>1305936.2178331141</v>
      </c>
      <c r="AW320">
        <f t="shared" si="32"/>
        <v>1326033.164955548</v>
      </c>
      <c r="AY320">
        <f t="shared" si="33"/>
        <v>0</v>
      </c>
      <c r="AZ320">
        <f t="shared" si="34"/>
        <v>1</v>
      </c>
    </row>
    <row r="321" spans="1:52" x14ac:dyDescent="0.2">
      <c r="A321">
        <f t="shared" si="35"/>
        <v>317</v>
      </c>
      <c r="B321">
        <v>2.8959937036230676E-2</v>
      </c>
      <c r="C321">
        <v>4.9946153716279529E-2</v>
      </c>
      <c r="D321">
        <v>3.4048381281763893E-2</v>
      </c>
      <c r="E321">
        <v>8.935611851746933E-3</v>
      </c>
      <c r="F321">
        <v>3.3587266949037797E-3</v>
      </c>
      <c r="G321">
        <v>8.7083599164910295E-3</v>
      </c>
      <c r="H321">
        <v>1.6765436710645766E-2</v>
      </c>
      <c r="I321">
        <v>0.11257937205378486</v>
      </c>
      <c r="J321">
        <v>0</v>
      </c>
      <c r="K321">
        <v>0.37815741326440266</v>
      </c>
      <c r="L321">
        <v>0.26323407175824065</v>
      </c>
      <c r="M321">
        <v>0.73676592824175935</v>
      </c>
      <c r="N321">
        <v>7.0354345653211969E-2</v>
      </c>
      <c r="O321" s="72">
        <v>0.99073158886912238</v>
      </c>
      <c r="P321">
        <v>0.99038281148365859</v>
      </c>
      <c r="Q321">
        <v>0.92914254316833533</v>
      </c>
      <c r="R321">
        <v>0.50033396838033672</v>
      </c>
      <c r="S321">
        <v>0.47166137146960663</v>
      </c>
      <c r="T321">
        <v>0.15164190820123669</v>
      </c>
      <c r="U321">
        <v>0.76652546111228903</v>
      </c>
      <c r="V321">
        <v>0.7134290952086848</v>
      </c>
      <c r="W321">
        <v>0.52232561786676035</v>
      </c>
      <c r="X321">
        <v>0.50174279888019369</v>
      </c>
      <c r="Y321">
        <v>0.41210209429280931</v>
      </c>
      <c r="Z321">
        <v>0.42752831390770241</v>
      </c>
      <c r="AA321">
        <v>0.6419169933808585</v>
      </c>
      <c r="AB321">
        <v>0.71616063009048325</v>
      </c>
      <c r="AC321">
        <v>0.73944281913268961</v>
      </c>
      <c r="AD321">
        <v>0.64248654210390721</v>
      </c>
      <c r="AE321">
        <v>209.26157154973441</v>
      </c>
      <c r="AF321">
        <v>1063.5898402179291</v>
      </c>
      <c r="AG321">
        <v>1960.377434556985</v>
      </c>
      <c r="AH321">
        <v>16037.913449255988</v>
      </c>
      <c r="AI321">
        <v>14160.447424025399</v>
      </c>
      <c r="AJ321">
        <v>38469.781138229751</v>
      </c>
      <c r="AK321">
        <v>16448.174570522668</v>
      </c>
      <c r="AL321">
        <v>2543.8368470301921</v>
      </c>
      <c r="AM321">
        <v>327.55293541425254</v>
      </c>
      <c r="AO321">
        <v>43793.663391074821</v>
      </c>
      <c r="AP321">
        <v>12.053632045968218</v>
      </c>
      <c r="AQ321">
        <v>46224.514080847286</v>
      </c>
      <c r="AR321">
        <v>12.159340619284482</v>
      </c>
      <c r="AS321" s="2">
        <f t="shared" si="29"/>
        <v>2430.8506897724656</v>
      </c>
      <c r="AT321" s="2">
        <f t="shared" si="30"/>
        <v>0.10570857331626371</v>
      </c>
      <c r="AV321">
        <f t="shared" si="31"/>
        <v>1161569.5412057471</v>
      </c>
      <c r="AW321">
        <f t="shared" si="32"/>
        <v>1169709.5478476009</v>
      </c>
      <c r="AY321">
        <f t="shared" si="33"/>
        <v>0</v>
      </c>
      <c r="AZ321">
        <f t="shared" si="34"/>
        <v>1</v>
      </c>
    </row>
    <row r="322" spans="1:52" x14ac:dyDescent="0.2">
      <c r="A322">
        <f t="shared" si="35"/>
        <v>318</v>
      </c>
      <c r="B322">
        <v>1.7737673270581414E-2</v>
      </c>
      <c r="C322">
        <v>3.5359281320832166E-2</v>
      </c>
      <c r="D322">
        <v>2.424569078669804E-2</v>
      </c>
      <c r="E322">
        <v>1.5087922402834186E-2</v>
      </c>
      <c r="F322">
        <v>3.412537242333924E-3</v>
      </c>
      <c r="G322">
        <v>1.8243867538633564E-3</v>
      </c>
      <c r="H322">
        <v>1.8528131460350816E-2</v>
      </c>
      <c r="I322">
        <v>0.1287732148409782</v>
      </c>
      <c r="J322">
        <v>0</v>
      </c>
      <c r="K322">
        <v>0.37834010651365158</v>
      </c>
      <c r="L322">
        <v>0.18996147153981294</v>
      </c>
      <c r="M322">
        <v>0.81003852846018709</v>
      </c>
      <c r="N322">
        <v>3.3675321512896914E-2</v>
      </c>
      <c r="O322" s="72">
        <v>0.99999677560556144</v>
      </c>
      <c r="P322">
        <v>0.99351204279629135</v>
      </c>
      <c r="Q322">
        <v>0.99325615176979554</v>
      </c>
      <c r="R322">
        <v>0.44626690476934217</v>
      </c>
      <c r="S322">
        <v>0.33639557908298701</v>
      </c>
      <c r="T322">
        <v>0.23508412023414504</v>
      </c>
      <c r="U322">
        <v>0.79017172967921823</v>
      </c>
      <c r="V322">
        <v>0.70965806733507208</v>
      </c>
      <c r="W322">
        <v>0.47076461822715454</v>
      </c>
      <c r="X322">
        <v>0.45269720829416826</v>
      </c>
      <c r="Y322">
        <v>0.44842942892282683</v>
      </c>
      <c r="Z322">
        <v>0.46375718371566899</v>
      </c>
      <c r="AA322">
        <v>0.67246615769451235</v>
      </c>
      <c r="AB322">
        <v>0.83001891763831903</v>
      </c>
      <c r="AC322">
        <v>0.77888878069153433</v>
      </c>
      <c r="AD322">
        <v>0.63718736902475037</v>
      </c>
      <c r="AE322">
        <v>146.9995739545717</v>
      </c>
      <c r="AF322">
        <v>1043.6589382080303</v>
      </c>
      <c r="AG322">
        <v>1988.0154173056869</v>
      </c>
      <c r="AH322">
        <v>10836.973172980734</v>
      </c>
      <c r="AI322">
        <v>9158.3674343991443</v>
      </c>
      <c r="AJ322">
        <v>36384.813569529615</v>
      </c>
      <c r="AK322">
        <v>11472.073171872269</v>
      </c>
      <c r="AL322">
        <v>2119.1402791376549</v>
      </c>
      <c r="AM322">
        <v>409.4858848674038</v>
      </c>
      <c r="AO322">
        <v>46352.940081370034</v>
      </c>
      <c r="AP322">
        <v>13.615848388912479</v>
      </c>
      <c r="AQ322">
        <v>46944.958475039537</v>
      </c>
      <c r="AR322">
        <v>13.802683688928042</v>
      </c>
      <c r="AS322" s="2">
        <f t="shared" si="29"/>
        <v>592.01839366950298</v>
      </c>
      <c r="AT322" s="2">
        <f t="shared" si="30"/>
        <v>0.18683530001556292</v>
      </c>
      <c r="AV322">
        <f t="shared" si="31"/>
        <v>1315231.8988098779</v>
      </c>
      <c r="AW322">
        <f t="shared" si="32"/>
        <v>1333323.4104177647</v>
      </c>
      <c r="AY322">
        <f t="shared" si="33"/>
        <v>0</v>
      </c>
      <c r="AZ322">
        <f t="shared" si="34"/>
        <v>1</v>
      </c>
    </row>
    <row r="323" spans="1:52" x14ac:dyDescent="0.2">
      <c r="A323">
        <f t="shared" si="35"/>
        <v>319</v>
      </c>
      <c r="B323">
        <v>3.0222783710787016E-2</v>
      </c>
      <c r="C323">
        <v>4.5233433913339449E-2</v>
      </c>
      <c r="D323">
        <v>2.3814870255891352E-2</v>
      </c>
      <c r="E323">
        <v>9.2611599223150765E-3</v>
      </c>
      <c r="F323">
        <v>3.3064476854311451E-3</v>
      </c>
      <c r="G323">
        <v>1.3094242186481253E-2</v>
      </c>
      <c r="H323">
        <v>4.1676013657104272E-2</v>
      </c>
      <c r="I323">
        <v>0.11060156798320292</v>
      </c>
      <c r="J323">
        <v>0</v>
      </c>
      <c r="K323">
        <v>0.3989188338058286</v>
      </c>
      <c r="L323">
        <v>0.1999857504058285</v>
      </c>
      <c r="M323">
        <v>0.80001424959417156</v>
      </c>
      <c r="N323">
        <v>6.9339450284957693E-2</v>
      </c>
      <c r="O323" s="72">
        <v>0.99857720646240078</v>
      </c>
      <c r="P323">
        <v>0.99881610279618316</v>
      </c>
      <c r="Q323">
        <v>0.99178704128781681</v>
      </c>
      <c r="R323">
        <v>0.44199919966725343</v>
      </c>
      <c r="S323">
        <v>0.30660087380686063</v>
      </c>
      <c r="T323">
        <v>0.25239596021417321</v>
      </c>
      <c r="U323">
        <v>0.76354776232709953</v>
      </c>
      <c r="V323">
        <v>0.69099481021891629</v>
      </c>
      <c r="W323">
        <v>0.54164162462744003</v>
      </c>
      <c r="X323">
        <v>0.48451610830921754</v>
      </c>
      <c r="Y323">
        <v>0.39416392919354648</v>
      </c>
      <c r="Z323">
        <v>0.46914317690448148</v>
      </c>
      <c r="AA323">
        <v>0.65732338097580756</v>
      </c>
      <c r="AB323">
        <v>0.83836236534417319</v>
      </c>
      <c r="AC323">
        <v>0.82103056484694714</v>
      </c>
      <c r="AD323">
        <v>0.57026022784132913</v>
      </c>
      <c r="AE323">
        <v>293.14658638306827</v>
      </c>
      <c r="AF323">
        <v>1047.4833420397508</v>
      </c>
      <c r="AG323">
        <v>2017.5350370755561</v>
      </c>
      <c r="AH323">
        <v>10439.089836187168</v>
      </c>
      <c r="AI323">
        <v>8278.7926324726068</v>
      </c>
      <c r="AJ323">
        <v>43601.35640828008</v>
      </c>
      <c r="AK323">
        <v>13336.783872190388</v>
      </c>
      <c r="AL323">
        <v>2565.2320688319546</v>
      </c>
      <c r="AM323">
        <v>432.84598759250144</v>
      </c>
      <c r="AO323">
        <v>47633.29739498139</v>
      </c>
      <c r="AP323">
        <v>13.697949456341391</v>
      </c>
      <c r="AQ323">
        <v>47284.128089903686</v>
      </c>
      <c r="AR323">
        <v>13.905374278319512</v>
      </c>
      <c r="AS323" s="2">
        <f t="shared" si="29"/>
        <v>-349.16930507770303</v>
      </c>
      <c r="AT323" s="2">
        <f t="shared" si="30"/>
        <v>0.20742482197812073</v>
      </c>
      <c r="AV323">
        <f t="shared" si="31"/>
        <v>1322161.6482391576</v>
      </c>
      <c r="AW323">
        <f t="shared" si="32"/>
        <v>1343253.2997420474</v>
      </c>
      <c r="AY323">
        <f t="shared" si="33"/>
        <v>0</v>
      </c>
      <c r="AZ323">
        <f t="shared" si="34"/>
        <v>1</v>
      </c>
    </row>
    <row r="324" spans="1:52" x14ac:dyDescent="0.2">
      <c r="A324">
        <f t="shared" si="35"/>
        <v>320</v>
      </c>
      <c r="B324">
        <v>2.5405773563281997E-2</v>
      </c>
      <c r="C324">
        <v>4.3544964496876171E-2</v>
      </c>
      <c r="D324">
        <v>5.3118079547417985E-2</v>
      </c>
      <c r="E324">
        <v>9.1396680424540161E-4</v>
      </c>
      <c r="F324">
        <v>3.3075428044583998E-3</v>
      </c>
      <c r="G324">
        <v>2.3012384495141262E-3</v>
      </c>
      <c r="H324">
        <v>2.0858358535651995E-2</v>
      </c>
      <c r="I324">
        <v>0.13344407585306184</v>
      </c>
      <c r="J324">
        <v>0</v>
      </c>
      <c r="K324">
        <v>0.41895176150481417</v>
      </c>
      <c r="L324">
        <v>0.16378434056936703</v>
      </c>
      <c r="M324">
        <v>0.83621565943063292</v>
      </c>
      <c r="N324">
        <v>4.685223722229076E-2</v>
      </c>
      <c r="O324" s="72">
        <v>0.99842391407816666</v>
      </c>
      <c r="P324">
        <v>0.99998803628767186</v>
      </c>
      <c r="Q324">
        <v>0.98982018992461596</v>
      </c>
      <c r="R324">
        <v>0.48029968639186815</v>
      </c>
      <c r="S324">
        <v>0.38474144664645504</v>
      </c>
      <c r="T324">
        <v>0.26704705781316163</v>
      </c>
      <c r="U324">
        <v>0.76258704038163416</v>
      </c>
      <c r="V324">
        <v>0.71369079666319002</v>
      </c>
      <c r="W324">
        <v>0.51000845940683959</v>
      </c>
      <c r="X324">
        <v>0.47033103876953808</v>
      </c>
      <c r="Y324">
        <v>0.44296593294390074</v>
      </c>
      <c r="Z324">
        <v>0.45181850867076168</v>
      </c>
      <c r="AA324">
        <v>0.71177776096924894</v>
      </c>
      <c r="AB324">
        <v>0.84968035182100876</v>
      </c>
      <c r="AC324">
        <v>0.67568012197397731</v>
      </c>
      <c r="AD324">
        <v>0.67365126105579864</v>
      </c>
      <c r="AE324">
        <v>146.76277410375823</v>
      </c>
      <c r="AF324">
        <v>867.85880938335617</v>
      </c>
      <c r="AG324">
        <v>1650.3022422512211</v>
      </c>
      <c r="AH324">
        <v>11214.268073532105</v>
      </c>
      <c r="AI324">
        <v>8016.5905664972543</v>
      </c>
      <c r="AJ324">
        <v>41258.451643980392</v>
      </c>
      <c r="AK324">
        <v>11490.428376506148</v>
      </c>
      <c r="AL324">
        <v>2057.3151473533353</v>
      </c>
      <c r="AM324">
        <v>350.09448579820275</v>
      </c>
      <c r="AO324">
        <v>42501.547731981067</v>
      </c>
      <c r="AP324">
        <v>13.707927307318679</v>
      </c>
      <c r="AQ324">
        <v>45780.698410271973</v>
      </c>
      <c r="AR324">
        <v>13.939537222654529</v>
      </c>
      <c r="AS324" s="2">
        <f t="shared" si="29"/>
        <v>3279.1506782909055</v>
      </c>
      <c r="AT324" s="2">
        <f t="shared" si="30"/>
        <v>0.2316099153358504</v>
      </c>
      <c r="AV324">
        <f t="shared" si="31"/>
        <v>1328291.1829998868</v>
      </c>
      <c r="AW324">
        <f t="shared" si="32"/>
        <v>1348173.0238551809</v>
      </c>
      <c r="AY324">
        <f t="shared" si="33"/>
        <v>0</v>
      </c>
      <c r="AZ324">
        <f t="shared" si="34"/>
        <v>1</v>
      </c>
    </row>
    <row r="325" spans="1:52" x14ac:dyDescent="0.2">
      <c r="A325">
        <f t="shared" si="35"/>
        <v>321</v>
      </c>
      <c r="B325">
        <v>2.6507361417928976E-2</v>
      </c>
      <c r="C325">
        <v>3.6074965799861046E-2</v>
      </c>
      <c r="D325">
        <v>2.6389396173197216E-2</v>
      </c>
      <c r="E325">
        <v>1.152833187154465E-2</v>
      </c>
      <c r="F325">
        <v>3.2930515318646001E-3</v>
      </c>
      <c r="G325">
        <v>2.6572973645091147E-2</v>
      </c>
      <c r="H325">
        <v>2.3009928246355213E-2</v>
      </c>
      <c r="I325">
        <v>0.15732176623329408</v>
      </c>
      <c r="J325">
        <v>0</v>
      </c>
      <c r="K325">
        <v>0.40465033386947752</v>
      </c>
      <c r="L325">
        <v>0.14784153837329508</v>
      </c>
      <c r="M325">
        <v>0.85215846162670494</v>
      </c>
      <c r="N325">
        <v>4.3122549641772631E-2</v>
      </c>
      <c r="O325" s="72">
        <v>0.99999946159970055</v>
      </c>
      <c r="P325">
        <v>0.78409266781150078</v>
      </c>
      <c r="Q325">
        <v>0.96971159285908226</v>
      </c>
      <c r="R325">
        <v>0.47016161945892387</v>
      </c>
      <c r="S325">
        <v>0.44952407855622956</v>
      </c>
      <c r="T325">
        <v>0.31584152114646413</v>
      </c>
      <c r="U325">
        <v>0.76804442168432696</v>
      </c>
      <c r="V325">
        <v>0.6645960893269206</v>
      </c>
      <c r="W325">
        <v>0.47519306823031848</v>
      </c>
      <c r="X325">
        <v>0.44181457560158061</v>
      </c>
      <c r="Y325">
        <v>0.50282169392174914</v>
      </c>
      <c r="Z325">
        <v>0.42915236620340008</v>
      </c>
      <c r="AA325">
        <v>0.63978824433784232</v>
      </c>
      <c r="AB325">
        <v>0.79638401151711391</v>
      </c>
      <c r="AC325">
        <v>0.70777679797224635</v>
      </c>
      <c r="AD325">
        <v>0.64560193620891215</v>
      </c>
      <c r="AE325">
        <v>255.77295866021279</v>
      </c>
      <c r="AF325">
        <v>914.78544202862338</v>
      </c>
      <c r="AG325">
        <v>1667.7411947944643</v>
      </c>
      <c r="AH325">
        <v>11991.300941773283</v>
      </c>
      <c r="AI325">
        <v>10387.560132720762</v>
      </c>
      <c r="AJ325">
        <v>42689.262207515436</v>
      </c>
      <c r="AK325">
        <v>16619.41897493762</v>
      </c>
      <c r="AL325">
        <v>3133.1228449301225</v>
      </c>
      <c r="AM325">
        <v>476.78115091394164</v>
      </c>
      <c r="AO325">
        <v>43532.746783847426</v>
      </c>
      <c r="AP325">
        <v>13.074805095387433</v>
      </c>
      <c r="AQ325">
        <v>56249.615409188191</v>
      </c>
      <c r="AR325">
        <v>13.202576127713728</v>
      </c>
      <c r="AS325" s="2">
        <f t="shared" si="29"/>
        <v>12716.868625340765</v>
      </c>
      <c r="AT325" s="2">
        <f t="shared" si="30"/>
        <v>0.1277710323262955</v>
      </c>
      <c r="AV325">
        <f t="shared" si="31"/>
        <v>1263947.7627548957</v>
      </c>
      <c r="AW325">
        <f t="shared" si="32"/>
        <v>1264007.9973621846</v>
      </c>
      <c r="AY325">
        <f t="shared" si="33"/>
        <v>0</v>
      </c>
      <c r="AZ325">
        <f t="shared" si="34"/>
        <v>1</v>
      </c>
    </row>
    <row r="326" spans="1:52" x14ac:dyDescent="0.2">
      <c r="A326">
        <f t="shared" si="35"/>
        <v>322</v>
      </c>
      <c r="B326">
        <v>2.4915940337770004E-2</v>
      </c>
      <c r="C326">
        <v>3.7414180016948295E-2</v>
      </c>
      <c r="D326">
        <v>3.5971947216486673E-2</v>
      </c>
      <c r="E326">
        <v>6.6835961817602665E-3</v>
      </c>
      <c r="F326">
        <v>3.3420179267660277E-3</v>
      </c>
      <c r="G326">
        <v>1.4225581665512133E-2</v>
      </c>
      <c r="H326">
        <v>4.7013197681233798E-2</v>
      </c>
      <c r="I326">
        <v>0.14398133325258111</v>
      </c>
      <c r="J326">
        <v>0</v>
      </c>
      <c r="K326">
        <v>0.42058440122424257</v>
      </c>
      <c r="L326">
        <v>0.2104181044973874</v>
      </c>
      <c r="M326">
        <v>0.7895818955026126</v>
      </c>
      <c r="N326">
        <v>6.2287621666741066E-2</v>
      </c>
      <c r="O326" s="72">
        <v>0.99593432965938256</v>
      </c>
      <c r="P326">
        <v>0.99505274304200853</v>
      </c>
      <c r="Q326">
        <v>0.9639316428554664</v>
      </c>
      <c r="R326">
        <v>0.41808070371063022</v>
      </c>
      <c r="S326">
        <v>0.39700480866766208</v>
      </c>
      <c r="T326">
        <v>0.18727614513362978</v>
      </c>
      <c r="U326">
        <v>0.76738130240015467</v>
      </c>
      <c r="V326">
        <v>0.66166389266268544</v>
      </c>
      <c r="W326">
        <v>0.63295854811715357</v>
      </c>
      <c r="X326">
        <v>0.48108707253230487</v>
      </c>
      <c r="Y326">
        <v>0.48081566996959391</v>
      </c>
      <c r="Z326">
        <v>0.3801556122131039</v>
      </c>
      <c r="AA326">
        <v>0.57873653194524777</v>
      </c>
      <c r="AB326">
        <v>0.80373595013694088</v>
      </c>
      <c r="AC326">
        <v>0.72185644959013084</v>
      </c>
      <c r="AD326">
        <v>0.6439754366264544</v>
      </c>
      <c r="AE326">
        <v>243.38334581771025</v>
      </c>
      <c r="AF326">
        <v>926.97746483610786</v>
      </c>
      <c r="AG326">
        <v>2138.8031741327541</v>
      </c>
      <c r="AH326">
        <v>14135.114125297345</v>
      </c>
      <c r="AI326">
        <v>16819.366940554381</v>
      </c>
      <c r="AJ326">
        <v>42444.175647646414</v>
      </c>
      <c r="AK326">
        <v>11575.174066225714</v>
      </c>
      <c r="AL326">
        <v>2051.6629495513921</v>
      </c>
      <c r="AM326">
        <v>386.65459197968858</v>
      </c>
      <c r="AO326">
        <v>48532.904516242517</v>
      </c>
      <c r="AP326">
        <v>13.164358252864133</v>
      </c>
      <c r="AQ326">
        <v>46778.240969737286</v>
      </c>
      <c r="AR326">
        <v>13.343494766715848</v>
      </c>
      <c r="AS326" s="2">
        <f t="shared" ref="AS326:AS389" si="36">AQ326-AO326</f>
        <v>-1754.6635465052314</v>
      </c>
      <c r="AT326" s="2">
        <f t="shared" ref="AT326:AT389" si="37">AR326-AP326</f>
        <v>0.1791365138517147</v>
      </c>
      <c r="AV326">
        <f t="shared" ref="AV326:AV389" si="38">$AW$1*AP326-AO326</f>
        <v>1267902.9207701709</v>
      </c>
      <c r="AW326">
        <f t="shared" ref="AW326:AW389" si="39">$AW$1*AR326-AQ326</f>
        <v>1287571.2357018476</v>
      </c>
      <c r="AY326">
        <f t="shared" ref="AY326:AY389" si="40">IF(AV326=MAX($AV326:$AW326),1,0)</f>
        <v>0</v>
      </c>
      <c r="AZ326">
        <f t="shared" ref="AZ326:AZ389" si="41">IF(AW326=MAX($AV326:$AW326),1,0)</f>
        <v>1</v>
      </c>
    </row>
    <row r="327" spans="1:52" x14ac:dyDescent="0.2">
      <c r="A327">
        <f t="shared" si="35"/>
        <v>323</v>
      </c>
      <c r="B327">
        <v>3.0436123237759238E-2</v>
      </c>
      <c r="C327">
        <v>4.3156490284763094E-2</v>
      </c>
      <c r="D327">
        <v>5.8444552832889629E-2</v>
      </c>
      <c r="E327">
        <v>3.6950259819323117E-3</v>
      </c>
      <c r="F327">
        <v>3.4130546560569019E-3</v>
      </c>
      <c r="G327">
        <v>1.6452657859537645E-2</v>
      </c>
      <c r="H327">
        <v>3.6285882858168139E-2</v>
      </c>
      <c r="I327">
        <v>0.13303098855918394</v>
      </c>
      <c r="J327">
        <v>0</v>
      </c>
      <c r="K327">
        <v>0.4110016652214788</v>
      </c>
      <c r="L327">
        <v>0.19689235688713619</v>
      </c>
      <c r="M327">
        <v>0.80310764311286387</v>
      </c>
      <c r="N327">
        <v>4.980079659848282E-2</v>
      </c>
      <c r="O327" s="72">
        <v>0.99945844496078473</v>
      </c>
      <c r="P327">
        <v>0.98830787365617412</v>
      </c>
      <c r="Q327">
        <v>0.91746388125222433</v>
      </c>
      <c r="R327">
        <v>0.46573625886386427</v>
      </c>
      <c r="S327">
        <v>0.36035491264050523</v>
      </c>
      <c r="T327">
        <v>0.20491833276826155</v>
      </c>
      <c r="U327">
        <v>0.7387617681825025</v>
      </c>
      <c r="V327">
        <v>0.66970537471256641</v>
      </c>
      <c r="W327">
        <v>0.45231792426489581</v>
      </c>
      <c r="X327">
        <v>0.47851235902232525</v>
      </c>
      <c r="Y327">
        <v>0.45176230235759907</v>
      </c>
      <c r="Z327">
        <v>0.55768721810722166</v>
      </c>
      <c r="AA327">
        <v>0.57983037232986256</v>
      </c>
      <c r="AB327">
        <v>0.80790245464131061</v>
      </c>
      <c r="AC327">
        <v>0.84535597825108033</v>
      </c>
      <c r="AD327">
        <v>0.57241620019507311</v>
      </c>
      <c r="AE327">
        <v>217.77452801401111</v>
      </c>
      <c r="AF327">
        <v>1107.6179908010752</v>
      </c>
      <c r="AG327">
        <v>1772.0036415258844</v>
      </c>
      <c r="AH327">
        <v>13061.279442987585</v>
      </c>
      <c r="AI327">
        <v>11220.112377697731</v>
      </c>
      <c r="AJ327">
        <v>39989.744247093149</v>
      </c>
      <c r="AK327">
        <v>16455.120050704652</v>
      </c>
      <c r="AL327">
        <v>1645.7003125859567</v>
      </c>
      <c r="AM327">
        <v>375.65173420928011</v>
      </c>
      <c r="AO327">
        <v>45527.482904078715</v>
      </c>
      <c r="AP327">
        <v>13.288549675702146</v>
      </c>
      <c r="AQ327">
        <v>46945.066871688352</v>
      </c>
      <c r="AR327">
        <v>13.524008955261944</v>
      </c>
      <c r="AS327" s="2">
        <f t="shared" si="36"/>
        <v>1417.5839676096366</v>
      </c>
      <c r="AT327" s="2">
        <f t="shared" si="37"/>
        <v>0.23545927955979806</v>
      </c>
      <c r="AV327">
        <f t="shared" si="38"/>
        <v>1283327.4846661359</v>
      </c>
      <c r="AW327">
        <f t="shared" si="39"/>
        <v>1305455.8286545062</v>
      </c>
      <c r="AY327">
        <f t="shared" si="40"/>
        <v>0</v>
      </c>
      <c r="AZ327">
        <f t="shared" si="41"/>
        <v>1</v>
      </c>
    </row>
    <row r="328" spans="1:52" x14ac:dyDescent="0.2">
      <c r="A328">
        <f t="shared" si="35"/>
        <v>324</v>
      </c>
      <c r="B328">
        <v>2.251910520925544E-2</v>
      </c>
      <c r="C328">
        <v>4.1861162260119267E-2</v>
      </c>
      <c r="D328">
        <v>2.4852488559738456E-2</v>
      </c>
      <c r="E328">
        <v>2.4758316964345593E-3</v>
      </c>
      <c r="F328">
        <v>3.3005323378489616E-3</v>
      </c>
      <c r="G328">
        <v>1.2942499775931426E-2</v>
      </c>
      <c r="H328">
        <v>3.0347816383213932E-2</v>
      </c>
      <c r="I328">
        <v>0.14049576793381124</v>
      </c>
      <c r="J328">
        <v>0</v>
      </c>
      <c r="K328">
        <v>0.45965941698413937</v>
      </c>
      <c r="L328">
        <v>0.18547818841104494</v>
      </c>
      <c r="M328">
        <v>0.81452181158895509</v>
      </c>
      <c r="N328">
        <v>5.7202724238727964E-2</v>
      </c>
      <c r="O328" s="72">
        <v>0.99948821946630551</v>
      </c>
      <c r="P328">
        <v>0.9948118053786138</v>
      </c>
      <c r="Q328">
        <v>0.97880825897863277</v>
      </c>
      <c r="R328">
        <v>0.45740635164055488</v>
      </c>
      <c r="S328">
        <v>0.29943714225802653</v>
      </c>
      <c r="T328">
        <v>0.19051197294412403</v>
      </c>
      <c r="U328">
        <v>0.77679996502768778</v>
      </c>
      <c r="V328">
        <v>0.67068657603087112</v>
      </c>
      <c r="W328">
        <v>0.65149901499023755</v>
      </c>
      <c r="X328">
        <v>0.41833416652239219</v>
      </c>
      <c r="Y328">
        <v>0.46293786490508282</v>
      </c>
      <c r="Z328">
        <v>0.3967046458319024</v>
      </c>
      <c r="AA328">
        <v>0.60884959622085455</v>
      </c>
      <c r="AB328">
        <v>0.76997316599371401</v>
      </c>
      <c r="AC328">
        <v>0.73857368522821809</v>
      </c>
      <c r="AD328">
        <v>0.56646667286083907</v>
      </c>
      <c r="AE328">
        <v>166.05707671380412</v>
      </c>
      <c r="AF328">
        <v>1260.6750149130705</v>
      </c>
      <c r="AG328">
        <v>1088.9072026538665</v>
      </c>
      <c r="AH328">
        <v>14700.627612900442</v>
      </c>
      <c r="AI328">
        <v>17640.258871444104</v>
      </c>
      <c r="AJ328">
        <v>46173.663231645995</v>
      </c>
      <c r="AK328">
        <v>20811.501718715212</v>
      </c>
      <c r="AL328">
        <v>1775.321098530572</v>
      </c>
      <c r="AM328">
        <v>355.11522544284202</v>
      </c>
      <c r="AO328">
        <v>46845.528187915588</v>
      </c>
      <c r="AP328">
        <v>12.725423480957383</v>
      </c>
      <c r="AQ328">
        <v>46124.725965643993</v>
      </c>
      <c r="AR328">
        <v>12.799693853297557</v>
      </c>
      <c r="AS328" s="2">
        <f t="shared" si="36"/>
        <v>-720.80222227159538</v>
      </c>
      <c r="AT328" s="2">
        <f t="shared" si="37"/>
        <v>7.4270372340173196E-2</v>
      </c>
      <c r="AV328">
        <f t="shared" si="38"/>
        <v>1225696.8199078226</v>
      </c>
      <c r="AW328">
        <f t="shared" si="39"/>
        <v>1233844.6593641117</v>
      </c>
      <c r="AY328">
        <f t="shared" si="40"/>
        <v>0</v>
      </c>
      <c r="AZ328">
        <f t="shared" si="41"/>
        <v>1</v>
      </c>
    </row>
    <row r="329" spans="1:52" x14ac:dyDescent="0.2">
      <c r="A329">
        <f t="shared" si="35"/>
        <v>325</v>
      </c>
      <c r="B329">
        <v>2.4224104501026668E-2</v>
      </c>
      <c r="C329">
        <v>2.41194740197705E-2</v>
      </c>
      <c r="D329">
        <v>2.5276803473097978E-2</v>
      </c>
      <c r="E329">
        <v>1.6790435237198031E-2</v>
      </c>
      <c r="F329">
        <v>3.467936196113186E-3</v>
      </c>
      <c r="G329">
        <v>1.1697978450875375E-3</v>
      </c>
      <c r="H329">
        <v>2.2319486396640154E-2</v>
      </c>
      <c r="I329">
        <v>0.12756644398240879</v>
      </c>
      <c r="J329">
        <v>0</v>
      </c>
      <c r="K329">
        <v>0.38864391623606598</v>
      </c>
      <c r="L329">
        <v>0.15473172233549198</v>
      </c>
      <c r="M329">
        <v>0.84526827766450796</v>
      </c>
      <c r="N329">
        <v>5.961226173009182E-2</v>
      </c>
      <c r="O329" s="72">
        <v>0.99296725762815485</v>
      </c>
      <c r="P329">
        <v>0.99882752059748947</v>
      </c>
      <c r="Q329">
        <v>0.93378778749771596</v>
      </c>
      <c r="R329">
        <v>0.47707345746906338</v>
      </c>
      <c r="S329">
        <v>0.27999196733745824</v>
      </c>
      <c r="T329">
        <v>0.10830765642554896</v>
      </c>
      <c r="U329">
        <v>0.78548925257617597</v>
      </c>
      <c r="V329">
        <v>0.70333665379051236</v>
      </c>
      <c r="W329">
        <v>0.58552256045597795</v>
      </c>
      <c r="X329">
        <v>0.39945242960293115</v>
      </c>
      <c r="Y329">
        <v>0.46862012390211893</v>
      </c>
      <c r="Z329">
        <v>0.49891411022093235</v>
      </c>
      <c r="AA329">
        <v>0.73156302676865081</v>
      </c>
      <c r="AB329">
        <v>0.82206728296970422</v>
      </c>
      <c r="AC329">
        <v>0.80124442009437447</v>
      </c>
      <c r="AD329">
        <v>0.64050065343345508</v>
      </c>
      <c r="AE329">
        <v>214.52739170361551</v>
      </c>
      <c r="AF329">
        <v>1066.4608504869757</v>
      </c>
      <c r="AG329">
        <v>1983.3156361167189</v>
      </c>
      <c r="AH329">
        <v>13210.470812728148</v>
      </c>
      <c r="AI329">
        <v>12107.83006695684</v>
      </c>
      <c r="AJ329">
        <v>38488.127189984254</v>
      </c>
      <c r="AK329">
        <v>15711.92012295152</v>
      </c>
      <c r="AL329">
        <v>2455.017618940582</v>
      </c>
      <c r="AM329">
        <v>344.06996007894628</v>
      </c>
      <c r="AO329">
        <v>49146.752075861586</v>
      </c>
      <c r="AP329">
        <v>13.50131687641508</v>
      </c>
      <c r="AQ329">
        <v>46119.370571033374</v>
      </c>
      <c r="AR329">
        <v>13.734174854462934</v>
      </c>
      <c r="AS329" s="2">
        <f t="shared" si="36"/>
        <v>-3027.3815048282122</v>
      </c>
      <c r="AT329" s="2">
        <f t="shared" si="37"/>
        <v>0.23285797804785346</v>
      </c>
      <c r="AV329">
        <f t="shared" si="38"/>
        <v>1300984.9355656463</v>
      </c>
      <c r="AW329">
        <f t="shared" si="39"/>
        <v>1327298.11487526</v>
      </c>
      <c r="AY329">
        <f t="shared" si="40"/>
        <v>0</v>
      </c>
      <c r="AZ329">
        <f t="shared" si="41"/>
        <v>1</v>
      </c>
    </row>
    <row r="330" spans="1:52" x14ac:dyDescent="0.2">
      <c r="A330">
        <f t="shared" si="35"/>
        <v>326</v>
      </c>
      <c r="B330">
        <v>1.8299809501685832E-2</v>
      </c>
      <c r="C330">
        <v>3.3312165636691038E-2</v>
      </c>
      <c r="D330">
        <v>7.0413885237512686E-2</v>
      </c>
      <c r="E330">
        <v>2.1214823422423534E-2</v>
      </c>
      <c r="F330">
        <v>3.3191010683218847E-3</v>
      </c>
      <c r="G330">
        <v>5.6628623781670284E-3</v>
      </c>
      <c r="H330">
        <v>3.4382063828247378E-2</v>
      </c>
      <c r="I330">
        <v>0.11118243661371442</v>
      </c>
      <c r="J330">
        <v>0</v>
      </c>
      <c r="K330">
        <v>0.43902586524251808</v>
      </c>
      <c r="L330">
        <v>0.11040883888131653</v>
      </c>
      <c r="M330">
        <v>0.88959116111868353</v>
      </c>
      <c r="N330">
        <v>8.2309067343112718E-2</v>
      </c>
      <c r="O330" s="72">
        <v>0.99945499043508845</v>
      </c>
      <c r="P330">
        <v>0.99971810617411372</v>
      </c>
      <c r="Q330">
        <v>0.93847220325939484</v>
      </c>
      <c r="R330">
        <v>0.46001316606371923</v>
      </c>
      <c r="S330">
        <v>0.44621620277514418</v>
      </c>
      <c r="T330">
        <v>0.2607931238963036</v>
      </c>
      <c r="U330">
        <v>0.774639402745122</v>
      </c>
      <c r="V330">
        <v>0.66638054558861515</v>
      </c>
      <c r="W330">
        <v>0.63813891079196705</v>
      </c>
      <c r="X330">
        <v>0.45411189233167248</v>
      </c>
      <c r="Y330">
        <v>0.40428548844532336</v>
      </c>
      <c r="Z330">
        <v>0.45449095420030727</v>
      </c>
      <c r="AA330">
        <v>0.67351190230723179</v>
      </c>
      <c r="AB330">
        <v>0.72424985924965302</v>
      </c>
      <c r="AC330">
        <v>0.72041956246335992</v>
      </c>
      <c r="AD330">
        <v>0.60271688351997088</v>
      </c>
      <c r="AE330">
        <v>211.82295107573776</v>
      </c>
      <c r="AF330">
        <v>1099.4723657064171</v>
      </c>
      <c r="AG330">
        <v>1313.7896825018563</v>
      </c>
      <c r="AH330">
        <v>12759.001600367859</v>
      </c>
      <c r="AI330">
        <v>8412.1335736104993</v>
      </c>
      <c r="AJ330">
        <v>41777.270902349206</v>
      </c>
      <c r="AK330">
        <v>9821.8988345835314</v>
      </c>
      <c r="AL330">
        <v>2060.345368669477</v>
      </c>
      <c r="AM330">
        <v>419.57134510079425</v>
      </c>
      <c r="AO330">
        <v>44116.900600661313</v>
      </c>
      <c r="AP330">
        <v>12.10246161923123</v>
      </c>
      <c r="AQ330">
        <v>47171.227348164437</v>
      </c>
      <c r="AR330">
        <v>12.181753720454958</v>
      </c>
      <c r="AS330" s="2">
        <f t="shared" si="36"/>
        <v>3054.3267475031244</v>
      </c>
      <c r="AT330" s="2">
        <f t="shared" si="37"/>
        <v>7.929210122372865E-2</v>
      </c>
      <c r="AV330">
        <f t="shared" si="38"/>
        <v>1166129.2613224618</v>
      </c>
      <c r="AW330">
        <f t="shared" si="39"/>
        <v>1171004.1446973314</v>
      </c>
      <c r="AY330">
        <f t="shared" si="40"/>
        <v>0</v>
      </c>
      <c r="AZ330">
        <f t="shared" si="41"/>
        <v>1</v>
      </c>
    </row>
    <row r="331" spans="1:52" x14ac:dyDescent="0.2">
      <c r="A331">
        <f t="shared" si="35"/>
        <v>327</v>
      </c>
      <c r="B331">
        <v>2.9248688038317261E-2</v>
      </c>
      <c r="C331">
        <v>2.9378801922969287E-2</v>
      </c>
      <c r="D331">
        <v>4.0651283893461287E-2</v>
      </c>
      <c r="E331">
        <v>1.7152842813616509E-2</v>
      </c>
      <c r="F331">
        <v>3.3023289288859254E-3</v>
      </c>
      <c r="G331">
        <v>5.364385623261061E-3</v>
      </c>
      <c r="H331">
        <v>2.8876662300015066E-2</v>
      </c>
      <c r="I331">
        <v>0.13393536141694229</v>
      </c>
      <c r="J331">
        <v>0</v>
      </c>
      <c r="K331">
        <v>0.43572620620075686</v>
      </c>
      <c r="L331">
        <v>0.19885538618357795</v>
      </c>
      <c r="M331">
        <v>0.80114461381642199</v>
      </c>
      <c r="N331">
        <v>4.4199614688459073E-2</v>
      </c>
      <c r="O331" s="72">
        <v>0.89190582008078878</v>
      </c>
      <c r="P331">
        <v>0.99691569175067318</v>
      </c>
      <c r="Q331">
        <v>0.99070508569879634</v>
      </c>
      <c r="R331">
        <v>0.50213015213716616</v>
      </c>
      <c r="S331">
        <v>0.4034164713568873</v>
      </c>
      <c r="T331">
        <v>0.34714075755801022</v>
      </c>
      <c r="U331">
        <v>0.79732926581721042</v>
      </c>
      <c r="V331">
        <v>0.59437719897253827</v>
      </c>
      <c r="W331">
        <v>0.53700951813989062</v>
      </c>
      <c r="X331">
        <v>0.42243117444125727</v>
      </c>
      <c r="Y331">
        <v>0.44799884072136759</v>
      </c>
      <c r="Z331">
        <v>0.50721430022046821</v>
      </c>
      <c r="AA331">
        <v>0.68409079659622529</v>
      </c>
      <c r="AB331">
        <v>0.81626014487629961</v>
      </c>
      <c r="AC331">
        <v>0.76564498202230835</v>
      </c>
      <c r="AD331">
        <v>0.59433896793404106</v>
      </c>
      <c r="AE331">
        <v>234.8664044300688</v>
      </c>
      <c r="AF331">
        <v>1182.3312394402403</v>
      </c>
      <c r="AG331">
        <v>1579.5118445575781</v>
      </c>
      <c r="AH331">
        <v>18825.477212481514</v>
      </c>
      <c r="AI331">
        <v>10977.6291639674</v>
      </c>
      <c r="AJ331">
        <v>45847.096101777213</v>
      </c>
      <c r="AK331">
        <v>16061.263066142677</v>
      </c>
      <c r="AL331">
        <v>1282.1991936513527</v>
      </c>
      <c r="AM331">
        <v>539.47735328194176</v>
      </c>
      <c r="AO331">
        <v>43425.588587661812</v>
      </c>
      <c r="AP331">
        <v>13.38775168326613</v>
      </c>
      <c r="AQ331">
        <v>49581.913740238582</v>
      </c>
      <c r="AR331">
        <v>13.526153717704206</v>
      </c>
      <c r="AS331" s="2">
        <f t="shared" si="36"/>
        <v>6156.3251525767701</v>
      </c>
      <c r="AT331" s="2">
        <f t="shared" si="37"/>
        <v>0.13840203443807653</v>
      </c>
      <c r="AV331">
        <f t="shared" si="38"/>
        <v>1295349.5797389513</v>
      </c>
      <c r="AW331">
        <f t="shared" si="39"/>
        <v>1303033.4580301819</v>
      </c>
      <c r="AY331">
        <f t="shared" si="40"/>
        <v>0</v>
      </c>
      <c r="AZ331">
        <f t="shared" si="41"/>
        <v>1</v>
      </c>
    </row>
    <row r="332" spans="1:52" x14ac:dyDescent="0.2">
      <c r="A332">
        <f t="shared" si="35"/>
        <v>328</v>
      </c>
      <c r="B332">
        <v>2.5084040967663812E-2</v>
      </c>
      <c r="C332">
        <v>3.8918706975207717E-2</v>
      </c>
      <c r="D332">
        <v>5.3385602710709468E-2</v>
      </c>
      <c r="E332">
        <v>1.7191819315112156E-2</v>
      </c>
      <c r="F332">
        <v>3.3266249515753652E-3</v>
      </c>
      <c r="G332">
        <v>2.5645353603496769E-3</v>
      </c>
      <c r="H332">
        <v>4.3915551334772207E-2</v>
      </c>
      <c r="I332">
        <v>0.13136942522385786</v>
      </c>
      <c r="J332">
        <v>0</v>
      </c>
      <c r="K332">
        <v>0.42935221205375823</v>
      </c>
      <c r="L332">
        <v>0.17433629264054826</v>
      </c>
      <c r="M332">
        <v>0.82566370735945172</v>
      </c>
      <c r="N332">
        <v>5.8539450019463923E-2</v>
      </c>
      <c r="O332" s="72">
        <v>0.99831109128887396</v>
      </c>
      <c r="P332">
        <v>0.99086779159822991</v>
      </c>
      <c r="Q332">
        <v>0.99766583614411208</v>
      </c>
      <c r="R332">
        <v>0.50375101619223217</v>
      </c>
      <c r="S332">
        <v>0.35578991531027748</v>
      </c>
      <c r="T332">
        <v>0.33497439392009964</v>
      </c>
      <c r="U332">
        <v>0.75359861672305384</v>
      </c>
      <c r="V332">
        <v>0.66159084358904063</v>
      </c>
      <c r="W332">
        <v>0.498702861264956</v>
      </c>
      <c r="X332">
        <v>0.44468738349430653</v>
      </c>
      <c r="Y332">
        <v>0.49243471196921107</v>
      </c>
      <c r="Z332">
        <v>0.47211946171707864</v>
      </c>
      <c r="AA332">
        <v>0.70515194614996723</v>
      </c>
      <c r="AB332">
        <v>0.70802343473900664</v>
      </c>
      <c r="AC332">
        <v>0.75478693977201672</v>
      </c>
      <c r="AD332">
        <v>0.56968877753037184</v>
      </c>
      <c r="AE332">
        <v>172.64167962272768</v>
      </c>
      <c r="AF332">
        <v>1078.0421769205418</v>
      </c>
      <c r="AG332">
        <v>1370.5514845564924</v>
      </c>
      <c r="AH332">
        <v>13096.344131118458</v>
      </c>
      <c r="AI332">
        <v>10239.711191050284</v>
      </c>
      <c r="AJ332">
        <v>38875.344673935724</v>
      </c>
      <c r="AK332">
        <v>12616.63763546056</v>
      </c>
      <c r="AL332">
        <v>2295.0674114271483</v>
      </c>
      <c r="AM332">
        <v>362.46064593847245</v>
      </c>
      <c r="AO332">
        <v>41056.070204625503</v>
      </c>
      <c r="AP332">
        <v>11.904961258287642</v>
      </c>
      <c r="AQ332">
        <v>46295.319960763198</v>
      </c>
      <c r="AR332">
        <v>11.976783511526955</v>
      </c>
      <c r="AS332" s="2">
        <f t="shared" si="36"/>
        <v>5239.2497561376949</v>
      </c>
      <c r="AT332" s="2">
        <f t="shared" si="37"/>
        <v>7.1822253239313127E-2</v>
      </c>
      <c r="AV332">
        <f t="shared" si="38"/>
        <v>1149440.0556241386</v>
      </c>
      <c r="AW332">
        <f t="shared" si="39"/>
        <v>1151383.0311919323</v>
      </c>
      <c r="AY332">
        <f t="shared" si="40"/>
        <v>0</v>
      </c>
      <c r="AZ332">
        <f t="shared" si="41"/>
        <v>1</v>
      </c>
    </row>
    <row r="333" spans="1:52" x14ac:dyDescent="0.2">
      <c r="A333">
        <f t="shared" si="35"/>
        <v>329</v>
      </c>
      <c r="B333">
        <v>2.2057291968436865E-2</v>
      </c>
      <c r="C333">
        <v>2.7653054759081828E-2</v>
      </c>
      <c r="D333">
        <v>3.9251832746529103E-2</v>
      </c>
      <c r="E333">
        <v>1.2642550347552794E-2</v>
      </c>
      <c r="F333">
        <v>3.2507272866441734E-3</v>
      </c>
      <c r="G333">
        <v>2.318006950823237E-2</v>
      </c>
      <c r="H333">
        <v>1.6821627273838551E-2</v>
      </c>
      <c r="I333">
        <v>0.13302895705721729</v>
      </c>
      <c r="J333">
        <v>0</v>
      </c>
      <c r="K333">
        <v>0.42108812619530933</v>
      </c>
      <c r="L333">
        <v>0.20873987055002086</v>
      </c>
      <c r="M333">
        <v>0.79126012944997914</v>
      </c>
      <c r="N333">
        <v>6.0507761398049698E-2</v>
      </c>
      <c r="O333" s="72">
        <v>0.98505859850252686</v>
      </c>
      <c r="P333">
        <v>0.99674528507990545</v>
      </c>
      <c r="Q333">
        <v>0.98024466554211898</v>
      </c>
      <c r="R333">
        <v>0.47763677052380638</v>
      </c>
      <c r="S333">
        <v>0.44925950695531125</v>
      </c>
      <c r="T333">
        <v>0.23850030824746637</v>
      </c>
      <c r="U333">
        <v>0.76483039245655382</v>
      </c>
      <c r="V333">
        <v>0.68317738263979355</v>
      </c>
      <c r="W333">
        <v>0.4585276555853402</v>
      </c>
      <c r="X333">
        <v>0.48451099602624481</v>
      </c>
      <c r="Y333">
        <v>0.43113613819187357</v>
      </c>
      <c r="Z333">
        <v>0.46505938765224908</v>
      </c>
      <c r="AA333">
        <v>0.71135439393218247</v>
      </c>
      <c r="AB333">
        <v>0.85626357710013812</v>
      </c>
      <c r="AC333">
        <v>0.70874734470475276</v>
      </c>
      <c r="AD333">
        <v>0.55835073637975652</v>
      </c>
      <c r="AE333">
        <v>187.89647751595268</v>
      </c>
      <c r="AF333">
        <v>965.5393034725389</v>
      </c>
      <c r="AG333">
        <v>2227.7185144743012</v>
      </c>
      <c r="AH333">
        <v>14657.613920376532</v>
      </c>
      <c r="AI333">
        <v>13756.730948510547</v>
      </c>
      <c r="AJ333">
        <v>37727.543398563779</v>
      </c>
      <c r="AK333">
        <v>10335.196217278261</v>
      </c>
      <c r="AL333">
        <v>1990.3489174185763</v>
      </c>
      <c r="AM333">
        <v>294.99422030903349</v>
      </c>
      <c r="AO333">
        <v>41869.422298470337</v>
      </c>
      <c r="AP333">
        <v>13.712261715141542</v>
      </c>
      <c r="AQ333">
        <v>45248.686918981934</v>
      </c>
      <c r="AR333">
        <v>13.931598563191091</v>
      </c>
      <c r="AS333" s="2">
        <f t="shared" si="36"/>
        <v>3379.2646205115961</v>
      </c>
      <c r="AT333" s="2">
        <f t="shared" si="37"/>
        <v>0.219336848049549</v>
      </c>
      <c r="AV333">
        <f t="shared" si="38"/>
        <v>1329356.7492156839</v>
      </c>
      <c r="AW333">
        <f t="shared" si="39"/>
        <v>1347911.1694001274</v>
      </c>
      <c r="AY333">
        <f t="shared" si="40"/>
        <v>0</v>
      </c>
      <c r="AZ333">
        <f t="shared" si="41"/>
        <v>1</v>
      </c>
    </row>
    <row r="334" spans="1:52" x14ac:dyDescent="0.2">
      <c r="A334">
        <f t="shared" si="35"/>
        <v>330</v>
      </c>
      <c r="B334">
        <v>3.2540854300530553E-2</v>
      </c>
      <c r="C334">
        <v>4.046362472727838E-2</v>
      </c>
      <c r="D334">
        <v>4.4953834278465554E-2</v>
      </c>
      <c r="E334">
        <v>7.4688599925341404E-3</v>
      </c>
      <c r="F334">
        <v>3.3386386302357816E-3</v>
      </c>
      <c r="G334">
        <v>1.0697693876697083E-3</v>
      </c>
      <c r="H334">
        <v>3.7558760769941468E-2</v>
      </c>
      <c r="I334">
        <v>0.12172528843383917</v>
      </c>
      <c r="J334">
        <v>0</v>
      </c>
      <c r="K334">
        <v>0.45368896355310473</v>
      </c>
      <c r="L334">
        <v>0.22538992142559433</v>
      </c>
      <c r="M334">
        <v>0.77461007857440567</v>
      </c>
      <c r="N334">
        <v>9.0092196643991596E-2</v>
      </c>
      <c r="O334" s="72">
        <v>0.99887085774995865</v>
      </c>
      <c r="P334">
        <v>0.9990806098970233</v>
      </c>
      <c r="Q334">
        <v>0.98242954385851811</v>
      </c>
      <c r="R334">
        <v>0.44567098324383903</v>
      </c>
      <c r="S334">
        <v>0.48176231013022075</v>
      </c>
      <c r="T334">
        <v>0.27950405913475085</v>
      </c>
      <c r="U334">
        <v>0.76845077408588891</v>
      </c>
      <c r="V334">
        <v>0.58626055554423073</v>
      </c>
      <c r="W334">
        <v>0.53469367845782778</v>
      </c>
      <c r="X334">
        <v>0.4568608230468979</v>
      </c>
      <c r="Y334">
        <v>0.42234313015177971</v>
      </c>
      <c r="Z334">
        <v>0.49237883662107773</v>
      </c>
      <c r="AA334">
        <v>0.72099896398153018</v>
      </c>
      <c r="AB334">
        <v>0.85785558587905397</v>
      </c>
      <c r="AC334">
        <v>0.68869906537932313</v>
      </c>
      <c r="AD334">
        <v>0.73634227313235745</v>
      </c>
      <c r="AE334">
        <v>215.14613595076824</v>
      </c>
      <c r="AF334">
        <v>949.97935896635545</v>
      </c>
      <c r="AG334">
        <v>1115.3654510592719</v>
      </c>
      <c r="AH334">
        <v>16840.305479687107</v>
      </c>
      <c r="AI334">
        <v>15110.337864142011</v>
      </c>
      <c r="AJ334">
        <v>39318.056299620672</v>
      </c>
      <c r="AK334">
        <v>14818.901793264056</v>
      </c>
      <c r="AL334">
        <v>2434.7128246810998</v>
      </c>
      <c r="AM334">
        <v>521.05935462458604</v>
      </c>
      <c r="AO334">
        <v>46009.124905377721</v>
      </c>
      <c r="AP334">
        <v>13.86992340108287</v>
      </c>
      <c r="AQ334">
        <v>48671.910768945003</v>
      </c>
      <c r="AR334">
        <v>14.161707506757356</v>
      </c>
      <c r="AS334" s="2">
        <f t="shared" si="36"/>
        <v>2662.7858635672819</v>
      </c>
      <c r="AT334" s="2">
        <f t="shared" si="37"/>
        <v>0.29178410567448587</v>
      </c>
      <c r="AV334">
        <f t="shared" si="38"/>
        <v>1340983.2152029094</v>
      </c>
      <c r="AW334">
        <f t="shared" si="39"/>
        <v>1367498.8399067905</v>
      </c>
      <c r="AY334">
        <f t="shared" si="40"/>
        <v>0</v>
      </c>
      <c r="AZ334">
        <f t="shared" si="41"/>
        <v>1</v>
      </c>
    </row>
    <row r="335" spans="1:52" x14ac:dyDescent="0.2">
      <c r="A335">
        <f t="shared" si="35"/>
        <v>331</v>
      </c>
      <c r="B335">
        <v>2.5331646906308514E-2</v>
      </c>
      <c r="C335">
        <v>5.1323071258005837E-2</v>
      </c>
      <c r="D335">
        <v>3.5721167950982909E-2</v>
      </c>
      <c r="E335">
        <v>3.8289844633785375E-2</v>
      </c>
      <c r="F335">
        <v>3.2647284474488767E-3</v>
      </c>
      <c r="G335">
        <v>4.8159616530214812E-3</v>
      </c>
      <c r="H335">
        <v>2.6857347020142093E-2</v>
      </c>
      <c r="I335">
        <v>0.13447757420029027</v>
      </c>
      <c r="J335">
        <v>0</v>
      </c>
      <c r="K335">
        <v>0.44092068358363412</v>
      </c>
      <c r="L335">
        <v>0.29833317105371349</v>
      </c>
      <c r="M335">
        <v>0.70166682894628651</v>
      </c>
      <c r="N335">
        <v>8.6053161194376671E-2</v>
      </c>
      <c r="O335" s="72">
        <v>0.99997446044275984</v>
      </c>
      <c r="P335">
        <v>0.99962597818982246</v>
      </c>
      <c r="Q335">
        <v>0.9473721660426343</v>
      </c>
      <c r="R335">
        <v>0.4935036185342544</v>
      </c>
      <c r="S335">
        <v>0.24325020588101931</v>
      </c>
      <c r="T335">
        <v>0.3163685196092636</v>
      </c>
      <c r="U335">
        <v>0.78644819684189105</v>
      </c>
      <c r="V335">
        <v>0.63629376051442676</v>
      </c>
      <c r="W335">
        <v>0.54431982531323508</v>
      </c>
      <c r="X335">
        <v>0.44961727639047183</v>
      </c>
      <c r="Y335">
        <v>0.47669345200015467</v>
      </c>
      <c r="Z335">
        <v>0.42439059382458033</v>
      </c>
      <c r="AA335">
        <v>0.69935065439947164</v>
      </c>
      <c r="AB335">
        <v>0.88401740532589712</v>
      </c>
      <c r="AC335">
        <v>0.73589309964272276</v>
      </c>
      <c r="AD335">
        <v>0.56549401213405215</v>
      </c>
      <c r="AE335">
        <v>172.98210623932857</v>
      </c>
      <c r="AF335">
        <v>1029.3288887197205</v>
      </c>
      <c r="AG335">
        <v>934.1622106324885</v>
      </c>
      <c r="AH335">
        <v>12308.22011829107</v>
      </c>
      <c r="AI335">
        <v>10591.712134708527</v>
      </c>
      <c r="AJ335">
        <v>36849.846370940242</v>
      </c>
      <c r="AK335">
        <v>15231.065458430985</v>
      </c>
      <c r="AL335">
        <v>3380.9566667360778</v>
      </c>
      <c r="AM335">
        <v>320.64940868886055</v>
      </c>
      <c r="AO335">
        <v>42825.599175510484</v>
      </c>
      <c r="AP335">
        <v>14.087732775434903</v>
      </c>
      <c r="AQ335">
        <v>45464.406898706126</v>
      </c>
      <c r="AR335">
        <v>14.373575089004552</v>
      </c>
      <c r="AS335" s="2">
        <f t="shared" si="36"/>
        <v>2638.8077231956413</v>
      </c>
      <c r="AT335" s="2">
        <f t="shared" si="37"/>
        <v>0.28584231356964906</v>
      </c>
      <c r="AV335">
        <f t="shared" si="38"/>
        <v>1365947.6783679798</v>
      </c>
      <c r="AW335">
        <f t="shared" si="39"/>
        <v>1391893.102001749</v>
      </c>
      <c r="AY335">
        <f t="shared" si="40"/>
        <v>0</v>
      </c>
      <c r="AZ335">
        <f t="shared" si="41"/>
        <v>1</v>
      </c>
    </row>
    <row r="336" spans="1:52" x14ac:dyDescent="0.2">
      <c r="A336">
        <f t="shared" si="35"/>
        <v>332</v>
      </c>
      <c r="B336">
        <v>2.9631012558627767E-2</v>
      </c>
      <c r="C336">
        <v>2.7620206111987289E-2</v>
      </c>
      <c r="D336">
        <v>7.8713983836834478E-2</v>
      </c>
      <c r="E336">
        <v>4.3479020335516518E-3</v>
      </c>
      <c r="F336">
        <v>3.3841996653961592E-3</v>
      </c>
      <c r="G336">
        <v>5.8540461510712414E-3</v>
      </c>
      <c r="H336">
        <v>3.578807344036905E-2</v>
      </c>
      <c r="I336">
        <v>0.15848780960989439</v>
      </c>
      <c r="J336">
        <v>0</v>
      </c>
      <c r="K336">
        <v>0.43454443851225233</v>
      </c>
      <c r="L336">
        <v>0.29118774016514104</v>
      </c>
      <c r="M336">
        <v>0.70881225983485896</v>
      </c>
      <c r="N336">
        <v>4.578018315573245E-2</v>
      </c>
      <c r="O336" s="72">
        <v>0.99938243725303333</v>
      </c>
      <c r="P336">
        <v>0.99933468551128646</v>
      </c>
      <c r="Q336">
        <v>0.99311920041904367</v>
      </c>
      <c r="R336">
        <v>0.51971834964290908</v>
      </c>
      <c r="S336">
        <v>0.33992905871159695</v>
      </c>
      <c r="T336">
        <v>0.22324312131503676</v>
      </c>
      <c r="U336">
        <v>0.77283164469101073</v>
      </c>
      <c r="V336">
        <v>0.70995458109489706</v>
      </c>
      <c r="W336">
        <v>0.55564405122026783</v>
      </c>
      <c r="X336">
        <v>0.46455317320068723</v>
      </c>
      <c r="Y336">
        <v>0.45347742497369647</v>
      </c>
      <c r="Z336">
        <v>0.43126242625373579</v>
      </c>
      <c r="AA336">
        <v>0.64734584966086084</v>
      </c>
      <c r="AB336">
        <v>0.8865814496422354</v>
      </c>
      <c r="AC336">
        <v>0.67641666714168047</v>
      </c>
      <c r="AD336">
        <v>0.60955373892775255</v>
      </c>
      <c r="AE336">
        <v>184.70869241596372</v>
      </c>
      <c r="AF336">
        <v>1286.7092593753416</v>
      </c>
      <c r="AG336">
        <v>1446.1081904600826</v>
      </c>
      <c r="AH336">
        <v>12505.89905092709</v>
      </c>
      <c r="AI336">
        <v>10961.184231033898</v>
      </c>
      <c r="AJ336">
        <v>41334.755709513192</v>
      </c>
      <c r="AK336">
        <v>19050.257932795674</v>
      </c>
      <c r="AL336">
        <v>1627.8232877915909</v>
      </c>
      <c r="AM336">
        <v>369.06688228271702</v>
      </c>
      <c r="AO336">
        <v>42364.455753585731</v>
      </c>
      <c r="AP336">
        <v>14.079807747688218</v>
      </c>
      <c r="AQ336">
        <v>46147.34058179686</v>
      </c>
      <c r="AR336">
        <v>14.363032271274268</v>
      </c>
      <c r="AS336" s="2">
        <f t="shared" si="36"/>
        <v>3782.8848282111285</v>
      </c>
      <c r="AT336" s="2">
        <f t="shared" si="37"/>
        <v>0.28322452358604977</v>
      </c>
      <c r="AV336">
        <f t="shared" si="38"/>
        <v>1365616.3190152359</v>
      </c>
      <c r="AW336">
        <f t="shared" si="39"/>
        <v>1390155.8865456299</v>
      </c>
      <c r="AY336">
        <f t="shared" si="40"/>
        <v>0</v>
      </c>
      <c r="AZ336">
        <f t="shared" si="41"/>
        <v>1</v>
      </c>
    </row>
    <row r="337" spans="1:52" x14ac:dyDescent="0.2">
      <c r="A337">
        <f t="shared" si="35"/>
        <v>333</v>
      </c>
      <c r="B337">
        <v>1.9243051638564102E-2</v>
      </c>
      <c r="C337">
        <v>3.117788827032001E-2</v>
      </c>
      <c r="D337">
        <v>4.9340133383853901E-2</v>
      </c>
      <c r="E337">
        <v>2.1694856629747794E-2</v>
      </c>
      <c r="F337">
        <v>3.4129430335424482E-3</v>
      </c>
      <c r="G337">
        <v>2.0837151903359219E-2</v>
      </c>
      <c r="H337">
        <v>4.9842791237982076E-2</v>
      </c>
      <c r="I337">
        <v>0.10426595757584957</v>
      </c>
      <c r="J337">
        <v>0</v>
      </c>
      <c r="K337">
        <v>0.44693727886372059</v>
      </c>
      <c r="L337">
        <v>0.17044119000231744</v>
      </c>
      <c r="M337">
        <v>0.8295588099976825</v>
      </c>
      <c r="N337">
        <v>4.7314244314058666E-2</v>
      </c>
      <c r="O337" s="72">
        <v>0.99921913200811896</v>
      </c>
      <c r="P337">
        <v>0.99873154403877329</v>
      </c>
      <c r="Q337">
        <v>0.95033432407630491</v>
      </c>
      <c r="R337">
        <v>0.49836740319903694</v>
      </c>
      <c r="S337">
        <v>0.40321589379028788</v>
      </c>
      <c r="T337">
        <v>0.19761100824134703</v>
      </c>
      <c r="U337">
        <v>0.77567404355507819</v>
      </c>
      <c r="V337">
        <v>0.64963820652273752</v>
      </c>
      <c r="W337">
        <v>0.46451862512005332</v>
      </c>
      <c r="X337">
        <v>0.44119667239185822</v>
      </c>
      <c r="Y337">
        <v>0.47130551964307377</v>
      </c>
      <c r="Z337">
        <v>0.42693477717995754</v>
      </c>
      <c r="AA337">
        <v>0.64297228313763799</v>
      </c>
      <c r="AB337">
        <v>0.78862720458467472</v>
      </c>
      <c r="AC337">
        <v>0.70767352257737703</v>
      </c>
      <c r="AD337">
        <v>0.66841505241918342</v>
      </c>
      <c r="AE337">
        <v>148.12546858899699</v>
      </c>
      <c r="AF337">
        <v>948.77899851607106</v>
      </c>
      <c r="AG337">
        <v>2448.0047877747947</v>
      </c>
      <c r="AH337">
        <v>9912.8052383870418</v>
      </c>
      <c r="AI337">
        <v>11781.723886885215</v>
      </c>
      <c r="AJ337">
        <v>36293.459237821626</v>
      </c>
      <c r="AK337">
        <v>15453.065337754333</v>
      </c>
      <c r="AL337">
        <v>2863.1295025119011</v>
      </c>
      <c r="AM337">
        <v>385.51156558436941</v>
      </c>
      <c r="AO337">
        <v>43225.764469406764</v>
      </c>
      <c r="AP337">
        <v>12.920964415129903</v>
      </c>
      <c r="AQ337">
        <v>46602.039730456076</v>
      </c>
      <c r="AR337">
        <v>13.141123586756253</v>
      </c>
      <c r="AS337" s="2">
        <f t="shared" si="36"/>
        <v>3376.2752610493117</v>
      </c>
      <c r="AT337" s="2">
        <f t="shared" si="37"/>
        <v>0.22015917162634935</v>
      </c>
      <c r="AV337">
        <f t="shared" si="38"/>
        <v>1248870.6770435835</v>
      </c>
      <c r="AW337">
        <f t="shared" si="39"/>
        <v>1267510.318945169</v>
      </c>
      <c r="AY337">
        <f t="shared" si="40"/>
        <v>0</v>
      </c>
      <c r="AZ337">
        <f t="shared" si="41"/>
        <v>1</v>
      </c>
    </row>
    <row r="338" spans="1:52" x14ac:dyDescent="0.2">
      <c r="A338">
        <f t="shared" si="35"/>
        <v>334</v>
      </c>
      <c r="B338">
        <v>1.8984406955511787E-2</v>
      </c>
      <c r="C338">
        <v>4.1252947274411422E-2</v>
      </c>
      <c r="D338">
        <v>2.1880498387042806E-2</v>
      </c>
      <c r="E338">
        <v>5.0085256972869649E-3</v>
      </c>
      <c r="F338">
        <v>3.3121973596973724E-3</v>
      </c>
      <c r="G338">
        <v>8.6450880604838874E-3</v>
      </c>
      <c r="H338">
        <v>2.8283034197954627E-2</v>
      </c>
      <c r="I338">
        <v>0.11479291448583796</v>
      </c>
      <c r="J338">
        <v>0</v>
      </c>
      <c r="K338">
        <v>0.42961064253870779</v>
      </c>
      <c r="L338">
        <v>0.17288429437208438</v>
      </c>
      <c r="M338">
        <v>0.82711570562791559</v>
      </c>
      <c r="N338">
        <v>5.4834901706928764E-2</v>
      </c>
      <c r="O338" s="72">
        <v>0.99652351544055728</v>
      </c>
      <c r="P338">
        <v>0.99983991827668173</v>
      </c>
      <c r="Q338">
        <v>0.97209202089988145</v>
      </c>
      <c r="R338">
        <v>0.47921985152976865</v>
      </c>
      <c r="S338">
        <v>0.37686544347304962</v>
      </c>
      <c r="T338">
        <v>0.28228368028760853</v>
      </c>
      <c r="U338">
        <v>0.78379532100164262</v>
      </c>
      <c r="V338">
        <v>0.65319894572300219</v>
      </c>
      <c r="W338">
        <v>0.62736955911275993</v>
      </c>
      <c r="X338">
        <v>0.52656781490352644</v>
      </c>
      <c r="Y338">
        <v>0.437798404308755</v>
      </c>
      <c r="Z338">
        <v>0.46100416387824883</v>
      </c>
      <c r="AA338">
        <v>0.6165533111777719</v>
      </c>
      <c r="AB338">
        <v>0.82084862802430469</v>
      </c>
      <c r="AC338">
        <v>0.6942075121044925</v>
      </c>
      <c r="AD338">
        <v>0.71143705412347802</v>
      </c>
      <c r="AE338">
        <v>214.41364853403076</v>
      </c>
      <c r="AF338">
        <v>854.70101019951221</v>
      </c>
      <c r="AG338">
        <v>1344.3170990589861</v>
      </c>
      <c r="AH338">
        <v>14892.796769896719</v>
      </c>
      <c r="AI338">
        <v>11120.77944197026</v>
      </c>
      <c r="AJ338">
        <v>38840.648256841181</v>
      </c>
      <c r="AK338">
        <v>16019.311747866523</v>
      </c>
      <c r="AL338">
        <v>2623.3238027961538</v>
      </c>
      <c r="AM338">
        <v>394.74717428702354</v>
      </c>
      <c r="AO338">
        <v>43163.744457122513</v>
      </c>
      <c r="AP338">
        <v>13.502906749299799</v>
      </c>
      <c r="AQ338">
        <v>46684.614365882175</v>
      </c>
      <c r="AR338">
        <v>13.626559795369378</v>
      </c>
      <c r="AS338" s="2">
        <f t="shared" si="36"/>
        <v>3520.8699087596615</v>
      </c>
      <c r="AT338" s="2">
        <f t="shared" si="37"/>
        <v>0.12365304606957928</v>
      </c>
      <c r="AV338">
        <f t="shared" si="38"/>
        <v>1307126.9304728576</v>
      </c>
      <c r="AW338">
        <f t="shared" si="39"/>
        <v>1315971.3651710555</v>
      </c>
      <c r="AY338">
        <f t="shared" si="40"/>
        <v>0</v>
      </c>
      <c r="AZ338">
        <f t="shared" si="41"/>
        <v>1</v>
      </c>
    </row>
    <row r="339" spans="1:52" x14ac:dyDescent="0.2">
      <c r="A339">
        <f t="shared" si="35"/>
        <v>335</v>
      </c>
      <c r="B339">
        <v>3.2163259836965219E-2</v>
      </c>
      <c r="C339">
        <v>3.271824564718339E-2</v>
      </c>
      <c r="D339">
        <v>5.2778559482074883E-2</v>
      </c>
      <c r="E339">
        <v>1.015277697032415E-2</v>
      </c>
      <c r="F339">
        <v>3.3825590055290844E-3</v>
      </c>
      <c r="G339">
        <v>2.2087417605488602E-2</v>
      </c>
      <c r="H339">
        <v>2.8875649974610007E-2</v>
      </c>
      <c r="I339">
        <v>0.13199083097688125</v>
      </c>
      <c r="J339">
        <v>0</v>
      </c>
      <c r="K339">
        <v>0.42015289885083118</v>
      </c>
      <c r="L339">
        <v>0.25268462344575759</v>
      </c>
      <c r="M339">
        <v>0.74731537655424241</v>
      </c>
      <c r="N339">
        <v>7.1667079596500538E-2</v>
      </c>
      <c r="O339" s="72">
        <v>0.99720131589138294</v>
      </c>
      <c r="P339">
        <v>0.99970386066737249</v>
      </c>
      <c r="Q339">
        <v>0.95584337511068829</v>
      </c>
      <c r="R339">
        <v>0.44737522591723866</v>
      </c>
      <c r="S339">
        <v>0.44482303752419794</v>
      </c>
      <c r="T339">
        <v>0.24392977881402766</v>
      </c>
      <c r="U339">
        <v>0.80652825791329275</v>
      </c>
      <c r="V339">
        <v>0.6159703922045362</v>
      </c>
      <c r="W339">
        <v>0.54692618684900163</v>
      </c>
      <c r="X339">
        <v>0.43316385043978245</v>
      </c>
      <c r="Y339">
        <v>0.44286392197994012</v>
      </c>
      <c r="Z339">
        <v>0.51736208260644267</v>
      </c>
      <c r="AA339">
        <v>0.61588791987699265</v>
      </c>
      <c r="AB339">
        <v>0.88665157315543131</v>
      </c>
      <c r="AC339">
        <v>0.68281195110779114</v>
      </c>
      <c r="AD339">
        <v>0.6963712664791557</v>
      </c>
      <c r="AE339">
        <v>170.27848849234383</v>
      </c>
      <c r="AF339">
        <v>1066.2287538999365</v>
      </c>
      <c r="AG339">
        <v>1865.1326408549485</v>
      </c>
      <c r="AH339">
        <v>13039.422977532804</v>
      </c>
      <c r="AI339">
        <v>12767.672532735311</v>
      </c>
      <c r="AJ339">
        <v>38432.714338700418</v>
      </c>
      <c r="AK339">
        <v>12934.756961499203</v>
      </c>
      <c r="AL339">
        <v>1963.2772326466477</v>
      </c>
      <c r="AM339">
        <v>292.74051036317741</v>
      </c>
      <c r="AO339">
        <v>43307.900047236188</v>
      </c>
      <c r="AP339">
        <v>14.174625063117157</v>
      </c>
      <c r="AQ339">
        <v>45105.863934562767</v>
      </c>
      <c r="AR339">
        <v>14.491843342714605</v>
      </c>
      <c r="AS339" s="2">
        <f t="shared" si="36"/>
        <v>1797.9638873265794</v>
      </c>
      <c r="AT339" s="2">
        <f t="shared" si="37"/>
        <v>0.31721827959744786</v>
      </c>
      <c r="AV339">
        <f t="shared" si="38"/>
        <v>1374154.6062644795</v>
      </c>
      <c r="AW339">
        <f t="shared" si="39"/>
        <v>1404078.4703368978</v>
      </c>
      <c r="AY339">
        <f t="shared" si="40"/>
        <v>0</v>
      </c>
      <c r="AZ339">
        <f t="shared" si="41"/>
        <v>1</v>
      </c>
    </row>
    <row r="340" spans="1:52" x14ac:dyDescent="0.2">
      <c r="A340">
        <f t="shared" si="35"/>
        <v>336</v>
      </c>
      <c r="B340">
        <v>2.6075110315094907E-2</v>
      </c>
      <c r="C340">
        <v>3.2643525277273842E-2</v>
      </c>
      <c r="D340">
        <v>4.0590555353995805E-2</v>
      </c>
      <c r="E340">
        <v>5.0114126370235882E-3</v>
      </c>
      <c r="F340">
        <v>3.2675360779855808E-3</v>
      </c>
      <c r="G340">
        <v>1.6596631093994674E-2</v>
      </c>
      <c r="H340">
        <v>3.5843166539357485E-2</v>
      </c>
      <c r="I340">
        <v>0.13893277078283695</v>
      </c>
      <c r="J340">
        <v>0</v>
      </c>
      <c r="K340">
        <v>0.43797407783458975</v>
      </c>
      <c r="L340">
        <v>0.23167407685712926</v>
      </c>
      <c r="M340">
        <v>0.76832592314287074</v>
      </c>
      <c r="N340">
        <v>5.1297185576767747E-2</v>
      </c>
      <c r="O340" s="72">
        <v>0.99929599616892206</v>
      </c>
      <c r="P340">
        <v>0.9999999172427827</v>
      </c>
      <c r="Q340">
        <v>0.84546244211573607</v>
      </c>
      <c r="R340">
        <v>0.47296577680914675</v>
      </c>
      <c r="S340">
        <v>0.38137540068545328</v>
      </c>
      <c r="T340">
        <v>0.22596739186188608</v>
      </c>
      <c r="U340">
        <v>0.76337326064838618</v>
      </c>
      <c r="V340">
        <v>0.57212069805239185</v>
      </c>
      <c r="W340">
        <v>0.6033981406627551</v>
      </c>
      <c r="X340">
        <v>0.47984513876224688</v>
      </c>
      <c r="Y340">
        <v>0.46797854107443804</v>
      </c>
      <c r="Z340">
        <v>0.44920690427690763</v>
      </c>
      <c r="AA340">
        <v>0.6135325795030151</v>
      </c>
      <c r="AB340">
        <v>0.75096577108049889</v>
      </c>
      <c r="AC340">
        <v>0.76601382738072576</v>
      </c>
      <c r="AD340">
        <v>0.7015142170739086</v>
      </c>
      <c r="AE340">
        <v>137.6760472295627</v>
      </c>
      <c r="AF340">
        <v>986.94388419088295</v>
      </c>
      <c r="AG340">
        <v>1893.0458056115651</v>
      </c>
      <c r="AH340">
        <v>13971.414498221588</v>
      </c>
      <c r="AI340">
        <v>9321.3213255578248</v>
      </c>
      <c r="AJ340">
        <v>42172.423659956999</v>
      </c>
      <c r="AK340">
        <v>18765.495203238166</v>
      </c>
      <c r="AL340">
        <v>2328.4812262397381</v>
      </c>
      <c r="AM340">
        <v>271.75883743372407</v>
      </c>
      <c r="AO340">
        <v>42667.082275272085</v>
      </c>
      <c r="AP340">
        <v>12.635750116940956</v>
      </c>
      <c r="AQ340">
        <v>45191.483384461986</v>
      </c>
      <c r="AR340">
        <v>12.765289652781671</v>
      </c>
      <c r="AS340" s="2">
        <f t="shared" si="36"/>
        <v>2524.401109189901</v>
      </c>
      <c r="AT340" s="2">
        <f t="shared" si="37"/>
        <v>0.1295395358407152</v>
      </c>
      <c r="AV340">
        <f t="shared" si="38"/>
        <v>1220907.9294188234</v>
      </c>
      <c r="AW340">
        <f t="shared" si="39"/>
        <v>1231337.481893705</v>
      </c>
      <c r="AY340">
        <f t="shared" si="40"/>
        <v>0</v>
      </c>
      <c r="AZ340">
        <f t="shared" si="41"/>
        <v>1</v>
      </c>
    </row>
    <row r="341" spans="1:52" x14ac:dyDescent="0.2">
      <c r="A341">
        <f t="shared" si="35"/>
        <v>337</v>
      </c>
      <c r="B341">
        <v>2.5982344400556578E-2</v>
      </c>
      <c r="C341">
        <v>5.2239260336945925E-2</v>
      </c>
      <c r="D341">
        <v>2.6105940295209996E-2</v>
      </c>
      <c r="E341">
        <v>1.8044621486065782E-2</v>
      </c>
      <c r="F341">
        <v>3.3484136590862246E-3</v>
      </c>
      <c r="G341">
        <v>1.3904278325477692E-2</v>
      </c>
      <c r="H341">
        <v>3.8564487746996612E-2</v>
      </c>
      <c r="I341">
        <v>0.12192497508646165</v>
      </c>
      <c r="J341">
        <v>0</v>
      </c>
      <c r="K341">
        <v>0.39132088846056567</v>
      </c>
      <c r="L341">
        <v>0.30603844057170371</v>
      </c>
      <c r="M341">
        <v>0.69396155942829629</v>
      </c>
      <c r="N341">
        <v>5.8420405094144479E-2</v>
      </c>
      <c r="O341" s="72">
        <v>0.9997766279236654</v>
      </c>
      <c r="P341">
        <v>0.99879206072377169</v>
      </c>
      <c r="Q341">
        <v>0.95915516109442189</v>
      </c>
      <c r="R341">
        <v>0.49472208568774323</v>
      </c>
      <c r="S341">
        <v>0.42028146625075524</v>
      </c>
      <c r="T341">
        <v>0.25213097400077711</v>
      </c>
      <c r="U341">
        <v>0.8019714314683144</v>
      </c>
      <c r="V341">
        <v>0.67726400547145515</v>
      </c>
      <c r="W341">
        <v>0.51607589732512127</v>
      </c>
      <c r="X341">
        <v>0.43524688766895869</v>
      </c>
      <c r="Y341">
        <v>0.45224765064571748</v>
      </c>
      <c r="Z341">
        <v>0.50848425124903662</v>
      </c>
      <c r="AA341">
        <v>0.66591538591194355</v>
      </c>
      <c r="AB341">
        <v>0.90734131975983656</v>
      </c>
      <c r="AC341">
        <v>0.73491119947799932</v>
      </c>
      <c r="AD341">
        <v>0.60357978606202256</v>
      </c>
      <c r="AE341">
        <v>207.9408585083323</v>
      </c>
      <c r="AF341">
        <v>986.04331290590846</v>
      </c>
      <c r="AG341">
        <v>1330.3867676857813</v>
      </c>
      <c r="AH341">
        <v>11262.904900800029</v>
      </c>
      <c r="AI341">
        <v>9557.2403243700392</v>
      </c>
      <c r="AJ341">
        <v>38416.311034361286</v>
      </c>
      <c r="AK341">
        <v>11536.828188580219</v>
      </c>
      <c r="AL341">
        <v>2172.0207025217942</v>
      </c>
      <c r="AM341">
        <v>407.02701522676875</v>
      </c>
      <c r="AO341">
        <v>42383.108063813743</v>
      </c>
      <c r="AP341">
        <v>14.501367348959015</v>
      </c>
      <c r="AQ341">
        <v>46853.026628033003</v>
      </c>
      <c r="AR341">
        <v>14.748482147270414</v>
      </c>
      <c r="AS341" s="2">
        <f t="shared" si="36"/>
        <v>4469.9185642192606</v>
      </c>
      <c r="AT341" s="2">
        <f t="shared" si="37"/>
        <v>0.24711479831139904</v>
      </c>
      <c r="AV341">
        <f t="shared" si="38"/>
        <v>1407753.6268320878</v>
      </c>
      <c r="AW341">
        <f t="shared" si="39"/>
        <v>1427995.1880990083</v>
      </c>
      <c r="AY341">
        <f t="shared" si="40"/>
        <v>0</v>
      </c>
      <c r="AZ341">
        <f t="shared" si="41"/>
        <v>1</v>
      </c>
    </row>
    <row r="342" spans="1:52" x14ac:dyDescent="0.2">
      <c r="A342">
        <f t="shared" si="35"/>
        <v>338</v>
      </c>
      <c r="B342">
        <v>2.3264842071113737E-2</v>
      </c>
      <c r="C342">
        <v>4.5028865328021639E-2</v>
      </c>
      <c r="D342">
        <v>3.7364493917950506E-2</v>
      </c>
      <c r="E342">
        <v>8.0645975228133722E-3</v>
      </c>
      <c r="F342">
        <v>3.2892605647746077E-3</v>
      </c>
      <c r="G342">
        <v>4.9558764027535828E-3</v>
      </c>
      <c r="H342">
        <v>3.7484903376426626E-2</v>
      </c>
      <c r="I342">
        <v>0.12205898731780701</v>
      </c>
      <c r="J342">
        <v>0</v>
      </c>
      <c r="K342">
        <v>0.47531466248613607</v>
      </c>
      <c r="L342">
        <v>0.2709947650823693</v>
      </c>
      <c r="M342">
        <v>0.7290052349176307</v>
      </c>
      <c r="N342">
        <v>7.0914125701003305E-2</v>
      </c>
      <c r="O342" s="72">
        <v>0.78287891916611763</v>
      </c>
      <c r="P342">
        <v>0.99846796541588179</v>
      </c>
      <c r="Q342">
        <v>0.96198314291746678</v>
      </c>
      <c r="R342">
        <v>0.50291931211928853</v>
      </c>
      <c r="S342">
        <v>0.41861068568012039</v>
      </c>
      <c r="T342">
        <v>0.34853948111474886</v>
      </c>
      <c r="U342">
        <v>0.74951761003603223</v>
      </c>
      <c r="V342">
        <v>0.64674084169848112</v>
      </c>
      <c r="W342">
        <v>0.56489998483200099</v>
      </c>
      <c r="X342">
        <v>0.44050864928993899</v>
      </c>
      <c r="Y342">
        <v>0.47086604088046313</v>
      </c>
      <c r="Z342">
        <v>0.48917036456427343</v>
      </c>
      <c r="AA342">
        <v>0.73608287628384028</v>
      </c>
      <c r="AB342">
        <v>0.81625046616338348</v>
      </c>
      <c r="AC342">
        <v>0.7252882236486583</v>
      </c>
      <c r="AD342">
        <v>0.59012238268784456</v>
      </c>
      <c r="AE342">
        <v>173.14515765000237</v>
      </c>
      <c r="AF342">
        <v>1001.1681665356662</v>
      </c>
      <c r="AG342">
        <v>1630.6443969242721</v>
      </c>
      <c r="AH342">
        <v>12365.016413525414</v>
      </c>
      <c r="AI342">
        <v>10154.264280956128</v>
      </c>
      <c r="AJ342">
        <v>32302.255205721791</v>
      </c>
      <c r="AK342">
        <v>17206.413653446332</v>
      </c>
      <c r="AL342">
        <v>1333.1571578999278</v>
      </c>
      <c r="AM342">
        <v>352.54513506236469</v>
      </c>
      <c r="AO342">
        <v>40045.0759137122</v>
      </c>
      <c r="AP342">
        <v>13.302715468843154</v>
      </c>
      <c r="AQ342">
        <v>47134.141395196937</v>
      </c>
      <c r="AR342">
        <v>13.445303150262147</v>
      </c>
      <c r="AS342" s="2">
        <f t="shared" si="36"/>
        <v>7089.0654814847367</v>
      </c>
      <c r="AT342" s="2">
        <f t="shared" si="37"/>
        <v>0.14258768141899303</v>
      </c>
      <c r="AV342">
        <f t="shared" si="38"/>
        <v>1290226.4709706032</v>
      </c>
      <c r="AW342">
        <f t="shared" si="39"/>
        <v>1297396.1736310176</v>
      </c>
      <c r="AY342">
        <f t="shared" si="40"/>
        <v>0</v>
      </c>
      <c r="AZ342">
        <f t="shared" si="41"/>
        <v>1</v>
      </c>
    </row>
    <row r="343" spans="1:52" x14ac:dyDescent="0.2">
      <c r="A343">
        <f t="shared" si="35"/>
        <v>339</v>
      </c>
      <c r="B343">
        <v>3.120070535248276E-2</v>
      </c>
      <c r="C343">
        <v>3.036111024527241E-2</v>
      </c>
      <c r="D343">
        <v>5.1272985092350787E-2</v>
      </c>
      <c r="E343">
        <v>5.3049119338688007E-3</v>
      </c>
      <c r="F343">
        <v>3.2946582233098695E-3</v>
      </c>
      <c r="G343">
        <v>2.0356865490947285E-2</v>
      </c>
      <c r="H343">
        <v>2.9847432914395844E-2</v>
      </c>
      <c r="I343">
        <v>0.11310813996810481</v>
      </c>
      <c r="J343">
        <v>0</v>
      </c>
      <c r="K343">
        <v>0.4012318933774961</v>
      </c>
      <c r="L343">
        <v>0.17469624840302664</v>
      </c>
      <c r="M343">
        <v>0.82530375159697333</v>
      </c>
      <c r="N343">
        <v>7.17754091095687E-2</v>
      </c>
      <c r="O343" s="72">
        <v>0.96821762170645342</v>
      </c>
      <c r="P343">
        <v>0.99959695026283213</v>
      </c>
      <c r="Q343">
        <v>0.9606781693364761</v>
      </c>
      <c r="R343">
        <v>0.47579299893559668</v>
      </c>
      <c r="S343">
        <v>0.40398194442322233</v>
      </c>
      <c r="T343">
        <v>0.21563738131925725</v>
      </c>
      <c r="U343">
        <v>0.7862472395255331</v>
      </c>
      <c r="V343">
        <v>0.64836842903545144</v>
      </c>
      <c r="W343">
        <v>0.57479205004278566</v>
      </c>
      <c r="X343">
        <v>0.40974580127602589</v>
      </c>
      <c r="Y343">
        <v>0.4443763240927362</v>
      </c>
      <c r="Z343">
        <v>0.49999955314259414</v>
      </c>
      <c r="AA343">
        <v>0.70757424313393669</v>
      </c>
      <c r="AB343">
        <v>0.76934341865303946</v>
      </c>
      <c r="AC343">
        <v>0.74402233110331339</v>
      </c>
      <c r="AD343">
        <v>0.57431650344501206</v>
      </c>
      <c r="AE343">
        <v>208.37402141591625</v>
      </c>
      <c r="AF343">
        <v>930.98472033568555</v>
      </c>
      <c r="AG343">
        <v>2058.3751340477138</v>
      </c>
      <c r="AH343">
        <v>15239.980382699408</v>
      </c>
      <c r="AI343">
        <v>7007.6189051750162</v>
      </c>
      <c r="AJ343">
        <v>31894.39248648522</v>
      </c>
      <c r="AK343">
        <v>14872.008261745159</v>
      </c>
      <c r="AL343">
        <v>1686.9400458133107</v>
      </c>
      <c r="AM343">
        <v>336.69377294381087</v>
      </c>
      <c r="AO343">
        <v>43755.305017936349</v>
      </c>
      <c r="AP343">
        <v>12.699647213865905</v>
      </c>
      <c r="AQ343">
        <v>45994.087415194241</v>
      </c>
      <c r="AR343">
        <v>12.810991095631982</v>
      </c>
      <c r="AS343" s="2">
        <f t="shared" si="36"/>
        <v>2238.7823972578917</v>
      </c>
      <c r="AT343" s="2">
        <f t="shared" si="37"/>
        <v>0.11134388176607679</v>
      </c>
      <c r="AV343">
        <f t="shared" si="38"/>
        <v>1226209.4163686542</v>
      </c>
      <c r="AW343">
        <f t="shared" si="39"/>
        <v>1235105.022148004</v>
      </c>
      <c r="AY343">
        <f t="shared" si="40"/>
        <v>0</v>
      </c>
      <c r="AZ343">
        <f t="shared" si="41"/>
        <v>1</v>
      </c>
    </row>
    <row r="344" spans="1:52" x14ac:dyDescent="0.2">
      <c r="A344">
        <f t="shared" si="35"/>
        <v>340</v>
      </c>
      <c r="B344">
        <v>2.3355901414753858E-2</v>
      </c>
      <c r="C344">
        <v>3.120546394809149E-2</v>
      </c>
      <c r="D344">
        <v>4.0499411778723182E-2</v>
      </c>
      <c r="E344">
        <v>3.9397724080822193E-3</v>
      </c>
      <c r="F344">
        <v>3.3605275062262852E-3</v>
      </c>
      <c r="G344">
        <v>4.1518950153052701E-3</v>
      </c>
      <c r="H344">
        <v>4.1361811646456026E-2</v>
      </c>
      <c r="I344">
        <v>0.1319731588619415</v>
      </c>
      <c r="J344">
        <v>0</v>
      </c>
      <c r="K344">
        <v>0.44049103370022324</v>
      </c>
      <c r="L344">
        <v>0.30515056764561621</v>
      </c>
      <c r="M344">
        <v>0.69484943235438379</v>
      </c>
      <c r="N344">
        <v>5.3861751073904902E-2</v>
      </c>
      <c r="O344" s="72">
        <v>0.99692876704943956</v>
      </c>
      <c r="P344">
        <v>0.99991704807337956</v>
      </c>
      <c r="Q344">
        <v>0.96334496125592872</v>
      </c>
      <c r="R344">
        <v>0.48439475618532679</v>
      </c>
      <c r="S344">
        <v>0.45621002351616924</v>
      </c>
      <c r="T344">
        <v>0.23137749752344416</v>
      </c>
      <c r="U344">
        <v>0.73648114917029994</v>
      </c>
      <c r="V344">
        <v>0.67258374824278055</v>
      </c>
      <c r="W344">
        <v>0.57494997178103913</v>
      </c>
      <c r="X344">
        <v>0.48600911217897802</v>
      </c>
      <c r="Y344">
        <v>0.3713831516434688</v>
      </c>
      <c r="Z344">
        <v>0.41377035088592862</v>
      </c>
      <c r="AA344">
        <v>0.71040367379070912</v>
      </c>
      <c r="AB344">
        <v>0.79649580735212167</v>
      </c>
      <c r="AC344">
        <v>0.75616218452315875</v>
      </c>
      <c r="AD344">
        <v>0.48917993265775617</v>
      </c>
      <c r="AE344">
        <v>212.89202564327638</v>
      </c>
      <c r="AF344">
        <v>1106.9612902808399</v>
      </c>
      <c r="AG344">
        <v>1732.5355849080672</v>
      </c>
      <c r="AH344">
        <v>15972.938291973049</v>
      </c>
      <c r="AI344">
        <v>12427.201466070477</v>
      </c>
      <c r="AJ344">
        <v>42288.695029087045</v>
      </c>
      <c r="AK344">
        <v>18381.566957630388</v>
      </c>
      <c r="AL344">
        <v>2116.6419720242711</v>
      </c>
      <c r="AM344">
        <v>333.84090421334872</v>
      </c>
      <c r="AO344">
        <v>42346.927813447881</v>
      </c>
      <c r="AP344">
        <v>12.978961655017949</v>
      </c>
      <c r="AQ344">
        <v>45821.729530516655</v>
      </c>
      <c r="AR344">
        <v>13.095230997803105</v>
      </c>
      <c r="AS344" s="2">
        <f t="shared" si="36"/>
        <v>3474.8017170687745</v>
      </c>
      <c r="AT344" s="2">
        <f t="shared" si="37"/>
        <v>0.11626934278515577</v>
      </c>
      <c r="AV344">
        <f t="shared" si="38"/>
        <v>1255549.2376883472</v>
      </c>
      <c r="AW344">
        <f t="shared" si="39"/>
        <v>1263701.3702497939</v>
      </c>
      <c r="AY344">
        <f t="shared" si="40"/>
        <v>0</v>
      </c>
      <c r="AZ344">
        <f t="shared" si="41"/>
        <v>1</v>
      </c>
    </row>
    <row r="345" spans="1:52" x14ac:dyDescent="0.2">
      <c r="A345">
        <f t="shared" si="35"/>
        <v>341</v>
      </c>
      <c r="B345">
        <v>1.9568632869102185E-2</v>
      </c>
      <c r="C345">
        <v>3.8383968256479051E-2</v>
      </c>
      <c r="D345">
        <v>5.2847832050392562E-2</v>
      </c>
      <c r="E345">
        <v>8.5543218706730026E-3</v>
      </c>
      <c r="F345">
        <v>3.3463927224809398E-3</v>
      </c>
      <c r="G345">
        <v>1.9503514783180183E-3</v>
      </c>
      <c r="H345">
        <v>1.3779173562238052E-2</v>
      </c>
      <c r="I345">
        <v>0.119187331496401</v>
      </c>
      <c r="J345">
        <v>0</v>
      </c>
      <c r="K345">
        <v>0.43442200711458268</v>
      </c>
      <c r="L345">
        <v>0.22285055118674335</v>
      </c>
      <c r="M345">
        <v>0.77714944881325665</v>
      </c>
      <c r="N345">
        <v>5.5510514620024334E-2</v>
      </c>
      <c r="O345" s="72">
        <v>0.99371341598504581</v>
      </c>
      <c r="P345">
        <v>0.99811898805618882</v>
      </c>
      <c r="Q345">
        <v>0.95572207006937515</v>
      </c>
      <c r="R345">
        <v>0.45115693240665322</v>
      </c>
      <c r="S345">
        <v>0.3372445813986471</v>
      </c>
      <c r="T345">
        <v>0.23493144953481593</v>
      </c>
      <c r="U345">
        <v>0.74793173908333055</v>
      </c>
      <c r="V345">
        <v>0.65982540255370459</v>
      </c>
      <c r="W345">
        <v>0.56346068784007686</v>
      </c>
      <c r="X345">
        <v>0.45111086931807953</v>
      </c>
      <c r="Y345">
        <v>0.45529684140715632</v>
      </c>
      <c r="Z345">
        <v>0.43105221906888497</v>
      </c>
      <c r="AA345">
        <v>0.678699489053042</v>
      </c>
      <c r="AB345">
        <v>0.83812220491257294</v>
      </c>
      <c r="AC345">
        <v>0.64604237373502893</v>
      </c>
      <c r="AD345">
        <v>0.56379431972045224</v>
      </c>
      <c r="AE345">
        <v>205.62119523749973</v>
      </c>
      <c r="AF345">
        <v>940.78630237248524</v>
      </c>
      <c r="AG345">
        <v>1435.6135176706671</v>
      </c>
      <c r="AH345">
        <v>12981.940260092078</v>
      </c>
      <c r="AI345">
        <v>8865.1874728500516</v>
      </c>
      <c r="AJ345">
        <v>36388.136347527485</v>
      </c>
      <c r="AK345">
        <v>11376.535412223493</v>
      </c>
      <c r="AL345">
        <v>2226.7729912031014</v>
      </c>
      <c r="AM345">
        <v>480.98739868359661</v>
      </c>
      <c r="AO345">
        <v>47305.155464720629</v>
      </c>
      <c r="AP345">
        <v>13.347740039397934</v>
      </c>
      <c r="AQ345">
        <v>48131.10568460096</v>
      </c>
      <c r="AR345">
        <v>13.573563501487321</v>
      </c>
      <c r="AS345" s="2">
        <f t="shared" si="36"/>
        <v>825.95021988033113</v>
      </c>
      <c r="AT345" s="2">
        <f t="shared" si="37"/>
        <v>0.22582346208938731</v>
      </c>
      <c r="AV345">
        <f t="shared" si="38"/>
        <v>1287468.8484750728</v>
      </c>
      <c r="AW345">
        <f t="shared" si="39"/>
        <v>1309225.2444641311</v>
      </c>
      <c r="AY345">
        <f t="shared" si="40"/>
        <v>0</v>
      </c>
      <c r="AZ345">
        <f t="shared" si="41"/>
        <v>1</v>
      </c>
    </row>
    <row r="346" spans="1:52" x14ac:dyDescent="0.2">
      <c r="A346">
        <f t="shared" si="35"/>
        <v>342</v>
      </c>
      <c r="B346">
        <v>3.3734785704002568E-2</v>
      </c>
      <c r="C346">
        <v>4.411699625972143E-2</v>
      </c>
      <c r="D346">
        <v>4.812945797561019E-2</v>
      </c>
      <c r="E346">
        <v>1.527397217283033E-2</v>
      </c>
      <c r="F346">
        <v>3.3827937784526307E-3</v>
      </c>
      <c r="G346">
        <v>1.1228473416181113E-2</v>
      </c>
      <c r="H346">
        <v>3.4156392987968576E-2</v>
      </c>
      <c r="I346">
        <v>0.13789442900073523</v>
      </c>
      <c r="J346">
        <v>0</v>
      </c>
      <c r="K346">
        <v>0.43915633820746058</v>
      </c>
      <c r="L346">
        <v>0.26193189003104878</v>
      </c>
      <c r="M346">
        <v>0.73806810996895122</v>
      </c>
      <c r="N346">
        <v>5.9789030085608319E-2</v>
      </c>
      <c r="O346" s="72">
        <v>0.9999181138633334</v>
      </c>
      <c r="P346">
        <v>0.9968845534123284</v>
      </c>
      <c r="Q346">
        <v>0.99287973855317502</v>
      </c>
      <c r="R346">
        <v>0.45891305642484947</v>
      </c>
      <c r="S346">
        <v>0.43122162155996013</v>
      </c>
      <c r="T346">
        <v>0.30652189016905862</v>
      </c>
      <c r="U346">
        <v>0.78600482691612228</v>
      </c>
      <c r="V346">
        <v>0.6622643425393312</v>
      </c>
      <c r="W346">
        <v>0.54303096360514092</v>
      </c>
      <c r="X346">
        <v>0.42779076414118145</v>
      </c>
      <c r="Y346">
        <v>0.4746437336766659</v>
      </c>
      <c r="Z346">
        <v>0.42805748428912593</v>
      </c>
      <c r="AA346">
        <v>0.65781480866053554</v>
      </c>
      <c r="AB346">
        <v>0.78790257971117328</v>
      </c>
      <c r="AC346">
        <v>0.62628208822551101</v>
      </c>
      <c r="AD346">
        <v>0.59682177092445066</v>
      </c>
      <c r="AE346">
        <v>173.88408507765067</v>
      </c>
      <c r="AF346">
        <v>1137.9176493400789</v>
      </c>
      <c r="AG346">
        <v>1412.1927257667548</v>
      </c>
      <c r="AH346">
        <v>10830.933561969166</v>
      </c>
      <c r="AI346">
        <v>10573.390108002082</v>
      </c>
      <c r="AJ346">
        <v>37744.377237886525</v>
      </c>
      <c r="AK346">
        <v>12617.387116354827</v>
      </c>
      <c r="AL346">
        <v>1614.3416008492291</v>
      </c>
      <c r="AM346">
        <v>521.73090296783585</v>
      </c>
      <c r="AO346">
        <v>44984.979092886009</v>
      </c>
      <c r="AP346">
        <v>12.724677949639149</v>
      </c>
      <c r="AQ346">
        <v>48566.528405596255</v>
      </c>
      <c r="AR346">
        <v>12.886335799203643</v>
      </c>
      <c r="AS346" s="2">
        <f t="shared" si="36"/>
        <v>3581.5493127102454</v>
      </c>
      <c r="AT346" s="2">
        <f t="shared" si="37"/>
        <v>0.16165784956449336</v>
      </c>
      <c r="AV346">
        <f t="shared" si="38"/>
        <v>1227482.8158710289</v>
      </c>
      <c r="AW346">
        <f t="shared" si="39"/>
        <v>1240067.051514768</v>
      </c>
      <c r="AY346">
        <f t="shared" si="40"/>
        <v>0</v>
      </c>
      <c r="AZ346">
        <f t="shared" si="41"/>
        <v>1</v>
      </c>
    </row>
    <row r="347" spans="1:52" x14ac:dyDescent="0.2">
      <c r="A347">
        <f t="shared" si="35"/>
        <v>343</v>
      </c>
      <c r="B347">
        <v>2.5273791247171995E-2</v>
      </c>
      <c r="C347">
        <v>3.0566809046269218E-2</v>
      </c>
      <c r="D347">
        <v>4.1341229000672941E-2</v>
      </c>
      <c r="E347">
        <v>2.585350575849995E-3</v>
      </c>
      <c r="F347">
        <v>3.3068090179320586E-3</v>
      </c>
      <c r="G347">
        <v>4.625781415741527E-3</v>
      </c>
      <c r="H347">
        <v>2.9742424442945503E-2</v>
      </c>
      <c r="I347">
        <v>0.14269750397887437</v>
      </c>
      <c r="J347">
        <v>0</v>
      </c>
      <c r="K347">
        <v>0.41088236029946862</v>
      </c>
      <c r="L347">
        <v>0.22560390280432652</v>
      </c>
      <c r="M347">
        <v>0.77439609719567348</v>
      </c>
      <c r="N347">
        <v>4.2454550343351084E-2</v>
      </c>
      <c r="O347" s="72">
        <v>0.99554393684605569</v>
      </c>
      <c r="P347">
        <v>0.98966716829144186</v>
      </c>
      <c r="Q347">
        <v>0.97972641939894811</v>
      </c>
      <c r="R347">
        <v>0.49316790404473443</v>
      </c>
      <c r="S347">
        <v>0.4058861623389789</v>
      </c>
      <c r="T347">
        <v>0.22694626897073267</v>
      </c>
      <c r="U347">
        <v>0.77741058658798201</v>
      </c>
      <c r="V347">
        <v>0.63294245512453862</v>
      </c>
      <c r="W347">
        <v>0.55589385916477629</v>
      </c>
      <c r="X347">
        <v>0.43472103069037571</v>
      </c>
      <c r="Y347">
        <v>0.44272781894071034</v>
      </c>
      <c r="Z347">
        <v>0.45785638306094978</v>
      </c>
      <c r="AA347">
        <v>0.66061105419966737</v>
      </c>
      <c r="AB347">
        <v>0.79617970570238805</v>
      </c>
      <c r="AC347">
        <v>0.73279273360800268</v>
      </c>
      <c r="AD347">
        <v>0.64925088177110535</v>
      </c>
      <c r="AE347">
        <v>184.27782068393429</v>
      </c>
      <c r="AF347">
        <v>1020.0632597525316</v>
      </c>
      <c r="AG347">
        <v>1527.7515500989048</v>
      </c>
      <c r="AH347">
        <v>16457.404935101367</v>
      </c>
      <c r="AI347">
        <v>11105.108145070488</v>
      </c>
      <c r="AJ347">
        <v>39513.399727170334</v>
      </c>
      <c r="AK347">
        <v>12437.34870901588</v>
      </c>
      <c r="AL347">
        <v>1880.817166211217</v>
      </c>
      <c r="AM347">
        <v>274.0406526910607</v>
      </c>
      <c r="AO347">
        <v>41507.778136873254</v>
      </c>
      <c r="AP347">
        <v>13.113290602377727</v>
      </c>
      <c r="AQ347">
        <v>45085.320507954515</v>
      </c>
      <c r="AR347">
        <v>13.26568404914736</v>
      </c>
      <c r="AS347" s="2">
        <f t="shared" si="36"/>
        <v>3577.5423710812611</v>
      </c>
      <c r="AT347" s="2">
        <f t="shared" si="37"/>
        <v>0.15239344676963285</v>
      </c>
      <c r="AV347">
        <f t="shared" si="38"/>
        <v>1269821.2821008996</v>
      </c>
      <c r="AW347">
        <f t="shared" si="39"/>
        <v>1281483.0844067815</v>
      </c>
      <c r="AY347">
        <f t="shared" si="40"/>
        <v>0</v>
      </c>
      <c r="AZ347">
        <f t="shared" si="41"/>
        <v>1</v>
      </c>
    </row>
    <row r="348" spans="1:52" x14ac:dyDescent="0.2">
      <c r="A348">
        <f t="shared" si="35"/>
        <v>344</v>
      </c>
      <c r="B348">
        <v>2.3437512432633929E-2</v>
      </c>
      <c r="C348">
        <v>2.7847783204707797E-2</v>
      </c>
      <c r="D348">
        <v>4.1412534598801232E-2</v>
      </c>
      <c r="E348">
        <v>7.4580100830626871E-3</v>
      </c>
      <c r="F348">
        <v>3.2698651597577785E-3</v>
      </c>
      <c r="G348">
        <v>4.1927538227006456E-2</v>
      </c>
      <c r="H348">
        <v>2.3113994422381372E-2</v>
      </c>
      <c r="I348">
        <v>0.1213278271244064</v>
      </c>
      <c r="J348">
        <v>0</v>
      </c>
      <c r="K348">
        <v>0.39495214335215445</v>
      </c>
      <c r="L348">
        <v>0.21868975282106629</v>
      </c>
      <c r="M348">
        <v>0.78131024717893371</v>
      </c>
      <c r="N348">
        <v>5.7305388699859017E-2</v>
      </c>
      <c r="O348" s="72">
        <v>0.99999057981348261</v>
      </c>
      <c r="P348">
        <v>0.99607294904680421</v>
      </c>
      <c r="Q348">
        <v>0.9770429713206682</v>
      </c>
      <c r="R348">
        <v>0.49396492589430485</v>
      </c>
      <c r="S348">
        <v>0.30097112822804928</v>
      </c>
      <c r="T348">
        <v>0.22983970571015355</v>
      </c>
      <c r="U348">
        <v>0.74205718588754777</v>
      </c>
      <c r="V348">
        <v>0.69158250668703691</v>
      </c>
      <c r="W348">
        <v>0.57507173320176608</v>
      </c>
      <c r="X348">
        <v>0.47850771355754174</v>
      </c>
      <c r="Y348">
        <v>0.46407541485916093</v>
      </c>
      <c r="Z348">
        <v>0.42319091210039261</v>
      </c>
      <c r="AA348">
        <v>0.69469152683703439</v>
      </c>
      <c r="AB348">
        <v>0.71866393516115223</v>
      </c>
      <c r="AC348">
        <v>0.79447291762456806</v>
      </c>
      <c r="AD348">
        <v>0.64046020635462209</v>
      </c>
      <c r="AE348">
        <v>163.95557210191382</v>
      </c>
      <c r="AF348">
        <v>1080.0577442115423</v>
      </c>
      <c r="AG348">
        <v>1744.2198530816443</v>
      </c>
      <c r="AH348">
        <v>13589.569851129592</v>
      </c>
      <c r="AI348">
        <v>12024.884990197375</v>
      </c>
      <c r="AJ348">
        <v>38360.508061422115</v>
      </c>
      <c r="AK348">
        <v>16009.979913670886</v>
      </c>
      <c r="AL348">
        <v>2305.8513471627944</v>
      </c>
      <c r="AM348">
        <v>378.29548401860575</v>
      </c>
      <c r="AO348">
        <v>44263.592933604436</v>
      </c>
      <c r="AP348">
        <v>12.193099646881532</v>
      </c>
      <c r="AQ348">
        <v>46459.599098499079</v>
      </c>
      <c r="AR348">
        <v>12.291522382130822</v>
      </c>
      <c r="AS348" s="2">
        <f t="shared" si="36"/>
        <v>2196.006164894643</v>
      </c>
      <c r="AT348" s="2">
        <f t="shared" si="37"/>
        <v>9.8422735249290128E-2</v>
      </c>
      <c r="AV348">
        <f t="shared" si="38"/>
        <v>1175046.3717545487</v>
      </c>
      <c r="AW348">
        <f t="shared" si="39"/>
        <v>1182692.6391145829</v>
      </c>
      <c r="AY348">
        <f t="shared" si="40"/>
        <v>0</v>
      </c>
      <c r="AZ348">
        <f t="shared" si="41"/>
        <v>1</v>
      </c>
    </row>
    <row r="349" spans="1:52" x14ac:dyDescent="0.2">
      <c r="A349">
        <f t="shared" si="35"/>
        <v>345</v>
      </c>
      <c r="B349">
        <v>2.7351580756030613E-2</v>
      </c>
      <c r="C349">
        <v>3.6651609693702514E-2</v>
      </c>
      <c r="D349">
        <v>3.7143687321667236E-2</v>
      </c>
      <c r="E349">
        <v>5.6111141561739145E-3</v>
      </c>
      <c r="F349">
        <v>3.3344582092210777E-3</v>
      </c>
      <c r="G349">
        <v>3.4260996249340162E-3</v>
      </c>
      <c r="H349">
        <v>2.4474582341216095E-2</v>
      </c>
      <c r="I349">
        <v>0.1359298047199502</v>
      </c>
      <c r="J349">
        <v>0</v>
      </c>
      <c r="K349">
        <v>0.34948868912073838</v>
      </c>
      <c r="L349">
        <v>0.26655408745748166</v>
      </c>
      <c r="M349">
        <v>0.73344591254251834</v>
      </c>
      <c r="N349">
        <v>6.0402401232925507E-2</v>
      </c>
      <c r="O349" s="72">
        <v>0.99999925746341856</v>
      </c>
      <c r="P349">
        <v>0.99873494441528943</v>
      </c>
      <c r="Q349">
        <v>0.97267361186531076</v>
      </c>
      <c r="R349">
        <v>0.49994533847557132</v>
      </c>
      <c r="S349">
        <v>0.34384334896942659</v>
      </c>
      <c r="T349">
        <v>0.25419420288659789</v>
      </c>
      <c r="U349">
        <v>0.74653247826643288</v>
      </c>
      <c r="V349">
        <v>0.64815907778409199</v>
      </c>
      <c r="W349">
        <v>0.59775637718291663</v>
      </c>
      <c r="X349">
        <v>0.46118340305908412</v>
      </c>
      <c r="Y349">
        <v>0.47079731787178791</v>
      </c>
      <c r="Z349">
        <v>0.52309752128464537</v>
      </c>
      <c r="AA349">
        <v>0.69831440710966275</v>
      </c>
      <c r="AB349">
        <v>0.75010682983543653</v>
      </c>
      <c r="AC349">
        <v>0.70892087112170654</v>
      </c>
      <c r="AD349">
        <v>0.5521048931431799</v>
      </c>
      <c r="AE349">
        <v>160.46775137474305</v>
      </c>
      <c r="AF349">
        <v>1253.3366563158352</v>
      </c>
      <c r="AG349">
        <v>1741.0842415672553</v>
      </c>
      <c r="AH349">
        <v>12829.084133972152</v>
      </c>
      <c r="AI349">
        <v>9566.4152694284421</v>
      </c>
      <c r="AJ349">
        <v>52668.247164226959</v>
      </c>
      <c r="AK349">
        <v>15148.559706579292</v>
      </c>
      <c r="AL349">
        <v>1482.8649710684499</v>
      </c>
      <c r="AM349">
        <v>270.23013651159431</v>
      </c>
      <c r="AO349">
        <v>41356.954959594557</v>
      </c>
      <c r="AP349">
        <v>12.358430051864017</v>
      </c>
      <c r="AQ349">
        <v>44717.504697664255</v>
      </c>
      <c r="AR349">
        <v>12.451603537821121</v>
      </c>
      <c r="AS349" s="2">
        <f t="shared" si="36"/>
        <v>3360.5497380696979</v>
      </c>
      <c r="AT349" s="2">
        <f t="shared" si="37"/>
        <v>9.3173485957104063E-2</v>
      </c>
      <c r="AV349">
        <f t="shared" si="38"/>
        <v>1194486.0502268071</v>
      </c>
      <c r="AW349">
        <f t="shared" si="39"/>
        <v>1200442.8490844481</v>
      </c>
      <c r="AY349">
        <f t="shared" si="40"/>
        <v>0</v>
      </c>
      <c r="AZ349">
        <f t="shared" si="41"/>
        <v>1</v>
      </c>
    </row>
    <row r="350" spans="1:52" x14ac:dyDescent="0.2">
      <c r="A350">
        <f t="shared" si="35"/>
        <v>346</v>
      </c>
      <c r="B350">
        <v>1.5976383219687095E-2</v>
      </c>
      <c r="C350">
        <v>3.0650240406374752E-2</v>
      </c>
      <c r="D350">
        <v>3.5608040115010189E-2</v>
      </c>
      <c r="E350">
        <v>9.5203658392232111E-3</v>
      </c>
      <c r="F350">
        <v>3.3512338510193196E-3</v>
      </c>
      <c r="G350">
        <v>5.3885990378551426E-3</v>
      </c>
      <c r="H350">
        <v>3.7982397477494101E-2</v>
      </c>
      <c r="I350">
        <v>0.14307714782793557</v>
      </c>
      <c r="J350">
        <v>0</v>
      </c>
      <c r="K350">
        <v>0.44426694253713794</v>
      </c>
      <c r="L350">
        <v>0.16375500926804359</v>
      </c>
      <c r="M350">
        <v>0.83624499073195646</v>
      </c>
      <c r="N350">
        <v>6.5869963266008469E-2</v>
      </c>
      <c r="O350" s="72">
        <v>0.99982483461053628</v>
      </c>
      <c r="P350">
        <v>0.99999978059462769</v>
      </c>
      <c r="Q350">
        <v>0.89805325505595301</v>
      </c>
      <c r="R350">
        <v>0.48766324002040118</v>
      </c>
      <c r="S350">
        <v>0.36276861124006043</v>
      </c>
      <c r="T350">
        <v>0.2224186074513963</v>
      </c>
      <c r="U350">
        <v>0.79055017331567945</v>
      </c>
      <c r="V350">
        <v>0.62297388806084575</v>
      </c>
      <c r="W350">
        <v>0.43524420486081894</v>
      </c>
      <c r="X350">
        <v>0.4342158980716927</v>
      </c>
      <c r="Y350">
        <v>0.41330904680800595</v>
      </c>
      <c r="Z350">
        <v>0.44995832005341885</v>
      </c>
      <c r="AA350">
        <v>0.60439218049809162</v>
      </c>
      <c r="AB350">
        <v>0.83274652315777442</v>
      </c>
      <c r="AC350">
        <v>0.7203849005113232</v>
      </c>
      <c r="AD350">
        <v>0.57492205978214572</v>
      </c>
      <c r="AE350">
        <v>234.65008473062599</v>
      </c>
      <c r="AF350">
        <v>990.06303721218137</v>
      </c>
      <c r="AG350">
        <v>2064.6223263974553</v>
      </c>
      <c r="AH350">
        <v>15130.30539905152</v>
      </c>
      <c r="AI350">
        <v>10531.244245102645</v>
      </c>
      <c r="AJ350">
        <v>48990.586734086231</v>
      </c>
      <c r="AK350">
        <v>11821.077439376022</v>
      </c>
      <c r="AL350">
        <v>2978.0554804894532</v>
      </c>
      <c r="AM350">
        <v>368.31211539998014</v>
      </c>
      <c r="AO350">
        <v>43786.455533507142</v>
      </c>
      <c r="AP350">
        <v>13.460030482242765</v>
      </c>
      <c r="AQ350">
        <v>46604.663752009146</v>
      </c>
      <c r="AR350">
        <v>13.645332005669465</v>
      </c>
      <c r="AS350" s="2">
        <f t="shared" si="36"/>
        <v>2818.2082185020045</v>
      </c>
      <c r="AT350" s="2">
        <f t="shared" si="37"/>
        <v>0.18530152342670014</v>
      </c>
      <c r="AV350">
        <f t="shared" si="38"/>
        <v>1302216.5926907694</v>
      </c>
      <c r="AW350">
        <f t="shared" si="39"/>
        <v>1317928.5368149374</v>
      </c>
      <c r="AY350">
        <f t="shared" si="40"/>
        <v>0</v>
      </c>
      <c r="AZ350">
        <f t="shared" si="41"/>
        <v>1</v>
      </c>
    </row>
    <row r="351" spans="1:52" x14ac:dyDescent="0.2">
      <c r="A351">
        <f t="shared" si="35"/>
        <v>347</v>
      </c>
      <c r="B351">
        <v>2.6528459022250317E-2</v>
      </c>
      <c r="C351">
        <v>2.4716816261164478E-2</v>
      </c>
      <c r="D351">
        <v>3.1453478421660831E-2</v>
      </c>
      <c r="E351">
        <v>1.698212475313432E-2</v>
      </c>
      <c r="F351">
        <v>3.3097589195665478E-3</v>
      </c>
      <c r="G351">
        <v>1.5921489552792267E-2</v>
      </c>
      <c r="H351">
        <v>2.3352685141747324E-2</v>
      </c>
      <c r="I351">
        <v>0.15204418083387461</v>
      </c>
      <c r="J351">
        <v>0</v>
      </c>
      <c r="K351">
        <v>0.4461286204096383</v>
      </c>
      <c r="L351">
        <v>0.11752857640558306</v>
      </c>
      <c r="M351">
        <v>0.88247142359441688</v>
      </c>
      <c r="N351">
        <v>5.0768243211800457E-2</v>
      </c>
      <c r="O351" s="72">
        <v>0.99918956421632033</v>
      </c>
      <c r="P351">
        <v>0.99994704435931214</v>
      </c>
      <c r="Q351">
        <v>0.97686269479952514</v>
      </c>
      <c r="R351">
        <v>0.44002485892880083</v>
      </c>
      <c r="S351">
        <v>0.40523980475078858</v>
      </c>
      <c r="T351">
        <v>0.23898970164835032</v>
      </c>
      <c r="U351">
        <v>0.75511693213351849</v>
      </c>
      <c r="V351">
        <v>0.65803491440513884</v>
      </c>
      <c r="W351">
        <v>0.56373953573167312</v>
      </c>
      <c r="X351">
        <v>0.43760891878707708</v>
      </c>
      <c r="Y351">
        <v>0.45573510562615815</v>
      </c>
      <c r="Z351">
        <v>0.45513719444072553</v>
      </c>
      <c r="AA351">
        <v>0.68535754265688587</v>
      </c>
      <c r="AB351">
        <v>0.80650811373752629</v>
      </c>
      <c r="AC351">
        <v>0.77582619216845128</v>
      </c>
      <c r="AD351">
        <v>0.65267055098902793</v>
      </c>
      <c r="AE351">
        <v>187.32463732271736</v>
      </c>
      <c r="AF351">
        <v>1079.2157089954526</v>
      </c>
      <c r="AG351">
        <v>1466.2137984021508</v>
      </c>
      <c r="AH351">
        <v>15860.189791524004</v>
      </c>
      <c r="AI351">
        <v>9037.2569148321618</v>
      </c>
      <c r="AJ351">
        <v>40838.415091579554</v>
      </c>
      <c r="AK351">
        <v>9069.2666132332415</v>
      </c>
      <c r="AL351">
        <v>1675.3664797982171</v>
      </c>
      <c r="AM351">
        <v>371.59788606768137</v>
      </c>
      <c r="AO351">
        <v>45235.267770600942</v>
      </c>
      <c r="AP351">
        <v>13.29981891425726</v>
      </c>
      <c r="AQ351">
        <v>46255.004684421685</v>
      </c>
      <c r="AR351">
        <v>13.490979983410577</v>
      </c>
      <c r="AS351" s="2">
        <f t="shared" si="36"/>
        <v>1019.7369138207432</v>
      </c>
      <c r="AT351" s="2">
        <f t="shared" si="37"/>
        <v>0.19116106915331699</v>
      </c>
      <c r="AV351">
        <f t="shared" si="38"/>
        <v>1284746.623655125</v>
      </c>
      <c r="AW351">
        <f t="shared" si="39"/>
        <v>1302842.993656636</v>
      </c>
      <c r="AY351">
        <f t="shared" si="40"/>
        <v>0</v>
      </c>
      <c r="AZ351">
        <f t="shared" si="41"/>
        <v>1</v>
      </c>
    </row>
    <row r="352" spans="1:52" x14ac:dyDescent="0.2">
      <c r="A352">
        <f t="shared" si="35"/>
        <v>348</v>
      </c>
      <c r="B352">
        <v>2.1875768651820175E-2</v>
      </c>
      <c r="C352">
        <v>4.5002539595919711E-2</v>
      </c>
      <c r="D352">
        <v>3.3462925377447598E-2</v>
      </c>
      <c r="E352">
        <v>2.6381601613522849E-3</v>
      </c>
      <c r="F352">
        <v>3.2643912059338869E-3</v>
      </c>
      <c r="G352">
        <v>2.8465248331643114E-3</v>
      </c>
      <c r="H352">
        <v>5.2995738235076084E-2</v>
      </c>
      <c r="I352">
        <v>0.13002036177020626</v>
      </c>
      <c r="J352">
        <v>0</v>
      </c>
      <c r="K352">
        <v>0.39255597076786769</v>
      </c>
      <c r="L352">
        <v>0.14240158384379553</v>
      </c>
      <c r="M352">
        <v>0.85759841615620447</v>
      </c>
      <c r="N352">
        <v>5.7861963296255592E-2</v>
      </c>
      <c r="O352" s="72">
        <v>0.99790307810601719</v>
      </c>
      <c r="P352">
        <v>0.99956265474616823</v>
      </c>
      <c r="Q352">
        <v>0.96419861719534161</v>
      </c>
      <c r="R352">
        <v>0.51701742123038252</v>
      </c>
      <c r="S352">
        <v>0.40745567854175146</v>
      </c>
      <c r="T352">
        <v>0.31725295185920022</v>
      </c>
      <c r="U352">
        <v>0.78224275990659953</v>
      </c>
      <c r="V352">
        <v>0.6520820482578088</v>
      </c>
      <c r="W352">
        <v>0.52464680443491307</v>
      </c>
      <c r="X352">
        <v>0.49411334616635472</v>
      </c>
      <c r="Y352">
        <v>0.43518572537747929</v>
      </c>
      <c r="Z352">
        <v>0.39070098904882311</v>
      </c>
      <c r="AA352">
        <v>0.58943415869454541</v>
      </c>
      <c r="AB352">
        <v>0.78295212332344688</v>
      </c>
      <c r="AC352">
        <v>0.7597739440877157</v>
      </c>
      <c r="AD352">
        <v>0.54825340071247808</v>
      </c>
      <c r="AE352">
        <v>195.36584849499226</v>
      </c>
      <c r="AF352">
        <v>1227.8959850515432</v>
      </c>
      <c r="AG352">
        <v>1627.0984462020847</v>
      </c>
      <c r="AH352">
        <v>15264.186888679715</v>
      </c>
      <c r="AI352">
        <v>16579.803005872272</v>
      </c>
      <c r="AJ352">
        <v>39362.25848276911</v>
      </c>
      <c r="AK352">
        <v>12408.563978946529</v>
      </c>
      <c r="AL352">
        <v>1877.0798654328742</v>
      </c>
      <c r="AM352">
        <v>408.85861065441588</v>
      </c>
      <c r="AO352">
        <v>40936.628996296509</v>
      </c>
      <c r="AP352">
        <v>12.911904926014058</v>
      </c>
      <c r="AQ352">
        <v>46962.564419539587</v>
      </c>
      <c r="AR352">
        <v>12.995533218018181</v>
      </c>
      <c r="AS352" s="2">
        <f t="shared" si="36"/>
        <v>6025.9354232430778</v>
      </c>
      <c r="AT352" s="2">
        <f t="shared" si="37"/>
        <v>8.3628292004123139E-2</v>
      </c>
      <c r="AV352">
        <f t="shared" si="38"/>
        <v>1250253.8636051093</v>
      </c>
      <c r="AW352">
        <f t="shared" si="39"/>
        <v>1252590.7573822786</v>
      </c>
      <c r="AY352">
        <f t="shared" si="40"/>
        <v>0</v>
      </c>
      <c r="AZ352">
        <f t="shared" si="41"/>
        <v>1</v>
      </c>
    </row>
    <row r="353" spans="1:52" x14ac:dyDescent="0.2">
      <c r="A353">
        <f t="shared" si="35"/>
        <v>349</v>
      </c>
      <c r="B353">
        <v>2.5713254935703422E-2</v>
      </c>
      <c r="C353">
        <v>4.2282726118273439E-2</v>
      </c>
      <c r="D353">
        <v>4.51698403575167E-2</v>
      </c>
      <c r="E353">
        <v>1.0975575272861925E-2</v>
      </c>
      <c r="F353">
        <v>3.2712575318213214E-3</v>
      </c>
      <c r="G353">
        <v>2.4984575163899181E-2</v>
      </c>
      <c r="H353">
        <v>2.4367241463886594E-2</v>
      </c>
      <c r="I353">
        <v>0.11429620582461357</v>
      </c>
      <c r="J353">
        <v>0</v>
      </c>
      <c r="K353">
        <v>0.4542232233025536</v>
      </c>
      <c r="L353">
        <v>0.24289052106829401</v>
      </c>
      <c r="M353">
        <v>0.75710947893170599</v>
      </c>
      <c r="N353">
        <v>3.9248113958894708E-2</v>
      </c>
      <c r="O353" s="72">
        <v>0.9960467540963579</v>
      </c>
      <c r="P353">
        <v>0.99765299834620991</v>
      </c>
      <c r="Q353">
        <v>0.97067736358551171</v>
      </c>
      <c r="R353">
        <v>0.51344649800009168</v>
      </c>
      <c r="S353">
        <v>0.32425167532863353</v>
      </c>
      <c r="T353">
        <v>0.24094155658286986</v>
      </c>
      <c r="U353">
        <v>0.75823210777888139</v>
      </c>
      <c r="V353">
        <v>0.63434307120538513</v>
      </c>
      <c r="W353">
        <v>0.519414848537192</v>
      </c>
      <c r="X353">
        <v>0.44403230486176393</v>
      </c>
      <c r="Y353">
        <v>0.40830451663874001</v>
      </c>
      <c r="Z353">
        <v>0.43196648584003977</v>
      </c>
      <c r="AA353">
        <v>0.63866901883514093</v>
      </c>
      <c r="AB353">
        <v>0.80185757697676441</v>
      </c>
      <c r="AC353">
        <v>0.79855128347594095</v>
      </c>
      <c r="AD353">
        <v>0.66770081192356079</v>
      </c>
      <c r="AE353">
        <v>196.13316184610721</v>
      </c>
      <c r="AF353">
        <v>811.86435921278348</v>
      </c>
      <c r="AG353">
        <v>1392.4377133076418</v>
      </c>
      <c r="AH353">
        <v>12407.201021987637</v>
      </c>
      <c r="AI353">
        <v>11210.061621023098</v>
      </c>
      <c r="AJ353">
        <v>42799.892205719676</v>
      </c>
      <c r="AK353">
        <v>13831.156391677057</v>
      </c>
      <c r="AL353">
        <v>1956.1626663072725</v>
      </c>
      <c r="AM353">
        <v>244.77163230949955</v>
      </c>
      <c r="AO353">
        <v>40656.297111851673</v>
      </c>
      <c r="AP353">
        <v>13.273253651384433</v>
      </c>
      <c r="AQ353">
        <v>44320.287889414438</v>
      </c>
      <c r="AR353">
        <v>13.488965590547828</v>
      </c>
      <c r="AS353" s="2">
        <f t="shared" si="36"/>
        <v>3663.9907775627653</v>
      </c>
      <c r="AT353" s="2">
        <f t="shared" si="37"/>
        <v>0.21571193916339482</v>
      </c>
      <c r="AV353">
        <f t="shared" si="38"/>
        <v>1286669.0680265916</v>
      </c>
      <c r="AW353">
        <f t="shared" si="39"/>
        <v>1304576.2711653684</v>
      </c>
      <c r="AY353">
        <f t="shared" si="40"/>
        <v>0</v>
      </c>
      <c r="AZ353">
        <f t="shared" si="41"/>
        <v>1</v>
      </c>
    </row>
    <row r="354" spans="1:52" x14ac:dyDescent="0.2">
      <c r="A354">
        <f t="shared" si="35"/>
        <v>350</v>
      </c>
      <c r="B354">
        <v>2.4856429945695258E-2</v>
      </c>
      <c r="C354">
        <v>3.0996143037949814E-2</v>
      </c>
      <c r="D354">
        <v>2.1300926443680448E-2</v>
      </c>
      <c r="E354">
        <v>2.3192871866330567E-2</v>
      </c>
      <c r="F354">
        <v>3.2738930120435219E-3</v>
      </c>
      <c r="G354">
        <v>2.1920263794776518E-2</v>
      </c>
      <c r="H354">
        <v>3.9148926200264555E-2</v>
      </c>
      <c r="I354">
        <v>0.13342880881926544</v>
      </c>
      <c r="J354">
        <v>0</v>
      </c>
      <c r="K354">
        <v>0.41494704877808447</v>
      </c>
      <c r="L354">
        <v>0.26831532726569762</v>
      </c>
      <c r="M354">
        <v>0.73168467273430238</v>
      </c>
      <c r="N354">
        <v>6.4328386298115547E-2</v>
      </c>
      <c r="O354" s="72">
        <v>0.99935142975472713</v>
      </c>
      <c r="P354">
        <v>0.99631253605374981</v>
      </c>
      <c r="Q354">
        <v>0.95358386155347108</v>
      </c>
      <c r="R354">
        <v>0.48930295241319965</v>
      </c>
      <c r="S354">
        <v>0.45353012940022108</v>
      </c>
      <c r="T354">
        <v>0.20595807908808927</v>
      </c>
      <c r="U354">
        <v>0.77000603580830029</v>
      </c>
      <c r="V354">
        <v>0.69277953412741977</v>
      </c>
      <c r="W354">
        <v>0.48818475510581183</v>
      </c>
      <c r="X354">
        <v>0.44002341712355325</v>
      </c>
      <c r="Y354">
        <v>0.47595835078916571</v>
      </c>
      <c r="Z354">
        <v>0.46697602662148885</v>
      </c>
      <c r="AA354">
        <v>0.68474834910945226</v>
      </c>
      <c r="AB354">
        <v>0.84138697427530074</v>
      </c>
      <c r="AC354">
        <v>0.72891090195568087</v>
      </c>
      <c r="AD354">
        <v>0.63606353536289006</v>
      </c>
      <c r="AE354">
        <v>167.26915021063115</v>
      </c>
      <c r="AF354">
        <v>1174.6320378634507</v>
      </c>
      <c r="AG354">
        <v>1503.3040959272478</v>
      </c>
      <c r="AH354">
        <v>10549.12339659861</v>
      </c>
      <c r="AI354">
        <v>19087.241966697595</v>
      </c>
      <c r="AJ354">
        <v>35022.219743400652</v>
      </c>
      <c r="AK354">
        <v>17368.673792354512</v>
      </c>
      <c r="AL354">
        <v>1681.0376377030068</v>
      </c>
      <c r="AM354">
        <v>295.33487576498095</v>
      </c>
      <c r="AO354">
        <v>41533.067391811346</v>
      </c>
      <c r="AP354">
        <v>13.642913783989142</v>
      </c>
      <c r="AQ354">
        <v>45174.774358117415</v>
      </c>
      <c r="AR354">
        <v>13.866621948711533</v>
      </c>
      <c r="AS354" s="2">
        <f t="shared" si="36"/>
        <v>3641.7069663060684</v>
      </c>
      <c r="AT354" s="2">
        <f t="shared" si="37"/>
        <v>0.22370816472239063</v>
      </c>
      <c r="AV354">
        <f t="shared" si="38"/>
        <v>1322758.3110071027</v>
      </c>
      <c r="AW354">
        <f t="shared" si="39"/>
        <v>1341487.4205130357</v>
      </c>
      <c r="AY354">
        <f t="shared" si="40"/>
        <v>0</v>
      </c>
      <c r="AZ354">
        <f t="shared" si="41"/>
        <v>1</v>
      </c>
    </row>
    <row r="355" spans="1:52" x14ac:dyDescent="0.2">
      <c r="A355">
        <f t="shared" si="35"/>
        <v>351</v>
      </c>
      <c r="B355">
        <v>2.1011707928462586E-2</v>
      </c>
      <c r="C355">
        <v>4.0012728529471353E-2</v>
      </c>
      <c r="D355">
        <v>3.2731319692752628E-2</v>
      </c>
      <c r="E355">
        <v>1.2875915801348281E-2</v>
      </c>
      <c r="F355">
        <v>3.4530714845718569E-3</v>
      </c>
      <c r="G355">
        <v>1.2056021778780956E-2</v>
      </c>
      <c r="H355">
        <v>3.8362610594580238E-2</v>
      </c>
      <c r="I355">
        <v>0.12265613952857476</v>
      </c>
      <c r="J355">
        <v>0</v>
      </c>
      <c r="K355">
        <v>0.41471580161644256</v>
      </c>
      <c r="L355">
        <v>0.24475663237042944</v>
      </c>
      <c r="M355">
        <v>0.75524336762957056</v>
      </c>
      <c r="N355">
        <v>6.0352683622806658E-2</v>
      </c>
      <c r="O355" s="72">
        <v>0.99999852186597171</v>
      </c>
      <c r="P355">
        <v>0.9999011743392715</v>
      </c>
      <c r="Q355">
        <v>0.89429600784133412</v>
      </c>
      <c r="R355">
        <v>0.50861946909122557</v>
      </c>
      <c r="S355">
        <v>0.36431729182799066</v>
      </c>
      <c r="T355">
        <v>0.27063994347809772</v>
      </c>
      <c r="U355">
        <v>0.75415441093883173</v>
      </c>
      <c r="V355">
        <v>0.57911909196644851</v>
      </c>
      <c r="W355">
        <v>0.49873082187108531</v>
      </c>
      <c r="X355">
        <v>0.39317662452962621</v>
      </c>
      <c r="Y355">
        <v>0.42685244954675994</v>
      </c>
      <c r="Z355">
        <v>0.45253914800619022</v>
      </c>
      <c r="AA355">
        <v>0.70467532661188881</v>
      </c>
      <c r="AB355">
        <v>0.79756663353666557</v>
      </c>
      <c r="AC355">
        <v>0.74396600034106375</v>
      </c>
      <c r="AD355">
        <v>0.64233717955864078</v>
      </c>
      <c r="AE355">
        <v>176.48590492240649</v>
      </c>
      <c r="AF355">
        <v>1169.9060162252304</v>
      </c>
      <c r="AG355">
        <v>1651.2993667974711</v>
      </c>
      <c r="AH355">
        <v>16086.112499858054</v>
      </c>
      <c r="AI355">
        <v>8658.4575902153756</v>
      </c>
      <c r="AJ355">
        <v>40014.216996469077</v>
      </c>
      <c r="AK355">
        <v>6360.4430179097562</v>
      </c>
      <c r="AL355">
        <v>2277.7071666996699</v>
      </c>
      <c r="AM355">
        <v>437.13534699070033</v>
      </c>
      <c r="AO355">
        <v>42825.307253571154</v>
      </c>
      <c r="AP355">
        <v>13.112008367541721</v>
      </c>
      <c r="AQ355">
        <v>47672.916830713053</v>
      </c>
      <c r="AR355">
        <v>13.291129010907975</v>
      </c>
      <c r="AS355" s="2">
        <f t="shared" si="36"/>
        <v>4847.6095771418986</v>
      </c>
      <c r="AT355" s="2">
        <f t="shared" si="37"/>
        <v>0.17912064336625377</v>
      </c>
      <c r="AV355">
        <f t="shared" si="38"/>
        <v>1268375.5295006009</v>
      </c>
      <c r="AW355">
        <f t="shared" si="39"/>
        <v>1281439.9842600843</v>
      </c>
      <c r="AY355">
        <f t="shared" si="40"/>
        <v>0</v>
      </c>
      <c r="AZ355">
        <f t="shared" si="41"/>
        <v>1</v>
      </c>
    </row>
    <row r="356" spans="1:52" x14ac:dyDescent="0.2">
      <c r="A356">
        <f t="shared" si="35"/>
        <v>352</v>
      </c>
      <c r="B356">
        <v>2.4661495342105575E-2</v>
      </c>
      <c r="C356">
        <v>3.3591641012720046E-2</v>
      </c>
      <c r="D356">
        <v>3.6876370811370851E-2</v>
      </c>
      <c r="E356">
        <v>4.4469042002158966E-3</v>
      </c>
      <c r="F356">
        <v>3.3040652486519672E-3</v>
      </c>
      <c r="G356">
        <v>1.798570459290505E-2</v>
      </c>
      <c r="H356">
        <v>4.5466664332534545E-2</v>
      </c>
      <c r="I356">
        <v>0.12472977720137328</v>
      </c>
      <c r="J356">
        <v>0</v>
      </c>
      <c r="K356">
        <v>0.43973302670717673</v>
      </c>
      <c r="L356">
        <v>0.18872541832379136</v>
      </c>
      <c r="M356">
        <v>0.81127458167620858</v>
      </c>
      <c r="N356">
        <v>3.7840270775309243E-2</v>
      </c>
      <c r="O356" s="72">
        <v>0.98976100098272002</v>
      </c>
      <c r="P356">
        <v>0.99999502765827963</v>
      </c>
      <c r="Q356">
        <v>0.97541651746589642</v>
      </c>
      <c r="R356">
        <v>0.51146916124365815</v>
      </c>
      <c r="S356">
        <v>0.35491543379093871</v>
      </c>
      <c r="T356">
        <v>0.16646272429745357</v>
      </c>
      <c r="U356">
        <v>0.76246559434259142</v>
      </c>
      <c r="V356">
        <v>0.66865119058011124</v>
      </c>
      <c r="W356">
        <v>0.60564456141704337</v>
      </c>
      <c r="X356">
        <v>0.50135625885068247</v>
      </c>
      <c r="Y356">
        <v>0.39488963899988522</v>
      </c>
      <c r="Z356">
        <v>0.45035639888228751</v>
      </c>
      <c r="AA356">
        <v>0.69709485429821516</v>
      </c>
      <c r="AB356">
        <v>0.83645141931956779</v>
      </c>
      <c r="AC356">
        <v>0.71596830737211958</v>
      </c>
      <c r="AD356">
        <v>0.56611541278032851</v>
      </c>
      <c r="AE356">
        <v>180.66406592516554</v>
      </c>
      <c r="AF356">
        <v>1115.2462494630113</v>
      </c>
      <c r="AG356">
        <v>2076.9231583776232</v>
      </c>
      <c r="AH356">
        <v>10332.892161221636</v>
      </c>
      <c r="AI356">
        <v>10001.296907344491</v>
      </c>
      <c r="AJ356">
        <v>39184.682494522182</v>
      </c>
      <c r="AK356">
        <v>11566.079636746497</v>
      </c>
      <c r="AL356">
        <v>2195.2616892963188</v>
      </c>
      <c r="AM356">
        <v>297.69958826347215</v>
      </c>
      <c r="AO356">
        <v>43067.65135043169</v>
      </c>
      <c r="AP356">
        <v>13.512994764488434</v>
      </c>
      <c r="AQ356">
        <v>45119.59573089669</v>
      </c>
      <c r="AR356">
        <v>13.683182592523506</v>
      </c>
      <c r="AS356" s="2">
        <f t="shared" si="36"/>
        <v>2051.944380465</v>
      </c>
      <c r="AT356" s="2">
        <f t="shared" si="37"/>
        <v>0.17018782803507193</v>
      </c>
      <c r="AV356">
        <f t="shared" si="38"/>
        <v>1308231.8250984119</v>
      </c>
      <c r="AW356">
        <f t="shared" si="39"/>
        <v>1323198.6635214537</v>
      </c>
      <c r="AY356">
        <f t="shared" si="40"/>
        <v>0</v>
      </c>
      <c r="AZ356">
        <f t="shared" si="41"/>
        <v>1</v>
      </c>
    </row>
    <row r="357" spans="1:52" x14ac:dyDescent="0.2">
      <c r="A357">
        <f t="shared" si="35"/>
        <v>353</v>
      </c>
      <c r="B357">
        <v>2.5415426397668694E-2</v>
      </c>
      <c r="C357">
        <v>2.3091065534380516E-2</v>
      </c>
      <c r="D357">
        <v>3.9009560063862359E-2</v>
      </c>
      <c r="E357">
        <v>3.3700656154857511E-2</v>
      </c>
      <c r="F357">
        <v>3.2966869820000655E-3</v>
      </c>
      <c r="G357">
        <v>1.8717955963724164E-2</v>
      </c>
      <c r="H357">
        <v>3.7464337647979185E-2</v>
      </c>
      <c r="I357">
        <v>0.14095867940117213</v>
      </c>
      <c r="J357">
        <v>0</v>
      </c>
      <c r="K357">
        <v>0.4578034290447246</v>
      </c>
      <c r="L357">
        <v>0.14196996896296196</v>
      </c>
      <c r="M357">
        <v>0.85803003103703801</v>
      </c>
      <c r="N357">
        <v>6.8343322018422969E-2</v>
      </c>
      <c r="O357" s="72">
        <v>0.99999138326953829</v>
      </c>
      <c r="P357">
        <v>0.99993003724448226</v>
      </c>
      <c r="Q357">
        <v>0.9728904595883342</v>
      </c>
      <c r="R357">
        <v>0.5044681394764734</v>
      </c>
      <c r="S357">
        <v>0.39702474645494013</v>
      </c>
      <c r="T357">
        <v>0.23584461769917009</v>
      </c>
      <c r="U357">
        <v>0.76740193644768073</v>
      </c>
      <c r="V357">
        <v>0.63341148352037824</v>
      </c>
      <c r="W357">
        <v>0.58453393190356051</v>
      </c>
      <c r="X357">
        <v>0.4275497960977247</v>
      </c>
      <c r="Y357">
        <v>0.44721340085376826</v>
      </c>
      <c r="Z357">
        <v>0.46726569067718182</v>
      </c>
      <c r="AA357">
        <v>0.63774349110412953</v>
      </c>
      <c r="AB357">
        <v>0.82248752465151909</v>
      </c>
      <c r="AC357">
        <v>0.71055661489683819</v>
      </c>
      <c r="AD357">
        <v>0.61100360467064019</v>
      </c>
      <c r="AE357">
        <v>201.19903974431318</v>
      </c>
      <c r="AF357">
        <v>916.68743349610736</v>
      </c>
      <c r="AG357">
        <v>1302.0820165846451</v>
      </c>
      <c r="AH357">
        <v>14878.187315613059</v>
      </c>
      <c r="AI357">
        <v>8141.3883000261112</v>
      </c>
      <c r="AJ357">
        <v>37246.101701268322</v>
      </c>
      <c r="AK357">
        <v>16861.729776048858</v>
      </c>
      <c r="AL357">
        <v>1431.447179566949</v>
      </c>
      <c r="AM357">
        <v>336.12897844664866</v>
      </c>
      <c r="AO357">
        <v>41215.611326638245</v>
      </c>
      <c r="AP357">
        <v>13.322856297318479</v>
      </c>
      <c r="AQ357">
        <v>45679.381549615035</v>
      </c>
      <c r="AR357">
        <v>13.537423693243113</v>
      </c>
      <c r="AS357" s="2">
        <f t="shared" si="36"/>
        <v>4463.7702229767892</v>
      </c>
      <c r="AT357" s="2">
        <f t="shared" si="37"/>
        <v>0.21456739592463414</v>
      </c>
      <c r="AV357">
        <f t="shared" si="38"/>
        <v>1291070.0184052098</v>
      </c>
      <c r="AW357">
        <f t="shared" si="39"/>
        <v>1308062.9877746964</v>
      </c>
      <c r="AY357">
        <f t="shared" si="40"/>
        <v>0</v>
      </c>
      <c r="AZ357">
        <f t="shared" si="41"/>
        <v>1</v>
      </c>
    </row>
    <row r="358" spans="1:52" x14ac:dyDescent="0.2">
      <c r="A358">
        <f t="shared" si="35"/>
        <v>354</v>
      </c>
      <c r="B358">
        <v>2.0558608352904066E-2</v>
      </c>
      <c r="C358">
        <v>2.9691108566191459E-2</v>
      </c>
      <c r="D358">
        <v>4.469795987249614E-2</v>
      </c>
      <c r="E358">
        <v>1.0889972304525842E-2</v>
      </c>
      <c r="F358">
        <v>3.3216212124630379E-3</v>
      </c>
      <c r="G358">
        <v>3.5696122681650039E-3</v>
      </c>
      <c r="H358">
        <v>1.6460950912389222E-2</v>
      </c>
      <c r="I358">
        <v>0.13062817782126313</v>
      </c>
      <c r="J358">
        <v>0</v>
      </c>
      <c r="K358">
        <v>0.45794554978905322</v>
      </c>
      <c r="L358">
        <v>0.22483213922319589</v>
      </c>
      <c r="M358">
        <v>0.77516786077680411</v>
      </c>
      <c r="N358">
        <v>4.4859957159303916E-2</v>
      </c>
      <c r="O358" s="72">
        <v>0.99989675649959431</v>
      </c>
      <c r="P358">
        <v>0.99283533949406644</v>
      </c>
      <c r="Q358">
        <v>0.98083293508706726</v>
      </c>
      <c r="R358">
        <v>0.49809097844804118</v>
      </c>
      <c r="S358">
        <v>0.35499988673476601</v>
      </c>
      <c r="T358">
        <v>0.28507097335521925</v>
      </c>
      <c r="U358">
        <v>0.75975679055574985</v>
      </c>
      <c r="V358">
        <v>0.61020841394234193</v>
      </c>
      <c r="W358">
        <v>0.54309057109926284</v>
      </c>
      <c r="X358">
        <v>0.46444942122755695</v>
      </c>
      <c r="Y358">
        <v>0.44966906392811734</v>
      </c>
      <c r="Z358">
        <v>0.35230660646327505</v>
      </c>
      <c r="AA358">
        <v>0.65899845832454951</v>
      </c>
      <c r="AB358">
        <v>0.81826393184946744</v>
      </c>
      <c r="AC358">
        <v>0.63096442232384853</v>
      </c>
      <c r="AD358">
        <v>0.66194044448232081</v>
      </c>
      <c r="AE358">
        <v>230.72537436180971</v>
      </c>
      <c r="AF358">
        <v>822.41637644252307</v>
      </c>
      <c r="AG358">
        <v>1867.6921543500903</v>
      </c>
      <c r="AH358">
        <v>14095.609682206994</v>
      </c>
      <c r="AI358">
        <v>15467.224761995461</v>
      </c>
      <c r="AJ358">
        <v>40155.266684085123</v>
      </c>
      <c r="AK358">
        <v>14563.504306306673</v>
      </c>
      <c r="AL358">
        <v>2676.4843169690193</v>
      </c>
      <c r="AM358">
        <v>316.67554575861845</v>
      </c>
      <c r="AO358">
        <v>41468.193299654093</v>
      </c>
      <c r="AP358">
        <v>13.215040488560874</v>
      </c>
      <c r="AQ358">
        <v>45655.207984944667</v>
      </c>
      <c r="AR358">
        <v>13.405246394988302</v>
      </c>
      <c r="AS358" s="2">
        <f t="shared" si="36"/>
        <v>4187.0146852905746</v>
      </c>
      <c r="AT358" s="2">
        <f t="shared" si="37"/>
        <v>0.19020590642742796</v>
      </c>
      <c r="AV358">
        <f t="shared" si="38"/>
        <v>1280035.8555564331</v>
      </c>
      <c r="AW358">
        <f t="shared" si="39"/>
        <v>1294869.4315138855</v>
      </c>
      <c r="AY358">
        <f t="shared" si="40"/>
        <v>0</v>
      </c>
      <c r="AZ358">
        <f t="shared" si="41"/>
        <v>1</v>
      </c>
    </row>
    <row r="359" spans="1:52" x14ac:dyDescent="0.2">
      <c r="A359">
        <f t="shared" si="35"/>
        <v>355</v>
      </c>
      <c r="B359">
        <v>2.596286712982887E-2</v>
      </c>
      <c r="C359">
        <v>2.9095175028323428E-2</v>
      </c>
      <c r="D359">
        <v>4.5689234592520056E-2</v>
      </c>
      <c r="E359">
        <v>1.4033671406786796E-2</v>
      </c>
      <c r="F359">
        <v>3.3508894187208593E-3</v>
      </c>
      <c r="G359">
        <v>1.6146435033714268E-2</v>
      </c>
      <c r="H359">
        <v>2.061563010989537E-2</v>
      </c>
      <c r="I359">
        <v>0.12531378680007832</v>
      </c>
      <c r="J359">
        <v>0</v>
      </c>
      <c r="K359">
        <v>0.43439657928778197</v>
      </c>
      <c r="L359">
        <v>0.22776828874481969</v>
      </c>
      <c r="M359">
        <v>0.77223171125518031</v>
      </c>
      <c r="N359">
        <v>6.1925147532654323E-2</v>
      </c>
      <c r="O359" s="72">
        <v>0.99070338210979392</v>
      </c>
      <c r="P359">
        <v>0.99439345456379857</v>
      </c>
      <c r="Q359">
        <v>0.97832377806390003</v>
      </c>
      <c r="R359">
        <v>0.47911454198444892</v>
      </c>
      <c r="S359">
        <v>0.25551919337545037</v>
      </c>
      <c r="T359">
        <v>0.24341102820880123</v>
      </c>
      <c r="U359">
        <v>0.8000119278733846</v>
      </c>
      <c r="V359">
        <v>0.69012469387978781</v>
      </c>
      <c r="W359">
        <v>0.51313718982446299</v>
      </c>
      <c r="X359">
        <v>0.44295314789306239</v>
      </c>
      <c r="Y359">
        <v>0.4267305182709511</v>
      </c>
      <c r="Z359">
        <v>0.41811778156690493</v>
      </c>
      <c r="AA359">
        <v>0.71002303869357086</v>
      </c>
      <c r="AB359">
        <v>0.83914375069553859</v>
      </c>
      <c r="AC359">
        <v>0.70182679642074686</v>
      </c>
      <c r="AD359">
        <v>0.6424151322907693</v>
      </c>
      <c r="AE359">
        <v>266.61839630619824</v>
      </c>
      <c r="AF359">
        <v>961.49251497302112</v>
      </c>
      <c r="AG359">
        <v>1981.3383133423492</v>
      </c>
      <c r="AH359">
        <v>15522.518324057784</v>
      </c>
      <c r="AI359">
        <v>6932.8189065424558</v>
      </c>
      <c r="AJ359">
        <v>40497.136679885087</v>
      </c>
      <c r="AK359">
        <v>11700.87951454324</v>
      </c>
      <c r="AL359">
        <v>2526.0780026533866</v>
      </c>
      <c r="AM359">
        <v>355.64326416535482</v>
      </c>
      <c r="AO359">
        <v>45705.646446125058</v>
      </c>
      <c r="AP359">
        <v>13.579277675419666</v>
      </c>
      <c r="AQ359">
        <v>46340.309353332479</v>
      </c>
      <c r="AR359">
        <v>13.795635727832783</v>
      </c>
      <c r="AS359" s="2">
        <f t="shared" si="36"/>
        <v>634.66290720742109</v>
      </c>
      <c r="AT359" s="2">
        <f t="shared" si="37"/>
        <v>0.21635805241311701</v>
      </c>
      <c r="AV359">
        <f t="shared" si="38"/>
        <v>1312222.1210958415</v>
      </c>
      <c r="AW359">
        <f t="shared" si="39"/>
        <v>1333223.2634299458</v>
      </c>
      <c r="AY359">
        <f t="shared" si="40"/>
        <v>0</v>
      </c>
      <c r="AZ359">
        <f t="shared" si="41"/>
        <v>1</v>
      </c>
    </row>
    <row r="360" spans="1:52" x14ac:dyDescent="0.2">
      <c r="A360">
        <f t="shared" si="35"/>
        <v>356</v>
      </c>
      <c r="B360">
        <v>2.4394304850027831E-2</v>
      </c>
      <c r="C360">
        <v>3.1086597737632542E-2</v>
      </c>
      <c r="D360">
        <v>3.7317221247868841E-2</v>
      </c>
      <c r="E360">
        <v>1.2673814510611336E-2</v>
      </c>
      <c r="F360">
        <v>3.5338386066713356E-3</v>
      </c>
      <c r="G360">
        <v>2.8286168222837693E-2</v>
      </c>
      <c r="H360">
        <v>4.7072041092429129E-2</v>
      </c>
      <c r="I360">
        <v>0.12958172483535441</v>
      </c>
      <c r="J360">
        <v>0</v>
      </c>
      <c r="K360">
        <v>0.45109208257725264</v>
      </c>
      <c r="L360">
        <v>0.25035029622793037</v>
      </c>
      <c r="M360">
        <v>0.74964970377206963</v>
      </c>
      <c r="N360">
        <v>5.2905077658000142E-2</v>
      </c>
      <c r="O360" s="72">
        <v>0.9931618785128814</v>
      </c>
      <c r="P360">
        <v>0.99816480255316764</v>
      </c>
      <c r="Q360">
        <v>0.96594317570712251</v>
      </c>
      <c r="R360">
        <v>0.50154083619392309</v>
      </c>
      <c r="S360">
        <v>0.32053000194882564</v>
      </c>
      <c r="T360">
        <v>0.24883930660799858</v>
      </c>
      <c r="U360">
        <v>0.78250462706862411</v>
      </c>
      <c r="V360">
        <v>0.69017861733068275</v>
      </c>
      <c r="W360">
        <v>0.41349300894357266</v>
      </c>
      <c r="X360">
        <v>0.42919460552219291</v>
      </c>
      <c r="Y360">
        <v>0.44309343939861856</v>
      </c>
      <c r="Z360">
        <v>0.47795166564615044</v>
      </c>
      <c r="AA360">
        <v>0.75342542652900724</v>
      </c>
      <c r="AB360">
        <v>0.79133130368998805</v>
      </c>
      <c r="AC360">
        <v>0.68240844456409544</v>
      </c>
      <c r="AD360">
        <v>0.61456355886622704</v>
      </c>
      <c r="AE360">
        <v>219.17399127771816</v>
      </c>
      <c r="AF360">
        <v>1174.5093582960544</v>
      </c>
      <c r="AG360">
        <v>1925.3431300775833</v>
      </c>
      <c r="AH360">
        <v>11960.662771804025</v>
      </c>
      <c r="AI360">
        <v>17413.428559006195</v>
      </c>
      <c r="AJ360">
        <v>45148.949588060299</v>
      </c>
      <c r="AK360">
        <v>17288.114389830913</v>
      </c>
      <c r="AL360">
        <v>1847.858254302919</v>
      </c>
      <c r="AM360">
        <v>512.0220248347274</v>
      </c>
      <c r="AO360">
        <v>45270.930143507605</v>
      </c>
      <c r="AP360">
        <v>12.897793665383444</v>
      </c>
      <c r="AQ360">
        <v>48630.969902990109</v>
      </c>
      <c r="AR360">
        <v>13.058481766801686</v>
      </c>
      <c r="AS360" s="2">
        <f t="shared" si="36"/>
        <v>3360.0397594825045</v>
      </c>
      <c r="AT360" s="2">
        <f t="shared" si="37"/>
        <v>0.1606881014182413</v>
      </c>
      <c r="AV360">
        <f t="shared" si="38"/>
        <v>1244508.4363948368</v>
      </c>
      <c r="AW360">
        <f t="shared" si="39"/>
        <v>1257217.2067771784</v>
      </c>
      <c r="AY360">
        <f t="shared" si="40"/>
        <v>0</v>
      </c>
      <c r="AZ360">
        <f t="shared" si="41"/>
        <v>1</v>
      </c>
    </row>
    <row r="361" spans="1:52" x14ac:dyDescent="0.2">
      <c r="A361">
        <f t="shared" si="35"/>
        <v>357</v>
      </c>
      <c r="B361">
        <v>1.8436432973742558E-2</v>
      </c>
      <c r="C361">
        <v>4.4031633547908511E-2</v>
      </c>
      <c r="D361">
        <v>3.3846418394133305E-2</v>
      </c>
      <c r="E361">
        <v>1.4447557235197306E-2</v>
      </c>
      <c r="F361">
        <v>3.4207624054419794E-3</v>
      </c>
      <c r="G361">
        <v>9.9536118450775125E-3</v>
      </c>
      <c r="H361">
        <v>2.3345427036289008E-2</v>
      </c>
      <c r="I361">
        <v>0.13517339901396619</v>
      </c>
      <c r="J361">
        <v>0</v>
      </c>
      <c r="K361">
        <v>0.4442480973761268</v>
      </c>
      <c r="L361">
        <v>0.16582226965381866</v>
      </c>
      <c r="M361">
        <v>0.83417773034618137</v>
      </c>
      <c r="N361">
        <v>4.8729764503688613E-2</v>
      </c>
      <c r="O361" s="72">
        <v>0.99756239171863614</v>
      </c>
      <c r="P361">
        <v>0.99873298436797386</v>
      </c>
      <c r="Q361">
        <v>0.97881783050063886</v>
      </c>
      <c r="R361">
        <v>0.4802694156190187</v>
      </c>
      <c r="S361">
        <v>0.38176650938283352</v>
      </c>
      <c r="T361">
        <v>0.2141660214202793</v>
      </c>
      <c r="U361">
        <v>0.78666425957193808</v>
      </c>
      <c r="V361">
        <v>0.65640541252366613</v>
      </c>
      <c r="W361">
        <v>0.50116765681617559</v>
      </c>
      <c r="X361">
        <v>0.46450504385876656</v>
      </c>
      <c r="Y361">
        <v>0.4431728897108132</v>
      </c>
      <c r="Z361">
        <v>0.39554269463773861</v>
      </c>
      <c r="AA361">
        <v>0.74753664109727869</v>
      </c>
      <c r="AB361">
        <v>0.83694572583411775</v>
      </c>
      <c r="AC361">
        <v>0.70072669776935403</v>
      </c>
      <c r="AD361">
        <v>0.51651363397020478</v>
      </c>
      <c r="AE361">
        <v>142.65936971312462</v>
      </c>
      <c r="AF361">
        <v>920.79363444024818</v>
      </c>
      <c r="AG361">
        <v>1373.9743930360687</v>
      </c>
      <c r="AH361">
        <v>11169.672343681796</v>
      </c>
      <c r="AI361">
        <v>14458.619225329463</v>
      </c>
      <c r="AJ361">
        <v>37388.810162907343</v>
      </c>
      <c r="AK361">
        <v>16236.156686641143</v>
      </c>
      <c r="AL361">
        <v>1364.209892013874</v>
      </c>
      <c r="AM361">
        <v>403.30425480975066</v>
      </c>
      <c r="AO361">
        <v>44048.05027993254</v>
      </c>
      <c r="AP361">
        <v>13.416669795197928</v>
      </c>
      <c r="AQ361">
        <v>46674.161180321586</v>
      </c>
      <c r="AR361">
        <v>13.592110454711118</v>
      </c>
      <c r="AS361" s="2">
        <f t="shared" si="36"/>
        <v>2626.1109003890451</v>
      </c>
      <c r="AT361" s="2">
        <f t="shared" si="37"/>
        <v>0.17544065951319077</v>
      </c>
      <c r="AV361">
        <f t="shared" si="38"/>
        <v>1297618.9292398603</v>
      </c>
      <c r="AW361">
        <f t="shared" si="39"/>
        <v>1312536.8842907902</v>
      </c>
      <c r="AY361">
        <f t="shared" si="40"/>
        <v>0</v>
      </c>
      <c r="AZ361">
        <f t="shared" si="41"/>
        <v>1</v>
      </c>
    </row>
    <row r="362" spans="1:52" x14ac:dyDescent="0.2">
      <c r="A362">
        <f t="shared" si="35"/>
        <v>358</v>
      </c>
      <c r="B362">
        <v>2.2117071301119055E-2</v>
      </c>
      <c r="C362">
        <v>5.0507462771952172E-2</v>
      </c>
      <c r="D362">
        <v>3.0531971639419928E-2</v>
      </c>
      <c r="E362">
        <v>6.8928592861429716E-3</v>
      </c>
      <c r="F362">
        <v>3.3344815140651978E-3</v>
      </c>
      <c r="G362">
        <v>8.8594594312560986E-3</v>
      </c>
      <c r="H362">
        <v>2.7154729900757665E-2</v>
      </c>
      <c r="I362">
        <v>0.10221750666342833</v>
      </c>
      <c r="J362">
        <v>0</v>
      </c>
      <c r="K362">
        <v>0.45621788077124215</v>
      </c>
      <c r="L362">
        <v>0.24439695989636756</v>
      </c>
      <c r="M362">
        <v>0.75560304010363244</v>
      </c>
      <c r="N362">
        <v>6.3331885439208979E-2</v>
      </c>
      <c r="O362" s="72">
        <v>0.99415442056594872</v>
      </c>
      <c r="P362">
        <v>0.999806595973876</v>
      </c>
      <c r="Q362">
        <v>0.99192856657017736</v>
      </c>
      <c r="R362">
        <v>0.47596991973434488</v>
      </c>
      <c r="S362">
        <v>0.36384095570264419</v>
      </c>
      <c r="T362">
        <v>0.13627610084223829</v>
      </c>
      <c r="U362">
        <v>0.75060981011835493</v>
      </c>
      <c r="V362">
        <v>0.72244374905972841</v>
      </c>
      <c r="W362">
        <v>0.57908171393745822</v>
      </c>
      <c r="X362">
        <v>0.46470345889708231</v>
      </c>
      <c r="Y362">
        <v>0.40184982300393007</v>
      </c>
      <c r="Z362">
        <v>0.42733272085546919</v>
      </c>
      <c r="AA362">
        <v>0.657550358945034</v>
      </c>
      <c r="AB362">
        <v>0.87828885169339233</v>
      </c>
      <c r="AC362">
        <v>0.73387169075832803</v>
      </c>
      <c r="AD362">
        <v>0.66800364397084788</v>
      </c>
      <c r="AE362">
        <v>166.87704778462643</v>
      </c>
      <c r="AF362">
        <v>1079.5617854597169</v>
      </c>
      <c r="AG362">
        <v>1499.356192566861</v>
      </c>
      <c r="AH362">
        <v>11971.807462698476</v>
      </c>
      <c r="AI362">
        <v>13740.937399493896</v>
      </c>
      <c r="AJ362">
        <v>34159.405957632232</v>
      </c>
      <c r="AK362">
        <v>14644.638547724857</v>
      </c>
      <c r="AL362">
        <v>2832.2112015054254</v>
      </c>
      <c r="AM362">
        <v>487.29113293616831</v>
      </c>
      <c r="AO362">
        <v>48657.929894504385</v>
      </c>
      <c r="AP362">
        <v>14.141786368541549</v>
      </c>
      <c r="AQ362">
        <v>48029.374037403621</v>
      </c>
      <c r="AR362">
        <v>14.434836580661138</v>
      </c>
      <c r="AS362" s="2">
        <f t="shared" si="36"/>
        <v>-628.55585710076411</v>
      </c>
      <c r="AT362" s="2">
        <f t="shared" si="37"/>
        <v>0.29305021211958859</v>
      </c>
      <c r="AV362">
        <f t="shared" si="38"/>
        <v>1365520.7069596506</v>
      </c>
      <c r="AW362">
        <f t="shared" si="39"/>
        <v>1395454.2840287101</v>
      </c>
      <c r="AY362">
        <f t="shared" si="40"/>
        <v>0</v>
      </c>
      <c r="AZ362">
        <f t="shared" si="41"/>
        <v>1</v>
      </c>
    </row>
    <row r="363" spans="1:52" x14ac:dyDescent="0.2">
      <c r="A363">
        <f t="shared" si="35"/>
        <v>359</v>
      </c>
      <c r="B363">
        <v>2.5387453066927024E-2</v>
      </c>
      <c r="C363">
        <v>3.3798002618258938E-2</v>
      </c>
      <c r="D363">
        <v>4.1155832781317514E-2</v>
      </c>
      <c r="E363">
        <v>1.388553882717336E-2</v>
      </c>
      <c r="F363">
        <v>3.4098131707313017E-3</v>
      </c>
      <c r="G363">
        <v>1.4024010378747009E-2</v>
      </c>
      <c r="H363">
        <v>3.536131189014069E-2</v>
      </c>
      <c r="I363">
        <v>0.13020907654751668</v>
      </c>
      <c r="J363">
        <v>0</v>
      </c>
      <c r="K363">
        <v>0.40742129636832924</v>
      </c>
      <c r="L363">
        <v>0.18332909996810934</v>
      </c>
      <c r="M363">
        <v>0.81667090003189069</v>
      </c>
      <c r="N363">
        <v>6.1402603573745718E-2</v>
      </c>
      <c r="O363" s="72">
        <v>0.99995243796075661</v>
      </c>
      <c r="P363">
        <v>0.85886210522938644</v>
      </c>
      <c r="Q363">
        <v>0.98066226828620529</v>
      </c>
      <c r="R363">
        <v>0.45669262750279127</v>
      </c>
      <c r="S363">
        <v>0.57288698478413413</v>
      </c>
      <c r="T363">
        <v>0.32093992071434829</v>
      </c>
      <c r="U363">
        <v>0.75882912016566628</v>
      </c>
      <c r="V363">
        <v>0.59553519590829129</v>
      </c>
      <c r="W363">
        <v>0.52537255646734482</v>
      </c>
      <c r="X363">
        <v>0.44752040533549003</v>
      </c>
      <c r="Y363">
        <v>0.46541053002699595</v>
      </c>
      <c r="Z363">
        <v>0.45012047933104249</v>
      </c>
      <c r="AA363">
        <v>0.6521039990352131</v>
      </c>
      <c r="AB363">
        <v>0.81201157405597579</v>
      </c>
      <c r="AC363">
        <v>0.77626386791164814</v>
      </c>
      <c r="AD363">
        <v>0.58540282097980711</v>
      </c>
      <c r="AE363">
        <v>208.65920503038492</v>
      </c>
      <c r="AF363">
        <v>1184.8498100342522</v>
      </c>
      <c r="AG363">
        <v>2575.6495364865868</v>
      </c>
      <c r="AH363">
        <v>10491.368624595183</v>
      </c>
      <c r="AI363">
        <v>14967.950554057948</v>
      </c>
      <c r="AJ363">
        <v>38989.326868137621</v>
      </c>
      <c r="AK363">
        <v>19900.629785102348</v>
      </c>
      <c r="AL363">
        <v>2021.5167128116959</v>
      </c>
      <c r="AM363">
        <v>327.34792303080161</v>
      </c>
      <c r="AO363">
        <v>41304.121894647076</v>
      </c>
      <c r="AP363">
        <v>13.325885273582138</v>
      </c>
      <c r="AQ363">
        <v>50637.336367834396</v>
      </c>
      <c r="AR363">
        <v>13.467814612112541</v>
      </c>
      <c r="AS363" s="2">
        <f t="shared" si="36"/>
        <v>9333.2144731873195</v>
      </c>
      <c r="AT363" s="2">
        <f t="shared" si="37"/>
        <v>0.14192933853040302</v>
      </c>
      <c r="AV363">
        <f t="shared" si="38"/>
        <v>1291284.4054635665</v>
      </c>
      <c r="AW363">
        <f t="shared" si="39"/>
        <v>1296144.1248434198</v>
      </c>
      <c r="AY363">
        <f t="shared" si="40"/>
        <v>0</v>
      </c>
      <c r="AZ363">
        <f t="shared" si="41"/>
        <v>1</v>
      </c>
    </row>
    <row r="364" spans="1:52" x14ac:dyDescent="0.2">
      <c r="A364">
        <f t="shared" si="35"/>
        <v>360</v>
      </c>
      <c r="B364">
        <v>2.2597805782886532E-2</v>
      </c>
      <c r="C364">
        <v>3.1073449188730319E-2</v>
      </c>
      <c r="D364">
        <v>3.3948765763890401E-2</v>
      </c>
      <c r="E364">
        <v>8.5022050710290564E-3</v>
      </c>
      <c r="F364">
        <v>3.2713433368410649E-3</v>
      </c>
      <c r="G364">
        <v>3.2314223832081647E-3</v>
      </c>
      <c r="H364">
        <v>1.5605145926609486E-2</v>
      </c>
      <c r="I364">
        <v>0.13451154350695338</v>
      </c>
      <c r="J364">
        <v>0</v>
      </c>
      <c r="K364">
        <v>0.39546376225102503</v>
      </c>
      <c r="L364">
        <v>0.22084082275723704</v>
      </c>
      <c r="M364">
        <v>0.77915917724276296</v>
      </c>
      <c r="N364">
        <v>7.8426305341566804E-2</v>
      </c>
      <c r="O364" s="72">
        <v>0.99999936402783884</v>
      </c>
      <c r="P364">
        <v>0.99069812742364394</v>
      </c>
      <c r="Q364">
        <v>0.8980555943062466</v>
      </c>
      <c r="R364">
        <v>0.48586556484489818</v>
      </c>
      <c r="S364">
        <v>0.37694487219098449</v>
      </c>
      <c r="T364">
        <v>0.19268210208816205</v>
      </c>
      <c r="U364">
        <v>0.75507798249897795</v>
      </c>
      <c r="V364">
        <v>0.64139282995982216</v>
      </c>
      <c r="W364">
        <v>0.59812825201489539</v>
      </c>
      <c r="X364">
        <v>0.45093773739029863</v>
      </c>
      <c r="Y364">
        <v>0.45483122317515212</v>
      </c>
      <c r="Z364">
        <v>0.43486521036663861</v>
      </c>
      <c r="AA364">
        <v>0.66219636844326524</v>
      </c>
      <c r="AB364">
        <v>0.8630364083191826</v>
      </c>
      <c r="AC364">
        <v>0.72295398532161204</v>
      </c>
      <c r="AD364">
        <v>0.67951105036649329</v>
      </c>
      <c r="AE364">
        <v>189.54618524469365</v>
      </c>
      <c r="AF364">
        <v>951.05225657766073</v>
      </c>
      <c r="AG364">
        <v>1481.6630295306577</v>
      </c>
      <c r="AH364">
        <v>12316.331975993664</v>
      </c>
      <c r="AI364">
        <v>10016.355413582323</v>
      </c>
      <c r="AJ364">
        <v>38052.60053044121</v>
      </c>
      <c r="AK364">
        <v>14674.037081634322</v>
      </c>
      <c r="AL364">
        <v>1586.547991702017</v>
      </c>
      <c r="AM364">
        <v>465.03952430222557</v>
      </c>
      <c r="AO364">
        <v>45457.944662348178</v>
      </c>
      <c r="AP364">
        <v>13.960189445543328</v>
      </c>
      <c r="AQ364">
        <v>48251.734643837313</v>
      </c>
      <c r="AR364">
        <v>14.212703675390998</v>
      </c>
      <c r="AS364" s="2">
        <f t="shared" si="36"/>
        <v>2793.7899814891352</v>
      </c>
      <c r="AT364" s="2">
        <f t="shared" si="37"/>
        <v>0.25251422984766947</v>
      </c>
      <c r="AV364">
        <f t="shared" si="38"/>
        <v>1350560.9998919847</v>
      </c>
      <c r="AW364">
        <f t="shared" si="39"/>
        <v>1373018.6328952624</v>
      </c>
      <c r="AY364">
        <f t="shared" si="40"/>
        <v>0</v>
      </c>
      <c r="AZ364">
        <f t="shared" si="41"/>
        <v>1</v>
      </c>
    </row>
    <row r="365" spans="1:52" x14ac:dyDescent="0.2">
      <c r="A365">
        <f t="shared" si="35"/>
        <v>361</v>
      </c>
      <c r="B365">
        <v>2.7047418787325528E-2</v>
      </c>
      <c r="C365">
        <v>3.4703145535728369E-2</v>
      </c>
      <c r="D365">
        <v>3.7732009771223804E-2</v>
      </c>
      <c r="E365">
        <v>9.5515274895130592E-3</v>
      </c>
      <c r="F365">
        <v>3.459686416519836E-3</v>
      </c>
      <c r="G365">
        <v>4.1068942778449379E-3</v>
      </c>
      <c r="H365">
        <v>2.9933815691115861E-2</v>
      </c>
      <c r="I365">
        <v>0.1217562598500013</v>
      </c>
      <c r="J365">
        <v>0</v>
      </c>
      <c r="K365">
        <v>0.42629602047067361</v>
      </c>
      <c r="L365">
        <v>0.23112318599767079</v>
      </c>
      <c r="M365">
        <v>0.76887681400232921</v>
      </c>
      <c r="N365">
        <v>5.8299803366814396E-2</v>
      </c>
      <c r="O365" s="72">
        <v>0.99745649091611577</v>
      </c>
      <c r="P365">
        <v>0.99922973313352337</v>
      </c>
      <c r="Q365">
        <v>0.98663957488164089</v>
      </c>
      <c r="R365">
        <v>0.48871180113781498</v>
      </c>
      <c r="S365">
        <v>0.45804245370555419</v>
      </c>
      <c r="T365">
        <v>0.2561980187353643</v>
      </c>
      <c r="U365">
        <v>0.78603196213031745</v>
      </c>
      <c r="V365">
        <v>0.63042816964981896</v>
      </c>
      <c r="W365">
        <v>0.54588881506525666</v>
      </c>
      <c r="X365">
        <v>0.46360032654004568</v>
      </c>
      <c r="Y365">
        <v>0.44048066715607959</v>
      </c>
      <c r="Z365">
        <v>0.50596069268097388</v>
      </c>
      <c r="AA365">
        <v>0.55097718367744775</v>
      </c>
      <c r="AB365">
        <v>0.81051138579769566</v>
      </c>
      <c r="AC365">
        <v>0.69730397309440428</v>
      </c>
      <c r="AD365">
        <v>0.61911620154709812</v>
      </c>
      <c r="AE365">
        <v>204.38597119384661</v>
      </c>
      <c r="AF365">
        <v>1229.769503918016</v>
      </c>
      <c r="AG365">
        <v>1293.1568657268103</v>
      </c>
      <c r="AH365">
        <v>13653.570330210114</v>
      </c>
      <c r="AI365">
        <v>16409.5319290638</v>
      </c>
      <c r="AJ365">
        <v>37698.128489906048</v>
      </c>
      <c r="AK365">
        <v>12097.482790621705</v>
      </c>
      <c r="AL365">
        <v>1950.5605168014445</v>
      </c>
      <c r="AM365">
        <v>343.67124982855211</v>
      </c>
      <c r="AO365">
        <v>41587.027002067633</v>
      </c>
      <c r="AP365">
        <v>13.204592951813469</v>
      </c>
      <c r="AQ365">
        <v>45852.27151076177</v>
      </c>
      <c r="AR365">
        <v>13.359789754747119</v>
      </c>
      <c r="AS365" s="2">
        <f t="shared" si="36"/>
        <v>4265.244508694137</v>
      </c>
      <c r="AT365" s="2">
        <f t="shared" si="37"/>
        <v>0.15519680293365035</v>
      </c>
      <c r="AV365">
        <f t="shared" si="38"/>
        <v>1278872.2681792793</v>
      </c>
      <c r="AW365">
        <f t="shared" si="39"/>
        <v>1290126.7039639503</v>
      </c>
      <c r="AY365">
        <f t="shared" si="40"/>
        <v>0</v>
      </c>
      <c r="AZ365">
        <f t="shared" si="41"/>
        <v>1</v>
      </c>
    </row>
    <row r="366" spans="1:52" x14ac:dyDescent="0.2">
      <c r="A366">
        <f t="shared" si="35"/>
        <v>362</v>
      </c>
      <c r="B366">
        <v>2.8653628633103945E-2</v>
      </c>
      <c r="C366">
        <v>3.5783648442338979E-2</v>
      </c>
      <c r="D366">
        <v>3.1731761566480943E-2</v>
      </c>
      <c r="E366">
        <v>1.9859865832318802E-2</v>
      </c>
      <c r="F366">
        <v>3.450127073749587E-3</v>
      </c>
      <c r="G366">
        <v>1.0293611184362436E-2</v>
      </c>
      <c r="H366">
        <v>2.5567948021496395E-2</v>
      </c>
      <c r="I366">
        <v>0.1453849051045939</v>
      </c>
      <c r="J366">
        <v>0</v>
      </c>
      <c r="K366">
        <v>0.42184772662822179</v>
      </c>
      <c r="L366">
        <v>0.25494296718071296</v>
      </c>
      <c r="M366">
        <v>0.74505703281928704</v>
      </c>
      <c r="N366">
        <v>6.5570583654739112E-2</v>
      </c>
      <c r="O366" s="72">
        <v>0.99785410547449338</v>
      </c>
      <c r="P366">
        <v>0.99653982325857948</v>
      </c>
      <c r="Q366">
        <v>0.91850670136638957</v>
      </c>
      <c r="R366">
        <v>0.47423684405319211</v>
      </c>
      <c r="S366">
        <v>0.43344314101513337</v>
      </c>
      <c r="T366">
        <v>0.14832169854651223</v>
      </c>
      <c r="U366">
        <v>0.78104810230198352</v>
      </c>
      <c r="V366">
        <v>0.64386576844334109</v>
      </c>
      <c r="W366">
        <v>0.52860170037023646</v>
      </c>
      <c r="X366">
        <v>0.41289302524627708</v>
      </c>
      <c r="Y366">
        <v>0.41139955033892706</v>
      </c>
      <c r="Z366">
        <v>0.44598137971491009</v>
      </c>
      <c r="AA366">
        <v>0.70877104237263655</v>
      </c>
      <c r="AB366">
        <v>0.79035162934660774</v>
      </c>
      <c r="AC366">
        <v>0.7435077856282335</v>
      </c>
      <c r="AD366">
        <v>0.51346704697127343</v>
      </c>
      <c r="AE366">
        <v>209.53849843936499</v>
      </c>
      <c r="AF366">
        <v>978.98910556029887</v>
      </c>
      <c r="AG366">
        <v>1892.5687329116984</v>
      </c>
      <c r="AH366">
        <v>12204.062493145331</v>
      </c>
      <c r="AI366">
        <v>5744.4097369174033</v>
      </c>
      <c r="AJ366">
        <v>39528.708718185539</v>
      </c>
      <c r="AK366">
        <v>7805.7823265538827</v>
      </c>
      <c r="AL366">
        <v>1787.6781571637603</v>
      </c>
      <c r="AM366">
        <v>568.50801217396736</v>
      </c>
      <c r="AO366">
        <v>48115.204767102819</v>
      </c>
      <c r="AP366">
        <v>12.858757816030524</v>
      </c>
      <c r="AQ366">
        <v>49660.024371733569</v>
      </c>
      <c r="AR366">
        <v>13.015344339820262</v>
      </c>
      <c r="AS366" s="2">
        <f t="shared" si="36"/>
        <v>1544.8196046307494</v>
      </c>
      <c r="AT366" s="2">
        <f t="shared" si="37"/>
        <v>0.1565865237897377</v>
      </c>
      <c r="AV366">
        <f t="shared" si="38"/>
        <v>1237760.5768359494</v>
      </c>
      <c r="AW366">
        <f t="shared" si="39"/>
        <v>1251874.4096102924</v>
      </c>
      <c r="AY366">
        <f t="shared" si="40"/>
        <v>0</v>
      </c>
      <c r="AZ366">
        <f t="shared" si="41"/>
        <v>1</v>
      </c>
    </row>
    <row r="367" spans="1:52" x14ac:dyDescent="0.2">
      <c r="A367">
        <f t="shared" si="35"/>
        <v>363</v>
      </c>
      <c r="B367">
        <v>2.1822343954610728E-2</v>
      </c>
      <c r="C367">
        <v>3.8614588434722763E-2</v>
      </c>
      <c r="D367">
        <v>4.2887858378773736E-2</v>
      </c>
      <c r="E367">
        <v>4.67012691814937E-3</v>
      </c>
      <c r="F367">
        <v>3.4319233707250651E-3</v>
      </c>
      <c r="G367">
        <v>1.2662254177521981E-2</v>
      </c>
      <c r="H367">
        <v>2.95201289563638E-2</v>
      </c>
      <c r="I367">
        <v>0.14044868468035798</v>
      </c>
      <c r="J367">
        <v>0</v>
      </c>
      <c r="K367">
        <v>0.40754309512983544</v>
      </c>
      <c r="L367">
        <v>0.17248062959891408</v>
      </c>
      <c r="M367">
        <v>0.82751937040108592</v>
      </c>
      <c r="N367">
        <v>7.4561212726384052E-2</v>
      </c>
      <c r="O367" s="72">
        <v>0.99856321995205533</v>
      </c>
      <c r="P367">
        <v>0.98740624230305696</v>
      </c>
      <c r="Q367">
        <v>0.9948469535895077</v>
      </c>
      <c r="R367">
        <v>0.48743515699285378</v>
      </c>
      <c r="S367">
        <v>0.33630320993922769</v>
      </c>
      <c r="T367">
        <v>0.20468214587973943</v>
      </c>
      <c r="U367">
        <v>0.78434936724940441</v>
      </c>
      <c r="V367">
        <v>0.6726156020495917</v>
      </c>
      <c r="W367">
        <v>0.57761794670897082</v>
      </c>
      <c r="X367">
        <v>0.55047324193770331</v>
      </c>
      <c r="Y367">
        <v>0.42784663689648689</v>
      </c>
      <c r="Z367">
        <v>0.42105238350765622</v>
      </c>
      <c r="AA367">
        <v>0.57546712028513236</v>
      </c>
      <c r="AB367">
        <v>0.75453051063470122</v>
      </c>
      <c r="AC367">
        <v>0.75613094236871436</v>
      </c>
      <c r="AD367">
        <v>0.62750040911200844</v>
      </c>
      <c r="AE367">
        <v>256.25759698309946</v>
      </c>
      <c r="AF367">
        <v>1175.0121695617697</v>
      </c>
      <c r="AG367">
        <v>1241.4732990115149</v>
      </c>
      <c r="AH367">
        <v>12588.345857336573</v>
      </c>
      <c r="AI367">
        <v>14873.495303367416</v>
      </c>
      <c r="AJ367">
        <v>38164.40719127476</v>
      </c>
      <c r="AK367">
        <v>8271.5792592394646</v>
      </c>
      <c r="AL367">
        <v>2109.9793642085424</v>
      </c>
      <c r="AM367">
        <v>366.37438703348681</v>
      </c>
      <c r="AO367">
        <v>44362.520368173566</v>
      </c>
      <c r="AP367">
        <v>12.594446840654593</v>
      </c>
      <c r="AQ367">
        <v>46520.410347188546</v>
      </c>
      <c r="AR367">
        <v>12.702630854766809</v>
      </c>
      <c r="AS367" s="2">
        <f t="shared" si="36"/>
        <v>2157.8899790149808</v>
      </c>
      <c r="AT367" s="2">
        <f t="shared" si="37"/>
        <v>0.10818401411221679</v>
      </c>
      <c r="AV367">
        <f t="shared" si="38"/>
        <v>1215082.1636972858</v>
      </c>
      <c r="AW367">
        <f t="shared" si="39"/>
        <v>1223742.6751294923</v>
      </c>
      <c r="AY367">
        <f t="shared" si="40"/>
        <v>0</v>
      </c>
      <c r="AZ367">
        <f t="shared" si="41"/>
        <v>1</v>
      </c>
    </row>
    <row r="368" spans="1:52" x14ac:dyDescent="0.2">
      <c r="A368">
        <f t="shared" si="35"/>
        <v>364</v>
      </c>
      <c r="B368">
        <v>2.7453905133262513E-2</v>
      </c>
      <c r="C368">
        <v>3.2342752330007843E-2</v>
      </c>
      <c r="D368">
        <v>1.9928353093758833E-2</v>
      </c>
      <c r="E368">
        <v>1.9299263438919523E-2</v>
      </c>
      <c r="F368">
        <v>3.2023319765683718E-3</v>
      </c>
      <c r="G368">
        <v>1.4883319961500052E-2</v>
      </c>
      <c r="H368">
        <v>1.9248576813448427E-2</v>
      </c>
      <c r="I368">
        <v>0.12212392844602635</v>
      </c>
      <c r="J368">
        <v>0</v>
      </c>
      <c r="K368">
        <v>0.41658094626184539</v>
      </c>
      <c r="L368">
        <v>0.26725503045004162</v>
      </c>
      <c r="M368">
        <v>0.73274496954995838</v>
      </c>
      <c r="N368">
        <v>6.9841601930943686E-2</v>
      </c>
      <c r="O368" s="72">
        <v>0.99904230068063282</v>
      </c>
      <c r="P368">
        <v>0.99998320497705351</v>
      </c>
      <c r="Q368">
        <v>0.94483394293792633</v>
      </c>
      <c r="R368">
        <v>0.4411895588909045</v>
      </c>
      <c r="S368">
        <v>0.43037274725974972</v>
      </c>
      <c r="T368">
        <v>0.24323645287687401</v>
      </c>
      <c r="U368">
        <v>0.78235983774912043</v>
      </c>
      <c r="V368">
        <v>0.63453306028064205</v>
      </c>
      <c r="W368">
        <v>0.6197722895006319</v>
      </c>
      <c r="X368">
        <v>0.46186969176630921</v>
      </c>
      <c r="Y368">
        <v>0.46083114659341662</v>
      </c>
      <c r="Z368">
        <v>0.45437884282130003</v>
      </c>
      <c r="AA368">
        <v>0.69933679396691839</v>
      </c>
      <c r="AB368">
        <v>0.85390841243488791</v>
      </c>
      <c r="AC368">
        <v>0.73154920955811764</v>
      </c>
      <c r="AD368">
        <v>0.66140269332686463</v>
      </c>
      <c r="AE368">
        <v>191.01386098109924</v>
      </c>
      <c r="AF368">
        <v>974.17394452182532</v>
      </c>
      <c r="AG368">
        <v>1655.3013085244854</v>
      </c>
      <c r="AH368">
        <v>16321.732743559372</v>
      </c>
      <c r="AI368">
        <v>10405.396468565932</v>
      </c>
      <c r="AJ368">
        <v>43836.772312206136</v>
      </c>
      <c r="AK368">
        <v>22282.877872991547</v>
      </c>
      <c r="AL368">
        <v>1199.8229387731308</v>
      </c>
      <c r="AM368">
        <v>289.08083172981213</v>
      </c>
      <c r="AO368">
        <v>43743.623833662496</v>
      </c>
      <c r="AP368">
        <v>13.864670758964362</v>
      </c>
      <c r="AQ368">
        <v>45131.420842806809</v>
      </c>
      <c r="AR368">
        <v>14.081368185816551</v>
      </c>
      <c r="AS368" s="2">
        <f t="shared" si="36"/>
        <v>1387.7970091443131</v>
      </c>
      <c r="AT368" s="2">
        <f t="shared" si="37"/>
        <v>0.21669742685218907</v>
      </c>
      <c r="AV368">
        <f t="shared" si="38"/>
        <v>1342723.4520627735</v>
      </c>
      <c r="AW368">
        <f t="shared" si="39"/>
        <v>1363005.3977388483</v>
      </c>
      <c r="AY368">
        <f t="shared" si="40"/>
        <v>0</v>
      </c>
      <c r="AZ368">
        <f t="shared" si="41"/>
        <v>1</v>
      </c>
    </row>
    <row r="369" spans="1:52" x14ac:dyDescent="0.2">
      <c r="A369">
        <f t="shared" si="35"/>
        <v>365</v>
      </c>
      <c r="B369">
        <v>2.8719669650169033E-2</v>
      </c>
      <c r="C369">
        <v>3.2821260678288867E-2</v>
      </c>
      <c r="D369">
        <v>8.0902898353618968E-2</v>
      </c>
      <c r="E369">
        <v>7.7514187270219873E-3</v>
      </c>
      <c r="F369">
        <v>3.2867399203577743E-3</v>
      </c>
      <c r="G369">
        <v>1.4331743281604692E-2</v>
      </c>
      <c r="H369">
        <v>2.1210147592934003E-2</v>
      </c>
      <c r="I369">
        <v>0.11864387772181599</v>
      </c>
      <c r="J369">
        <v>0</v>
      </c>
      <c r="K369">
        <v>0.44354532298463822</v>
      </c>
      <c r="L369">
        <v>0.14560169981324556</v>
      </c>
      <c r="M369">
        <v>0.85439830018675444</v>
      </c>
      <c r="N369">
        <v>5.4409499294137562E-2</v>
      </c>
      <c r="O369" s="72">
        <v>0.99985178834848898</v>
      </c>
      <c r="P369">
        <v>0.999999348172532</v>
      </c>
      <c r="Q369">
        <v>0.97745043072364424</v>
      </c>
      <c r="R369">
        <v>0.47274089984595213</v>
      </c>
      <c r="S369">
        <v>0.41136912818616134</v>
      </c>
      <c r="T369">
        <v>0.31722515734782097</v>
      </c>
      <c r="U369">
        <v>0.76321724764898891</v>
      </c>
      <c r="V369">
        <v>0.65705102042921315</v>
      </c>
      <c r="W369">
        <v>0.61484229518877487</v>
      </c>
      <c r="X369">
        <v>0.44410990269827522</v>
      </c>
      <c r="Y369">
        <v>0.45522433284714359</v>
      </c>
      <c r="Z369">
        <v>0.45090111385719134</v>
      </c>
      <c r="AA369">
        <v>0.65259886373448828</v>
      </c>
      <c r="AB369">
        <v>0.82231875765783213</v>
      </c>
      <c r="AC369">
        <v>0.74277581990859687</v>
      </c>
      <c r="AD369">
        <v>0.61035144920477458</v>
      </c>
      <c r="AE369">
        <v>183.3978569236894</v>
      </c>
      <c r="AF369">
        <v>939.65190957280845</v>
      </c>
      <c r="AG369">
        <v>1279.39464556608</v>
      </c>
      <c r="AH369">
        <v>17460.104682367793</v>
      </c>
      <c r="AI369">
        <v>13605.017410206185</v>
      </c>
      <c r="AJ369">
        <v>36815.370521573845</v>
      </c>
      <c r="AK369">
        <v>15691.948706221001</v>
      </c>
      <c r="AL369">
        <v>2086.6350397486262</v>
      </c>
      <c r="AM369">
        <v>546.94560137625137</v>
      </c>
      <c r="AO369">
        <v>45319.041119120506</v>
      </c>
      <c r="AP369">
        <v>13.397575590963182</v>
      </c>
      <c r="AQ369">
        <v>49058.226404822948</v>
      </c>
      <c r="AR369">
        <v>13.593825326532693</v>
      </c>
      <c r="AS369" s="2">
        <f t="shared" si="36"/>
        <v>3739.1852857024423</v>
      </c>
      <c r="AT369" s="2">
        <f t="shared" si="37"/>
        <v>0.19624973556951097</v>
      </c>
      <c r="AV369">
        <f t="shared" si="38"/>
        <v>1294438.5179771977</v>
      </c>
      <c r="AW369">
        <f t="shared" si="39"/>
        <v>1310324.3062484465</v>
      </c>
      <c r="AY369">
        <f t="shared" si="40"/>
        <v>0</v>
      </c>
      <c r="AZ369">
        <f t="shared" si="41"/>
        <v>1</v>
      </c>
    </row>
    <row r="370" spans="1:52" x14ac:dyDescent="0.2">
      <c r="A370">
        <f t="shared" si="35"/>
        <v>366</v>
      </c>
      <c r="B370">
        <v>2.3710232927829807E-2</v>
      </c>
      <c r="C370">
        <v>5.100369531392368E-2</v>
      </c>
      <c r="D370">
        <v>2.8964085616081967E-2</v>
      </c>
      <c r="E370">
        <v>1.0619921150458858E-2</v>
      </c>
      <c r="F370">
        <v>3.4108773443564111E-3</v>
      </c>
      <c r="G370">
        <v>3.1337589837348134E-2</v>
      </c>
      <c r="H370">
        <v>2.0275972824067547E-2</v>
      </c>
      <c r="I370">
        <v>0.1449539902652176</v>
      </c>
      <c r="J370">
        <v>0</v>
      </c>
      <c r="K370">
        <v>0.4768910377815756</v>
      </c>
      <c r="L370">
        <v>0.17971183623221784</v>
      </c>
      <c r="M370">
        <v>0.82028816376778213</v>
      </c>
      <c r="N370">
        <v>5.4389016711886187E-2</v>
      </c>
      <c r="O370" s="72">
        <v>0.99984387835117783</v>
      </c>
      <c r="P370">
        <v>0.99381179105197015</v>
      </c>
      <c r="Q370">
        <v>0.97010614772101955</v>
      </c>
      <c r="R370">
        <v>0.5169375855463485</v>
      </c>
      <c r="S370">
        <v>0.34394780750707055</v>
      </c>
      <c r="T370">
        <v>0.1262549357347087</v>
      </c>
      <c r="U370">
        <v>0.78622539819525306</v>
      </c>
      <c r="V370">
        <v>0.64370414774123241</v>
      </c>
      <c r="W370">
        <v>0.5488082606872321</v>
      </c>
      <c r="X370">
        <v>0.44150164033315359</v>
      </c>
      <c r="Y370">
        <v>0.41604251784174773</v>
      </c>
      <c r="Z370">
        <v>0.45903263517660431</v>
      </c>
      <c r="AA370">
        <v>0.62400628841007943</v>
      </c>
      <c r="AB370">
        <v>0.81997976374902204</v>
      </c>
      <c r="AC370">
        <v>0.61431191602897761</v>
      </c>
      <c r="AD370">
        <v>0.53243547452006557</v>
      </c>
      <c r="AE370">
        <v>148.8055972042624</v>
      </c>
      <c r="AF370">
        <v>1062.787973377729</v>
      </c>
      <c r="AG370">
        <v>1553.7615757623962</v>
      </c>
      <c r="AH370">
        <v>12299.574131322799</v>
      </c>
      <c r="AI370">
        <v>9431.4548785172174</v>
      </c>
      <c r="AJ370">
        <v>41753.841453743429</v>
      </c>
      <c r="AK370">
        <v>16809.676651574828</v>
      </c>
      <c r="AL370">
        <v>2923.6744893551831</v>
      </c>
      <c r="AM370">
        <v>282.37885115281182</v>
      </c>
      <c r="AO370">
        <v>44070.437585035455</v>
      </c>
      <c r="AP370">
        <v>13.043283313695021</v>
      </c>
      <c r="AQ370">
        <v>44985.216477713926</v>
      </c>
      <c r="AR370">
        <v>13.219811020068711</v>
      </c>
      <c r="AS370" s="2">
        <f t="shared" si="36"/>
        <v>914.77889267847058</v>
      </c>
      <c r="AT370" s="2">
        <f t="shared" si="37"/>
        <v>0.17652770637369031</v>
      </c>
      <c r="AV370">
        <f t="shared" si="38"/>
        <v>1260257.8937844667</v>
      </c>
      <c r="AW370">
        <f t="shared" si="39"/>
        <v>1276995.885529157</v>
      </c>
      <c r="AY370">
        <f t="shared" si="40"/>
        <v>0</v>
      </c>
      <c r="AZ370">
        <f t="shared" si="41"/>
        <v>1</v>
      </c>
    </row>
    <row r="371" spans="1:52" x14ac:dyDescent="0.2">
      <c r="A371">
        <f t="shared" si="35"/>
        <v>367</v>
      </c>
      <c r="B371">
        <v>2.2837491517527054E-2</v>
      </c>
      <c r="C371">
        <v>3.883080818192941E-2</v>
      </c>
      <c r="D371">
        <v>5.3332109848789E-2</v>
      </c>
      <c r="E371">
        <v>1.4221597070273262E-2</v>
      </c>
      <c r="F371">
        <v>3.3244870397245154E-3</v>
      </c>
      <c r="G371">
        <v>2.1437123967300831E-3</v>
      </c>
      <c r="H371">
        <v>3.0191162029804208E-2</v>
      </c>
      <c r="I371">
        <v>0.12935792010634495</v>
      </c>
      <c r="J371">
        <v>0</v>
      </c>
      <c r="K371">
        <v>0.44547833456813146</v>
      </c>
      <c r="L371">
        <v>0.1713672216625434</v>
      </c>
      <c r="M371">
        <v>0.82863277833745663</v>
      </c>
      <c r="N371">
        <v>5.5193300111407669E-2</v>
      </c>
      <c r="O371" s="72">
        <v>0.9999998272784163</v>
      </c>
      <c r="P371">
        <v>0.99999992689088946</v>
      </c>
      <c r="Q371">
        <v>0.94105197748798231</v>
      </c>
      <c r="R371">
        <v>0.45361404109746184</v>
      </c>
      <c r="S371">
        <v>0.46068689484284953</v>
      </c>
      <c r="T371">
        <v>0.29567308403449621</v>
      </c>
      <c r="U371">
        <v>0.75212916299511312</v>
      </c>
      <c r="V371">
        <v>0.64743397665241487</v>
      </c>
      <c r="W371">
        <v>0.56339876482233464</v>
      </c>
      <c r="X371">
        <v>0.45563810083731227</v>
      </c>
      <c r="Y371">
        <v>0.4325664831892202</v>
      </c>
      <c r="Z371">
        <v>0.42937178935670539</v>
      </c>
      <c r="AA371">
        <v>0.58017358593290125</v>
      </c>
      <c r="AB371">
        <v>0.82986567861605254</v>
      </c>
      <c r="AC371">
        <v>0.77756121788752486</v>
      </c>
      <c r="AD371">
        <v>0.62133602660608944</v>
      </c>
      <c r="AE371">
        <v>157.79353475241845</v>
      </c>
      <c r="AF371">
        <v>1239.6277294444612</v>
      </c>
      <c r="AG371">
        <v>1775.01633268605</v>
      </c>
      <c r="AH371">
        <v>10596.492046766523</v>
      </c>
      <c r="AI371">
        <v>12880.990407443687</v>
      </c>
      <c r="AJ371">
        <v>40986.781560666714</v>
      </c>
      <c r="AK371">
        <v>13689.679020810427</v>
      </c>
      <c r="AL371">
        <v>2147.1956480582967</v>
      </c>
      <c r="AM371">
        <v>415.31721018152842</v>
      </c>
      <c r="AO371">
        <v>43688.095063702167</v>
      </c>
      <c r="AP371">
        <v>13.569151401624614</v>
      </c>
      <c r="AQ371">
        <v>47027.122965833616</v>
      </c>
      <c r="AR371">
        <v>13.774622699523169</v>
      </c>
      <c r="AS371" s="2">
        <f t="shared" si="36"/>
        <v>3339.0279021314491</v>
      </c>
      <c r="AT371" s="2">
        <f t="shared" si="37"/>
        <v>0.20547129789855489</v>
      </c>
      <c r="AV371">
        <f t="shared" si="38"/>
        <v>1313227.0450987592</v>
      </c>
      <c r="AW371">
        <f t="shared" si="39"/>
        <v>1330435.1469864834</v>
      </c>
      <c r="AY371">
        <f t="shared" si="40"/>
        <v>0</v>
      </c>
      <c r="AZ371">
        <f t="shared" si="41"/>
        <v>1</v>
      </c>
    </row>
    <row r="372" spans="1:52" x14ac:dyDescent="0.2">
      <c r="A372">
        <f t="shared" si="35"/>
        <v>368</v>
      </c>
      <c r="B372">
        <v>3.0908364933392773E-2</v>
      </c>
      <c r="C372">
        <v>4.3258378671057418E-2</v>
      </c>
      <c r="D372">
        <v>3.274075189165418E-2</v>
      </c>
      <c r="E372">
        <v>8.6615834493680051E-3</v>
      </c>
      <c r="F372">
        <v>3.2701663001301409E-3</v>
      </c>
      <c r="G372">
        <v>5.3424769911412815E-3</v>
      </c>
      <c r="H372">
        <v>4.3608167993338554E-2</v>
      </c>
      <c r="I372">
        <v>0.12383508699109468</v>
      </c>
      <c r="J372">
        <v>0</v>
      </c>
      <c r="K372">
        <v>0.42785872729990509</v>
      </c>
      <c r="L372">
        <v>0.23715943521651284</v>
      </c>
      <c r="M372">
        <v>0.76284056478348716</v>
      </c>
      <c r="N372">
        <v>4.3291889751101383E-2</v>
      </c>
      <c r="O372" s="72">
        <v>0.99957317842107574</v>
      </c>
      <c r="P372">
        <v>0.99817201258589661</v>
      </c>
      <c r="Q372">
        <v>0.91357154066575763</v>
      </c>
      <c r="R372">
        <v>0.47962197495106829</v>
      </c>
      <c r="S372">
        <v>0.35084098091533777</v>
      </c>
      <c r="T372">
        <v>0.19218471993300756</v>
      </c>
      <c r="U372">
        <v>0.76464208918901799</v>
      </c>
      <c r="V372">
        <v>0.68706846875973748</v>
      </c>
      <c r="W372">
        <v>0.54836427322188042</v>
      </c>
      <c r="X372">
        <v>0.42480834704976173</v>
      </c>
      <c r="Y372">
        <v>0.48016608432457875</v>
      </c>
      <c r="Z372">
        <v>0.44011076640169811</v>
      </c>
      <c r="AA372">
        <v>0.69971119830514406</v>
      </c>
      <c r="AB372">
        <v>0.78277810380816215</v>
      </c>
      <c r="AC372">
        <v>0.70944753271216743</v>
      </c>
      <c r="AD372">
        <v>0.61679197709456979</v>
      </c>
      <c r="AE372">
        <v>170.97941692902245</v>
      </c>
      <c r="AF372">
        <v>996.47616722746898</v>
      </c>
      <c r="AG372">
        <v>1738.688868133522</v>
      </c>
      <c r="AH372">
        <v>14243.709941353423</v>
      </c>
      <c r="AI372">
        <v>8098.0750052166795</v>
      </c>
      <c r="AJ372">
        <v>33906.719230919472</v>
      </c>
      <c r="AK372">
        <v>11151.973134047301</v>
      </c>
      <c r="AL372">
        <v>1643.0304530945721</v>
      </c>
      <c r="AM372">
        <v>347.00671935591799</v>
      </c>
      <c r="AO372">
        <v>44772.680829050289</v>
      </c>
      <c r="AP372">
        <v>12.834569666093424</v>
      </c>
      <c r="AQ372">
        <v>46166.003562738872</v>
      </c>
      <c r="AR372">
        <v>12.993002417009862</v>
      </c>
      <c r="AS372" s="2">
        <f t="shared" si="36"/>
        <v>1393.322733688583</v>
      </c>
      <c r="AT372" s="2">
        <f t="shared" si="37"/>
        <v>0.15843275091643783</v>
      </c>
      <c r="AV372">
        <f t="shared" si="38"/>
        <v>1238684.2857802922</v>
      </c>
      <c r="AW372">
        <f t="shared" si="39"/>
        <v>1253134.2381382473</v>
      </c>
      <c r="AY372">
        <f t="shared" si="40"/>
        <v>0</v>
      </c>
      <c r="AZ372">
        <f t="shared" si="41"/>
        <v>1</v>
      </c>
    </row>
    <row r="373" spans="1:52" x14ac:dyDescent="0.2">
      <c r="A373">
        <f t="shared" si="35"/>
        <v>369</v>
      </c>
      <c r="B373">
        <v>2.1200925120292768E-2</v>
      </c>
      <c r="C373">
        <v>2.6741854496016699E-2</v>
      </c>
      <c r="D373">
        <v>2.6848696729046714E-2</v>
      </c>
      <c r="E373">
        <v>4.3468785211555642E-3</v>
      </c>
      <c r="F373">
        <v>3.3003199741856236E-3</v>
      </c>
      <c r="G373">
        <v>1.5352757017328966E-2</v>
      </c>
      <c r="H373">
        <v>1.4953900474619449E-2</v>
      </c>
      <c r="I373">
        <v>0.12724441180903784</v>
      </c>
      <c r="J373">
        <v>0</v>
      </c>
      <c r="K373">
        <v>0.42526371511908029</v>
      </c>
      <c r="L373">
        <v>0.20888153136153143</v>
      </c>
      <c r="M373">
        <v>0.79111846863846857</v>
      </c>
      <c r="N373">
        <v>5.696054416117402E-2</v>
      </c>
      <c r="O373" s="72">
        <v>0.99998123396059868</v>
      </c>
      <c r="P373">
        <v>0.99825154870557287</v>
      </c>
      <c r="Q373">
        <v>0.94947821637697805</v>
      </c>
      <c r="R373">
        <v>0.44128668433181562</v>
      </c>
      <c r="S373">
        <v>0.30896018960506899</v>
      </c>
      <c r="T373">
        <v>0.20190064626716242</v>
      </c>
      <c r="U373">
        <v>0.77685833934167792</v>
      </c>
      <c r="V373">
        <v>0.58934509812756297</v>
      </c>
      <c r="W373">
        <v>0.57047058371820047</v>
      </c>
      <c r="X373">
        <v>0.41680897001053174</v>
      </c>
      <c r="Y373">
        <v>0.44290375442830909</v>
      </c>
      <c r="Z373">
        <v>0.43865201577494017</v>
      </c>
      <c r="AA373">
        <v>0.66130430758989922</v>
      </c>
      <c r="AB373">
        <v>0.75722282462250468</v>
      </c>
      <c r="AC373">
        <v>0.6560950244373237</v>
      </c>
      <c r="AD373">
        <v>0.61840803467515615</v>
      </c>
      <c r="AE373">
        <v>174.79381483713922</v>
      </c>
      <c r="AF373">
        <v>933.70028518138338</v>
      </c>
      <c r="AG373">
        <v>1108.3029831237773</v>
      </c>
      <c r="AH373">
        <v>12658.333015893455</v>
      </c>
      <c r="AI373">
        <v>10900.061918326834</v>
      </c>
      <c r="AJ373">
        <v>48834.340141127934</v>
      </c>
      <c r="AK373">
        <v>17415.888953126803</v>
      </c>
      <c r="AL373">
        <v>1775.4475916499746</v>
      </c>
      <c r="AM373">
        <v>425.07596969680901</v>
      </c>
      <c r="AO373">
        <v>48002.482370948564</v>
      </c>
      <c r="AP373">
        <v>12.436839251434758</v>
      </c>
      <c r="AQ373">
        <v>47158.937993648287</v>
      </c>
      <c r="AR373">
        <v>12.543842667292344</v>
      </c>
      <c r="AS373" s="2">
        <f t="shared" si="36"/>
        <v>-843.54437730027712</v>
      </c>
      <c r="AT373" s="2">
        <f t="shared" si="37"/>
        <v>0.10700341585758544</v>
      </c>
      <c r="AV373">
        <f t="shared" si="38"/>
        <v>1195681.4427725272</v>
      </c>
      <c r="AW373">
        <f t="shared" si="39"/>
        <v>1207225.3287355863</v>
      </c>
      <c r="AY373">
        <f t="shared" si="40"/>
        <v>0</v>
      </c>
      <c r="AZ373">
        <f t="shared" si="41"/>
        <v>1</v>
      </c>
    </row>
    <row r="374" spans="1:52" x14ac:dyDescent="0.2">
      <c r="A374">
        <f t="shared" si="35"/>
        <v>370</v>
      </c>
      <c r="B374">
        <v>2.6359248258188472E-2</v>
      </c>
      <c r="C374">
        <v>3.4737786445925428E-2</v>
      </c>
      <c r="D374">
        <v>2.3569489153767293E-2</v>
      </c>
      <c r="E374">
        <v>6.0513389748358916E-3</v>
      </c>
      <c r="F374">
        <v>3.3261663222603419E-3</v>
      </c>
      <c r="G374">
        <v>5.3980954581697256E-3</v>
      </c>
      <c r="H374">
        <v>2.3896449515782171E-2</v>
      </c>
      <c r="I374">
        <v>0.12880817124382601</v>
      </c>
      <c r="J374">
        <v>0</v>
      </c>
      <c r="K374">
        <v>0.43493069455414912</v>
      </c>
      <c r="L374">
        <v>0.21126406896778172</v>
      </c>
      <c r="M374">
        <v>0.78873593103221828</v>
      </c>
      <c r="N374">
        <v>3.1186005055918321E-2</v>
      </c>
      <c r="O374" s="72">
        <v>0.99434683402013424</v>
      </c>
      <c r="P374">
        <v>0.99986886312101875</v>
      </c>
      <c r="Q374">
        <v>0.95116190821162161</v>
      </c>
      <c r="R374">
        <v>0.55469963303554426</v>
      </c>
      <c r="S374">
        <v>0.39084065543451996</v>
      </c>
      <c r="T374">
        <v>0.22735991131321776</v>
      </c>
      <c r="U374">
        <v>0.76067387917155982</v>
      </c>
      <c r="V374">
        <v>0.7232788006522981</v>
      </c>
      <c r="W374">
        <v>0.51071821808441342</v>
      </c>
      <c r="X374">
        <v>0.4487672980578058</v>
      </c>
      <c r="Y374">
        <v>0.40770747770878207</v>
      </c>
      <c r="Z374">
        <v>0.44457268607076095</v>
      </c>
      <c r="AA374">
        <v>0.67045915902335473</v>
      </c>
      <c r="AB374">
        <v>0.84757177217744084</v>
      </c>
      <c r="AC374">
        <v>0.71814333192470048</v>
      </c>
      <c r="AD374">
        <v>0.57700082984001888</v>
      </c>
      <c r="AE374">
        <v>210.06431874381758</v>
      </c>
      <c r="AF374">
        <v>1091.5037045082545</v>
      </c>
      <c r="AG374">
        <v>1574.6090418349306</v>
      </c>
      <c r="AH374">
        <v>13382.996171644352</v>
      </c>
      <c r="AI374">
        <v>14952.272455053819</v>
      </c>
      <c r="AJ374">
        <v>37830.411950938375</v>
      </c>
      <c r="AK374">
        <v>14321.375835705125</v>
      </c>
      <c r="AL374">
        <v>1352.8793642602193</v>
      </c>
      <c r="AM374">
        <v>367.35372996318853</v>
      </c>
      <c r="AO374">
        <v>40275.308478424042</v>
      </c>
      <c r="AP374">
        <v>13.696631576116651</v>
      </c>
      <c r="AQ374">
        <v>46327.090294117421</v>
      </c>
      <c r="AR374">
        <v>13.853808207394554</v>
      </c>
      <c r="AS374" s="2">
        <f t="shared" si="36"/>
        <v>6051.781815693379</v>
      </c>
      <c r="AT374" s="2">
        <f t="shared" si="37"/>
        <v>0.1571766312779026</v>
      </c>
      <c r="AV374">
        <f t="shared" si="38"/>
        <v>1329387.849133241</v>
      </c>
      <c r="AW374">
        <f t="shared" si="39"/>
        <v>1339053.7304453379</v>
      </c>
      <c r="AY374">
        <f t="shared" si="40"/>
        <v>0</v>
      </c>
      <c r="AZ374">
        <f t="shared" si="41"/>
        <v>1</v>
      </c>
    </row>
    <row r="375" spans="1:52" x14ac:dyDescent="0.2">
      <c r="A375">
        <f t="shared" si="35"/>
        <v>371</v>
      </c>
      <c r="B375">
        <v>2.7297197171757159E-2</v>
      </c>
      <c r="C375">
        <v>2.9754004633426007E-2</v>
      </c>
      <c r="D375">
        <v>4.4240896413026309E-2</v>
      </c>
      <c r="E375">
        <v>4.7372712631373659E-2</v>
      </c>
      <c r="F375">
        <v>3.2567508744885398E-3</v>
      </c>
      <c r="G375">
        <v>2.0923638496946895E-2</v>
      </c>
      <c r="H375">
        <v>1.2546987961694421E-2</v>
      </c>
      <c r="I375">
        <v>0.12521827176436026</v>
      </c>
      <c r="J375">
        <v>0</v>
      </c>
      <c r="K375">
        <v>0.39615720513889308</v>
      </c>
      <c r="L375">
        <v>0.20640888887682454</v>
      </c>
      <c r="M375">
        <v>0.79359111112317549</v>
      </c>
      <c r="N375">
        <v>5.5364919068697761E-2</v>
      </c>
      <c r="O375" s="72">
        <v>0.99183286761228984</v>
      </c>
      <c r="P375">
        <v>0.98899169839549483</v>
      </c>
      <c r="Q375">
        <v>0.98548909753633751</v>
      </c>
      <c r="R375">
        <v>0.43986841099375651</v>
      </c>
      <c r="S375">
        <v>0.47111366208375849</v>
      </c>
      <c r="T375">
        <v>0.22167447105275018</v>
      </c>
      <c r="U375">
        <v>0.77705457284576473</v>
      </c>
      <c r="V375">
        <v>0.67096173465571751</v>
      </c>
      <c r="W375">
        <v>0.58282440310518824</v>
      </c>
      <c r="X375">
        <v>0.43425078253011001</v>
      </c>
      <c r="Y375">
        <v>0.46309718226775631</v>
      </c>
      <c r="Z375">
        <v>0.42159370597872214</v>
      </c>
      <c r="AA375">
        <v>0.68238609848811349</v>
      </c>
      <c r="AB375">
        <v>0.87623195389476372</v>
      </c>
      <c r="AC375">
        <v>0.67973771398707705</v>
      </c>
      <c r="AD375">
        <v>0.54227530496815712</v>
      </c>
      <c r="AE375">
        <v>227.09938439733139</v>
      </c>
      <c r="AF375">
        <v>1084.1050562723769</v>
      </c>
      <c r="AG375">
        <v>2096.1004514334636</v>
      </c>
      <c r="AH375">
        <v>19303.849534657358</v>
      </c>
      <c r="AI375">
        <v>9620.2300440067575</v>
      </c>
      <c r="AJ375">
        <v>41366.977495739833</v>
      </c>
      <c r="AK375">
        <v>10868.171529717853</v>
      </c>
      <c r="AL375">
        <v>2591.4743039947957</v>
      </c>
      <c r="AM375">
        <v>310.27310753281171</v>
      </c>
      <c r="AO375">
        <v>44313.670041761536</v>
      </c>
      <c r="AP375">
        <v>13.828071917241823</v>
      </c>
      <c r="AQ375">
        <v>45827.22143910142</v>
      </c>
      <c r="AR375">
        <v>14.132062403628744</v>
      </c>
      <c r="AS375" s="2">
        <f t="shared" si="36"/>
        <v>1513.5513973398847</v>
      </c>
      <c r="AT375" s="2">
        <f t="shared" si="37"/>
        <v>0.30399048638692072</v>
      </c>
      <c r="AV375">
        <f t="shared" si="38"/>
        <v>1338493.5216824207</v>
      </c>
      <c r="AW375">
        <f t="shared" si="39"/>
        <v>1367379.018923773</v>
      </c>
      <c r="AY375">
        <f t="shared" si="40"/>
        <v>0</v>
      </c>
      <c r="AZ375">
        <f t="shared" si="41"/>
        <v>1</v>
      </c>
    </row>
    <row r="376" spans="1:52" x14ac:dyDescent="0.2">
      <c r="A376">
        <f t="shared" si="35"/>
        <v>372</v>
      </c>
      <c r="B376">
        <v>2.0725917553840775E-2</v>
      </c>
      <c r="C376">
        <v>4.9622773498849693E-2</v>
      </c>
      <c r="D376">
        <v>3.8626189128458832E-2</v>
      </c>
      <c r="E376">
        <v>1.455294282391173E-2</v>
      </c>
      <c r="F376">
        <v>3.2151940234796303E-3</v>
      </c>
      <c r="G376">
        <v>7.085058286511286E-3</v>
      </c>
      <c r="H376">
        <v>2.7680357190347418E-2</v>
      </c>
      <c r="I376">
        <v>0.1332721049661556</v>
      </c>
      <c r="J376">
        <v>0</v>
      </c>
      <c r="K376">
        <v>0.46210933301349377</v>
      </c>
      <c r="L376">
        <v>0.19207086060640297</v>
      </c>
      <c r="M376">
        <v>0.80792913939359701</v>
      </c>
      <c r="N376">
        <v>3.4747951586226102E-2</v>
      </c>
      <c r="O376" s="72">
        <v>0.99998871425497393</v>
      </c>
      <c r="P376">
        <v>0.98915103866914456</v>
      </c>
      <c r="Q376">
        <v>0.97765962046635679</v>
      </c>
      <c r="R376">
        <v>0.54279497193317683</v>
      </c>
      <c r="S376">
        <v>0.41778669354971942</v>
      </c>
      <c r="T376">
        <v>0.19911774180835262</v>
      </c>
      <c r="U376">
        <v>0.75663094324834812</v>
      </c>
      <c r="V376">
        <v>0.62090900372592417</v>
      </c>
      <c r="W376">
        <v>0.53347335712003374</v>
      </c>
      <c r="X376">
        <v>0.37580743214251255</v>
      </c>
      <c r="Y376">
        <v>0.42391925509556694</v>
      </c>
      <c r="Z376">
        <v>0.43606370565025609</v>
      </c>
      <c r="AA376">
        <v>0.70007526607948445</v>
      </c>
      <c r="AB376">
        <v>0.80494315145830442</v>
      </c>
      <c r="AC376">
        <v>0.7245268063374275</v>
      </c>
      <c r="AD376">
        <v>0.60108010262911393</v>
      </c>
      <c r="AE376">
        <v>224.24857494762816</v>
      </c>
      <c r="AF376">
        <v>1036.1567032459441</v>
      </c>
      <c r="AG376">
        <v>1906.4782501892164</v>
      </c>
      <c r="AH376">
        <v>14172.135548695367</v>
      </c>
      <c r="AI376">
        <v>15506.964550302093</v>
      </c>
      <c r="AJ376">
        <v>37639.567644109949</v>
      </c>
      <c r="AK376">
        <v>14885.10621864689</v>
      </c>
      <c r="AL376">
        <v>1890.7845528659539</v>
      </c>
      <c r="AM376">
        <v>380.96734678176659</v>
      </c>
      <c r="AO376">
        <v>41378.752185728001</v>
      </c>
      <c r="AP376">
        <v>13.113299386619987</v>
      </c>
      <c r="AQ376">
        <v>46791.270795998695</v>
      </c>
      <c r="AR376">
        <v>13.305930988719599</v>
      </c>
      <c r="AS376" s="2">
        <f t="shared" si="36"/>
        <v>5412.5186102706939</v>
      </c>
      <c r="AT376" s="2">
        <f t="shared" si="37"/>
        <v>0.1926316020996115</v>
      </c>
      <c r="AV376">
        <f t="shared" si="38"/>
        <v>1269951.1864762707</v>
      </c>
      <c r="AW376">
        <f t="shared" si="39"/>
        <v>1283801.8280759612</v>
      </c>
      <c r="AY376">
        <f t="shared" si="40"/>
        <v>0</v>
      </c>
      <c r="AZ376">
        <f t="shared" si="41"/>
        <v>1</v>
      </c>
    </row>
    <row r="377" spans="1:52" x14ac:dyDescent="0.2">
      <c r="A377">
        <f t="shared" si="35"/>
        <v>373</v>
      </c>
      <c r="B377">
        <v>2.4435281581649065E-2</v>
      </c>
      <c r="C377">
        <v>3.3354251415033731E-2</v>
      </c>
      <c r="D377">
        <v>2.7742771252059872E-2</v>
      </c>
      <c r="E377">
        <v>1.6170922012317623E-2</v>
      </c>
      <c r="F377">
        <v>3.3250068589466496E-3</v>
      </c>
      <c r="G377">
        <v>7.7070174539710665E-3</v>
      </c>
      <c r="H377">
        <v>1.5584325262783937E-2</v>
      </c>
      <c r="I377">
        <v>0.13496364374600001</v>
      </c>
      <c r="J377">
        <v>0</v>
      </c>
      <c r="K377">
        <v>0.39687638504574341</v>
      </c>
      <c r="L377">
        <v>0.20655250883107087</v>
      </c>
      <c r="M377">
        <v>0.7934474911689291</v>
      </c>
      <c r="N377">
        <v>6.3499715554068192E-2</v>
      </c>
      <c r="O377" s="72">
        <v>0.99998890038341659</v>
      </c>
      <c r="P377">
        <v>0.99999782382479618</v>
      </c>
      <c r="Q377">
        <v>0.97653869301989482</v>
      </c>
      <c r="R377">
        <v>0.46632473471822455</v>
      </c>
      <c r="S377">
        <v>0.48234809570677595</v>
      </c>
      <c r="T377">
        <v>0.20093175453295453</v>
      </c>
      <c r="U377">
        <v>0.77085027412691398</v>
      </c>
      <c r="V377">
        <v>0.72187686482483993</v>
      </c>
      <c r="W377">
        <v>0.59796725143644269</v>
      </c>
      <c r="X377">
        <v>0.38731923285156489</v>
      </c>
      <c r="Y377">
        <v>0.50447554248050674</v>
      </c>
      <c r="Z377">
        <v>0.50309892001573209</v>
      </c>
      <c r="AA377">
        <v>0.67650144741859242</v>
      </c>
      <c r="AB377">
        <v>0.83333753929463272</v>
      </c>
      <c r="AC377">
        <v>0.8218089569144984</v>
      </c>
      <c r="AD377">
        <v>0.56911781166560982</v>
      </c>
      <c r="AE377">
        <v>193.41501552893834</v>
      </c>
      <c r="AF377">
        <v>920.85589471614878</v>
      </c>
      <c r="AG377">
        <v>1544.984830914547</v>
      </c>
      <c r="AH377">
        <v>8211.8904924295293</v>
      </c>
      <c r="AI377">
        <v>12352.406379599206</v>
      </c>
      <c r="AJ377">
        <v>42743.4048175192</v>
      </c>
      <c r="AK377">
        <v>14016.352740602348</v>
      </c>
      <c r="AL377">
        <v>2307.4327734046929</v>
      </c>
      <c r="AM377">
        <v>489.74469167895484</v>
      </c>
      <c r="AO377">
        <v>45267.358716851217</v>
      </c>
      <c r="AP377">
        <v>13.676950833277173</v>
      </c>
      <c r="AQ377">
        <v>47975.482262088874</v>
      </c>
      <c r="AR377">
        <v>13.831469836558036</v>
      </c>
      <c r="AS377" s="2">
        <f t="shared" si="36"/>
        <v>2708.1235452376568</v>
      </c>
      <c r="AT377" s="2">
        <f t="shared" si="37"/>
        <v>0.15451900328086232</v>
      </c>
      <c r="AV377">
        <f t="shared" si="38"/>
        <v>1322427.724610866</v>
      </c>
      <c r="AW377">
        <f t="shared" si="39"/>
        <v>1335171.5013937147</v>
      </c>
      <c r="AY377">
        <f t="shared" si="40"/>
        <v>0</v>
      </c>
      <c r="AZ377">
        <f t="shared" si="41"/>
        <v>1</v>
      </c>
    </row>
    <row r="378" spans="1:52" x14ac:dyDescent="0.2">
      <c r="A378">
        <f t="shared" si="35"/>
        <v>374</v>
      </c>
      <c r="B378">
        <v>2.2337344410305392E-2</v>
      </c>
      <c r="C378">
        <v>4.3888726286366753E-2</v>
      </c>
      <c r="D378">
        <v>3.6216341953099071E-2</v>
      </c>
      <c r="E378">
        <v>1.2185347021170467E-2</v>
      </c>
      <c r="F378">
        <v>3.3826557902137955E-3</v>
      </c>
      <c r="G378">
        <v>6.313218353915304E-3</v>
      </c>
      <c r="H378">
        <v>3.1868023380493216E-2</v>
      </c>
      <c r="I378">
        <v>0.11967875422482845</v>
      </c>
      <c r="J378">
        <v>0</v>
      </c>
      <c r="K378">
        <v>0.40226437192921494</v>
      </c>
      <c r="L378">
        <v>0.2352997596004468</v>
      </c>
      <c r="M378">
        <v>0.7647002403995532</v>
      </c>
      <c r="N378">
        <v>6.2242904314701919E-2</v>
      </c>
      <c r="O378" s="72">
        <v>0.99691162117145926</v>
      </c>
      <c r="P378">
        <v>0.99999370646191743</v>
      </c>
      <c r="Q378">
        <v>0.98315990685439458</v>
      </c>
      <c r="R378">
        <v>0.4389578871194002</v>
      </c>
      <c r="S378">
        <v>0.34425604083164596</v>
      </c>
      <c r="T378">
        <v>0.16347740290794066</v>
      </c>
      <c r="U378">
        <v>0.7702983788265807</v>
      </c>
      <c r="V378">
        <v>0.67774085921467697</v>
      </c>
      <c r="W378">
        <v>0.6209335078699505</v>
      </c>
      <c r="X378">
        <v>0.46382378559370063</v>
      </c>
      <c r="Y378">
        <v>0.43032948894930617</v>
      </c>
      <c r="Z378">
        <v>0.52889302844446995</v>
      </c>
      <c r="AA378">
        <v>0.63323405026117952</v>
      </c>
      <c r="AB378">
        <v>0.86560344583848958</v>
      </c>
      <c r="AC378">
        <v>0.60401621068702371</v>
      </c>
      <c r="AD378">
        <v>0.49040844753514834</v>
      </c>
      <c r="AE378">
        <v>159.50820557747576</v>
      </c>
      <c r="AF378">
        <v>1087.9971225909051</v>
      </c>
      <c r="AG378">
        <v>1370.6270530487341</v>
      </c>
      <c r="AH378">
        <v>10756.100719636352</v>
      </c>
      <c r="AI378">
        <v>11850.087769313583</v>
      </c>
      <c r="AJ378">
        <v>38123.736043797675</v>
      </c>
      <c r="AK378">
        <v>14815.068921019509</v>
      </c>
      <c r="AL378">
        <v>2284.6732195610871</v>
      </c>
      <c r="AM378">
        <v>357.28980253892951</v>
      </c>
      <c r="AO378">
        <v>47670.097313904203</v>
      </c>
      <c r="AP378">
        <v>13.562919590003762</v>
      </c>
      <c r="AQ378">
        <v>45943.699413918534</v>
      </c>
      <c r="AR378">
        <v>13.780124153133029</v>
      </c>
      <c r="AS378" s="2">
        <f t="shared" si="36"/>
        <v>-1726.3978999856699</v>
      </c>
      <c r="AT378" s="2">
        <f t="shared" si="37"/>
        <v>0.2172045631292665</v>
      </c>
      <c r="AV378">
        <f t="shared" si="38"/>
        <v>1308621.8616864721</v>
      </c>
      <c r="AW378">
        <f t="shared" si="39"/>
        <v>1332068.7158993843</v>
      </c>
      <c r="AY378">
        <f t="shared" si="40"/>
        <v>0</v>
      </c>
      <c r="AZ378">
        <f t="shared" si="41"/>
        <v>1</v>
      </c>
    </row>
    <row r="379" spans="1:52" x14ac:dyDescent="0.2">
      <c r="A379">
        <f t="shared" si="35"/>
        <v>375</v>
      </c>
      <c r="B379">
        <v>2.3709393289341896E-2</v>
      </c>
      <c r="C379">
        <v>4.4288241248198523E-2</v>
      </c>
      <c r="D379">
        <v>2.9130864363449881E-2</v>
      </c>
      <c r="E379">
        <v>1.6357072971259101E-2</v>
      </c>
      <c r="F379">
        <v>3.3644050647912982E-3</v>
      </c>
      <c r="G379">
        <v>3.6627053330227421E-2</v>
      </c>
      <c r="H379">
        <v>2.981588541816127E-2</v>
      </c>
      <c r="I379">
        <v>0.13519153919159044</v>
      </c>
      <c r="J379">
        <v>0</v>
      </c>
      <c r="K379">
        <v>0.45250144669079717</v>
      </c>
      <c r="L379">
        <v>0.22499743909169534</v>
      </c>
      <c r="M379">
        <v>0.77500256090830466</v>
      </c>
      <c r="N379">
        <v>5.4216474865707708E-2</v>
      </c>
      <c r="O379" s="72">
        <v>0.99981535735625304</v>
      </c>
      <c r="P379">
        <v>0.99999340091881606</v>
      </c>
      <c r="Q379">
        <v>0.99747605019626828</v>
      </c>
      <c r="R379">
        <v>0.50099421534514144</v>
      </c>
      <c r="S379">
        <v>0.44580654320443858</v>
      </c>
      <c r="T379">
        <v>0.31245919041824111</v>
      </c>
      <c r="U379">
        <v>0.74200705403622758</v>
      </c>
      <c r="V379">
        <v>0.71137918657251054</v>
      </c>
      <c r="W379">
        <v>0.52014299811171971</v>
      </c>
      <c r="X379">
        <v>0.45650220938191122</v>
      </c>
      <c r="Y379">
        <v>0.46968906896426055</v>
      </c>
      <c r="Z379">
        <v>0.4379995791182742</v>
      </c>
      <c r="AA379">
        <v>0.60607716561109304</v>
      </c>
      <c r="AB379">
        <v>0.79219156980790428</v>
      </c>
      <c r="AC379">
        <v>0.73345882694303244</v>
      </c>
      <c r="AD379">
        <v>0.65548497219272628</v>
      </c>
      <c r="AE379">
        <v>184.47272001460408</v>
      </c>
      <c r="AF379">
        <v>1256.26915520427</v>
      </c>
      <c r="AG379">
        <v>1362.5118752760682</v>
      </c>
      <c r="AH379">
        <v>11263.41221282518</v>
      </c>
      <c r="AI379">
        <v>14205.373963154476</v>
      </c>
      <c r="AJ379">
        <v>42491.630661006915</v>
      </c>
      <c r="AK379">
        <v>18406.129109409128</v>
      </c>
      <c r="AL379">
        <v>1483.0040923356582</v>
      </c>
      <c r="AM379">
        <v>409.75798309522571</v>
      </c>
      <c r="AO379">
        <v>41012.589714283749</v>
      </c>
      <c r="AP379">
        <v>13.072829115406824</v>
      </c>
      <c r="AQ379">
        <v>46720.976578798407</v>
      </c>
      <c r="AR379">
        <v>13.220405090338422</v>
      </c>
      <c r="AS379" s="2">
        <f t="shared" si="36"/>
        <v>5708.3868645146576</v>
      </c>
      <c r="AT379" s="2">
        <f t="shared" si="37"/>
        <v>0.14757597493159835</v>
      </c>
      <c r="AV379">
        <f t="shared" si="38"/>
        <v>1266270.3218263986</v>
      </c>
      <c r="AW379">
        <f t="shared" si="39"/>
        <v>1275319.5324550439</v>
      </c>
      <c r="AY379">
        <f t="shared" si="40"/>
        <v>0</v>
      </c>
      <c r="AZ379">
        <f t="shared" si="41"/>
        <v>1</v>
      </c>
    </row>
    <row r="380" spans="1:52" x14ac:dyDescent="0.2">
      <c r="A380">
        <f t="shared" si="35"/>
        <v>376</v>
      </c>
      <c r="B380">
        <v>2.4380003193279345E-2</v>
      </c>
      <c r="C380">
        <v>3.8976672126046941E-2</v>
      </c>
      <c r="D380">
        <v>5.6997030779594948E-2</v>
      </c>
      <c r="E380">
        <v>7.9336739873594967E-3</v>
      </c>
      <c r="F380">
        <v>3.3788023121110733E-3</v>
      </c>
      <c r="G380">
        <v>6.0659564602422765E-3</v>
      </c>
      <c r="H380">
        <v>1.8350880918171567E-2</v>
      </c>
      <c r="I380">
        <v>0.12179121730087054</v>
      </c>
      <c r="J380">
        <v>0</v>
      </c>
      <c r="K380">
        <v>0.42545778168823456</v>
      </c>
      <c r="L380">
        <v>0.17593830958119033</v>
      </c>
      <c r="M380">
        <v>0.82406169041880961</v>
      </c>
      <c r="N380">
        <v>5.9410523161564255E-2</v>
      </c>
      <c r="O380" s="72">
        <v>0.99954908898821349</v>
      </c>
      <c r="P380">
        <v>0.99696365222315142</v>
      </c>
      <c r="Q380">
        <v>0.99781603344561076</v>
      </c>
      <c r="R380">
        <v>0.48792746358189543</v>
      </c>
      <c r="S380">
        <v>0.38278497191963701</v>
      </c>
      <c r="T380">
        <v>0.30367947878222956</v>
      </c>
      <c r="U380">
        <v>0.78642785564149653</v>
      </c>
      <c r="V380">
        <v>0.63419152300836068</v>
      </c>
      <c r="W380">
        <v>0.55832123051329219</v>
      </c>
      <c r="X380">
        <v>0.47268928041413361</v>
      </c>
      <c r="Y380">
        <v>0.43310321138214397</v>
      </c>
      <c r="Z380">
        <v>0.48002218427834742</v>
      </c>
      <c r="AA380">
        <v>0.66932316490239718</v>
      </c>
      <c r="AB380">
        <v>0.85204619092793266</v>
      </c>
      <c r="AC380">
        <v>0.69892366698860542</v>
      </c>
      <c r="AD380">
        <v>0.65437882321933039</v>
      </c>
      <c r="AE380">
        <v>193.19572131243032</v>
      </c>
      <c r="AF380">
        <v>1056.0451036573165</v>
      </c>
      <c r="AG380">
        <v>1869.8925656407648</v>
      </c>
      <c r="AH380">
        <v>13979.714557309258</v>
      </c>
      <c r="AI380">
        <v>9486.2325495809491</v>
      </c>
      <c r="AJ380">
        <v>41262.676292851873</v>
      </c>
      <c r="AK380">
        <v>13422.687270247749</v>
      </c>
      <c r="AL380">
        <v>2449.5217026064306</v>
      </c>
      <c r="AM380">
        <v>356.65776707692072</v>
      </c>
      <c r="AO380">
        <v>42074.26511368528</v>
      </c>
      <c r="AP380">
        <v>13.775894364348098</v>
      </c>
      <c r="AQ380">
        <v>46101.905410535503</v>
      </c>
      <c r="AR380">
        <v>13.987812157759688</v>
      </c>
      <c r="AS380" s="2">
        <f t="shared" si="36"/>
        <v>4027.6402968502225</v>
      </c>
      <c r="AT380" s="2">
        <f t="shared" si="37"/>
        <v>0.21191779341159034</v>
      </c>
      <c r="AV380">
        <f t="shared" si="38"/>
        <v>1335515.1713211245</v>
      </c>
      <c r="AW380">
        <f t="shared" si="39"/>
        <v>1352679.3103654333</v>
      </c>
      <c r="AY380">
        <f t="shared" si="40"/>
        <v>0</v>
      </c>
      <c r="AZ380">
        <f t="shared" si="41"/>
        <v>1</v>
      </c>
    </row>
    <row r="381" spans="1:52" x14ac:dyDescent="0.2">
      <c r="A381">
        <f t="shared" si="35"/>
        <v>377</v>
      </c>
      <c r="B381">
        <v>2.3990642421199714E-2</v>
      </c>
      <c r="C381">
        <v>4.1250325211677041E-2</v>
      </c>
      <c r="D381">
        <v>3.5959678999916207E-2</v>
      </c>
      <c r="E381">
        <v>1.200831564222371E-2</v>
      </c>
      <c r="F381">
        <v>3.3129045564875476E-3</v>
      </c>
      <c r="G381">
        <v>1.8827772006816845E-2</v>
      </c>
      <c r="H381">
        <v>3.9296619745042505E-2</v>
      </c>
      <c r="I381">
        <v>0.12454879418485938</v>
      </c>
      <c r="J381">
        <v>0</v>
      </c>
      <c r="K381">
        <v>0.45480238623094937</v>
      </c>
      <c r="L381">
        <v>0.20771519383296089</v>
      </c>
      <c r="M381">
        <v>0.79228480616703911</v>
      </c>
      <c r="N381">
        <v>6.3119720567436866E-2</v>
      </c>
      <c r="O381" s="72">
        <v>0.99970225976293958</v>
      </c>
      <c r="P381">
        <v>0.99973873008818126</v>
      </c>
      <c r="Q381">
        <v>0.88999793484016765</v>
      </c>
      <c r="R381">
        <v>0.53715349842922522</v>
      </c>
      <c r="S381">
        <v>0.39313811859623671</v>
      </c>
      <c r="T381">
        <v>0.20069069819798768</v>
      </c>
      <c r="U381">
        <v>0.76478600005272601</v>
      </c>
      <c r="V381">
        <v>0.69893525597099238</v>
      </c>
      <c r="W381">
        <v>0.53360316939618679</v>
      </c>
      <c r="X381">
        <v>0.42649830577879294</v>
      </c>
      <c r="Y381">
        <v>0.45798383735308579</v>
      </c>
      <c r="Z381">
        <v>0.48505793425254651</v>
      </c>
      <c r="AA381">
        <v>0.72889226349931646</v>
      </c>
      <c r="AB381">
        <v>0.8016001831573536</v>
      </c>
      <c r="AC381">
        <v>0.75373665683581492</v>
      </c>
      <c r="AD381">
        <v>0.64466848623786843</v>
      </c>
      <c r="AE381">
        <v>142.77998407414844</v>
      </c>
      <c r="AF381">
        <v>1053.2860042010066</v>
      </c>
      <c r="AG381">
        <v>1464.0402410765994</v>
      </c>
      <c r="AH381">
        <v>16958.25391168709</v>
      </c>
      <c r="AI381">
        <v>11915.441929658784</v>
      </c>
      <c r="AJ381">
        <v>39874.399686573779</v>
      </c>
      <c r="AK381">
        <v>17113.50286197025</v>
      </c>
      <c r="AL381">
        <v>1985.9779758090117</v>
      </c>
      <c r="AM381">
        <v>387.88943752257393</v>
      </c>
      <c r="AO381">
        <v>41850.280732261381</v>
      </c>
      <c r="AP381">
        <v>13.194967503614334</v>
      </c>
      <c r="AQ381">
        <v>46870.561847909325</v>
      </c>
      <c r="AR381">
        <v>13.369392556442163</v>
      </c>
      <c r="AS381" s="2">
        <f t="shared" si="36"/>
        <v>5020.2811156479438</v>
      </c>
      <c r="AT381" s="2">
        <f t="shared" si="37"/>
        <v>0.17442505282782861</v>
      </c>
      <c r="AV381">
        <f t="shared" si="38"/>
        <v>1277646.469629172</v>
      </c>
      <c r="AW381">
        <f t="shared" si="39"/>
        <v>1290068.6937963068</v>
      </c>
      <c r="AY381">
        <f t="shared" si="40"/>
        <v>0</v>
      </c>
      <c r="AZ381">
        <f t="shared" si="41"/>
        <v>1</v>
      </c>
    </row>
    <row r="382" spans="1:52" x14ac:dyDescent="0.2">
      <c r="A382">
        <f t="shared" si="35"/>
        <v>378</v>
      </c>
      <c r="B382">
        <v>2.1447018513935583E-2</v>
      </c>
      <c r="C382">
        <v>3.9708445915810353E-2</v>
      </c>
      <c r="D382">
        <v>2.8610275703392907E-2</v>
      </c>
      <c r="E382">
        <v>4.5493285707375285E-3</v>
      </c>
      <c r="F382">
        <v>3.4824499374330742E-3</v>
      </c>
      <c r="G382">
        <v>1.3627729657690546E-2</v>
      </c>
      <c r="H382">
        <v>3.1446163459528442E-2</v>
      </c>
      <c r="I382">
        <v>0.11935427530029391</v>
      </c>
      <c r="J382">
        <v>0</v>
      </c>
      <c r="K382">
        <v>0.36067915342146845</v>
      </c>
      <c r="L382">
        <v>0.25831046169961502</v>
      </c>
      <c r="M382">
        <v>0.74168953830038498</v>
      </c>
      <c r="N382">
        <v>4.7936626921164439E-2</v>
      </c>
      <c r="O382" s="72">
        <v>0.99796196814806826</v>
      </c>
      <c r="P382">
        <v>0.99984475902155701</v>
      </c>
      <c r="Q382">
        <v>0.94373900772008279</v>
      </c>
      <c r="R382">
        <v>0.46848317153979624</v>
      </c>
      <c r="S382">
        <v>0.48323515617526502</v>
      </c>
      <c r="T382">
        <v>0.17714857773862092</v>
      </c>
      <c r="U382">
        <v>0.79968713942723102</v>
      </c>
      <c r="V382">
        <v>0.67421898959109883</v>
      </c>
      <c r="W382">
        <v>0.55295105323872373</v>
      </c>
      <c r="X382">
        <v>0.42042626527560228</v>
      </c>
      <c r="Y382">
        <v>0.43681335576244817</v>
      </c>
      <c r="Z382">
        <v>0.44139334984755202</v>
      </c>
      <c r="AA382">
        <v>0.57242076777087936</v>
      </c>
      <c r="AB382">
        <v>0.7838103374169979</v>
      </c>
      <c r="AC382">
        <v>0.66443740130126661</v>
      </c>
      <c r="AD382">
        <v>0.6077230369547677</v>
      </c>
      <c r="AE382">
        <v>198.3801352787001</v>
      </c>
      <c r="AF382">
        <v>1077.9177202497508</v>
      </c>
      <c r="AG382">
        <v>2312.2455691735495</v>
      </c>
      <c r="AH382">
        <v>12952.361719342047</v>
      </c>
      <c r="AI382">
        <v>12402.653954774889</v>
      </c>
      <c r="AJ382">
        <v>36516.593989144101</v>
      </c>
      <c r="AK382">
        <v>27140.934060221298</v>
      </c>
      <c r="AL382">
        <v>2214.606827134734</v>
      </c>
      <c r="AM382">
        <v>381.73546382743035</v>
      </c>
      <c r="AO382">
        <v>45047.555637856713</v>
      </c>
      <c r="AP382">
        <v>12.806814893795115</v>
      </c>
      <c r="AQ382">
        <v>46640.950225541441</v>
      </c>
      <c r="AR382">
        <v>12.912531807393812</v>
      </c>
      <c r="AS382" s="2">
        <f t="shared" si="36"/>
        <v>1593.3945876847283</v>
      </c>
      <c r="AT382" s="2">
        <f t="shared" si="37"/>
        <v>0.10571691359869639</v>
      </c>
      <c r="AV382">
        <f t="shared" si="38"/>
        <v>1235633.9337416547</v>
      </c>
      <c r="AW382">
        <f t="shared" si="39"/>
        <v>1244612.2305138397</v>
      </c>
      <c r="AY382">
        <f t="shared" si="40"/>
        <v>0</v>
      </c>
      <c r="AZ382">
        <f t="shared" si="41"/>
        <v>1</v>
      </c>
    </row>
    <row r="383" spans="1:52" x14ac:dyDescent="0.2">
      <c r="A383">
        <f t="shared" si="35"/>
        <v>379</v>
      </c>
      <c r="B383">
        <v>1.7932170211396807E-2</v>
      </c>
      <c r="C383">
        <v>4.2025040930374402E-2</v>
      </c>
      <c r="D383">
        <v>3.4434345710415599E-2</v>
      </c>
      <c r="E383">
        <v>2.7838590905331917E-2</v>
      </c>
      <c r="F383">
        <v>3.410871515641456E-3</v>
      </c>
      <c r="G383">
        <v>4.153589745730224E-2</v>
      </c>
      <c r="H383">
        <v>1.4830048857705188E-2</v>
      </c>
      <c r="I383">
        <v>0.1382436715944162</v>
      </c>
      <c r="J383">
        <v>0</v>
      </c>
      <c r="K383">
        <v>0.44058562840831406</v>
      </c>
      <c r="L383">
        <v>0.23286628648883179</v>
      </c>
      <c r="M383">
        <v>0.76713371351116821</v>
      </c>
      <c r="N383">
        <v>6.4029465082387493E-2</v>
      </c>
      <c r="O383" s="72">
        <v>0.99974296377226901</v>
      </c>
      <c r="P383">
        <v>0.9999034238753457</v>
      </c>
      <c r="Q383">
        <v>0.96391971667948628</v>
      </c>
      <c r="R383">
        <v>0.47680255991946163</v>
      </c>
      <c r="S383">
        <v>0.45423008304947776</v>
      </c>
      <c r="T383">
        <v>0.23262910171807905</v>
      </c>
      <c r="U383">
        <v>0.76434338174784799</v>
      </c>
      <c r="V383">
        <v>0.59830573878759741</v>
      </c>
      <c r="W383">
        <v>0.46082540846296233</v>
      </c>
      <c r="X383">
        <v>0.46408608857619194</v>
      </c>
      <c r="Y383">
        <v>0.41572487605445169</v>
      </c>
      <c r="Z383">
        <v>0.47016724654475972</v>
      </c>
      <c r="AA383">
        <v>0.71456866567732258</v>
      </c>
      <c r="AB383">
        <v>0.71976573968197233</v>
      </c>
      <c r="AC383">
        <v>0.7371575276934037</v>
      </c>
      <c r="AD383">
        <v>0.61967575155937848</v>
      </c>
      <c r="AE383">
        <v>160.96001274128514</v>
      </c>
      <c r="AF383">
        <v>983.55361106635542</v>
      </c>
      <c r="AG383">
        <v>1109.496673827575</v>
      </c>
      <c r="AH383">
        <v>11630.675787985547</v>
      </c>
      <c r="AI383">
        <v>17374.07431799404</v>
      </c>
      <c r="AJ383">
        <v>33711.687487192416</v>
      </c>
      <c r="AK383">
        <v>17426.28719530761</v>
      </c>
      <c r="AL383">
        <v>1817.8815123396951</v>
      </c>
      <c r="AM383">
        <v>384.62724783660417</v>
      </c>
      <c r="AO383">
        <v>42694.565942417546</v>
      </c>
      <c r="AP383">
        <v>12.043750689562575</v>
      </c>
      <c r="AQ383">
        <v>46379.447772657251</v>
      </c>
      <c r="AR383">
        <v>12.170998603720401</v>
      </c>
      <c r="AS383" s="2">
        <f t="shared" si="36"/>
        <v>3684.8818302397049</v>
      </c>
      <c r="AT383" s="2">
        <f t="shared" si="37"/>
        <v>0.12724791415782555</v>
      </c>
      <c r="AV383">
        <f t="shared" si="38"/>
        <v>1161680.5030138399</v>
      </c>
      <c r="AW383">
        <f t="shared" si="39"/>
        <v>1170720.4125993829</v>
      </c>
      <c r="AY383">
        <f t="shared" si="40"/>
        <v>0</v>
      </c>
      <c r="AZ383">
        <f t="shared" si="41"/>
        <v>1</v>
      </c>
    </row>
    <row r="384" spans="1:52" x14ac:dyDescent="0.2">
      <c r="A384">
        <f t="shared" ref="A384:A447" si="42">A383+1</f>
        <v>380</v>
      </c>
      <c r="B384">
        <v>2.4328244786240131E-2</v>
      </c>
      <c r="C384">
        <v>4.0075095105528091E-2</v>
      </c>
      <c r="D384">
        <v>2.9880169937464753E-2</v>
      </c>
      <c r="E384">
        <v>2.3454474145771953E-2</v>
      </c>
      <c r="F384">
        <v>3.3953595218553234E-3</v>
      </c>
      <c r="G384">
        <v>2.7574727415253131E-2</v>
      </c>
      <c r="H384">
        <v>1.1227303337096596E-2</v>
      </c>
      <c r="I384">
        <v>0.14230430462228627</v>
      </c>
      <c r="J384">
        <v>0</v>
      </c>
      <c r="K384">
        <v>0.40188065334577244</v>
      </c>
      <c r="L384">
        <v>0.20151443278005005</v>
      </c>
      <c r="M384">
        <v>0.79848556721995001</v>
      </c>
      <c r="N384">
        <v>3.7249339566962643E-2</v>
      </c>
      <c r="O384" s="72">
        <v>0.99999769137043426</v>
      </c>
      <c r="P384">
        <v>0.98341517497396658</v>
      </c>
      <c r="Q384">
        <v>0.97004997392989878</v>
      </c>
      <c r="R384">
        <v>0.52629153301310005</v>
      </c>
      <c r="S384">
        <v>0.32444850414084636</v>
      </c>
      <c r="T384">
        <v>0.23857590137966944</v>
      </c>
      <c r="U384">
        <v>0.77204251925312273</v>
      </c>
      <c r="V384">
        <v>0.6476458931788418</v>
      </c>
      <c r="W384">
        <v>0.57962198384106356</v>
      </c>
      <c r="X384">
        <v>0.46987002416187784</v>
      </c>
      <c r="Y384">
        <v>0.47776009071791747</v>
      </c>
      <c r="Z384">
        <v>0.4452339055627525</v>
      </c>
      <c r="AA384">
        <v>0.74269048850860897</v>
      </c>
      <c r="AB384">
        <v>0.84643174369760088</v>
      </c>
      <c r="AC384">
        <v>0.77487926064033719</v>
      </c>
      <c r="AD384">
        <v>0.6882844598355855</v>
      </c>
      <c r="AE384">
        <v>231.20863248311073</v>
      </c>
      <c r="AF384">
        <v>1134.8740804700151</v>
      </c>
      <c r="AG384">
        <v>1569.1611008968255</v>
      </c>
      <c r="AH384">
        <v>13137.818391298302</v>
      </c>
      <c r="AI384">
        <v>8951.9709926866835</v>
      </c>
      <c r="AJ384">
        <v>42802.791584730236</v>
      </c>
      <c r="AK384">
        <v>16544.163032808323</v>
      </c>
      <c r="AL384">
        <v>1884.6092836308692</v>
      </c>
      <c r="AM384">
        <v>431.95920158965157</v>
      </c>
      <c r="AO384">
        <v>42832.065719181133</v>
      </c>
      <c r="AP384">
        <v>13.855330355281753</v>
      </c>
      <c r="AQ384">
        <v>47750.187955834976</v>
      </c>
      <c r="AR384">
        <v>14.089418392532027</v>
      </c>
      <c r="AS384" s="2">
        <f t="shared" si="36"/>
        <v>4918.1222366538423</v>
      </c>
      <c r="AT384" s="2">
        <f t="shared" si="37"/>
        <v>0.23408803725027383</v>
      </c>
      <c r="AV384">
        <f t="shared" si="38"/>
        <v>1342700.9698089941</v>
      </c>
      <c r="AW384">
        <f t="shared" si="39"/>
        <v>1361191.6512973679</v>
      </c>
      <c r="AY384">
        <f t="shared" si="40"/>
        <v>0</v>
      </c>
      <c r="AZ384">
        <f t="shared" si="41"/>
        <v>1</v>
      </c>
    </row>
    <row r="385" spans="1:52" x14ac:dyDescent="0.2">
      <c r="A385">
        <f t="shared" si="42"/>
        <v>381</v>
      </c>
      <c r="B385">
        <v>2.0512942177956451E-2</v>
      </c>
      <c r="C385">
        <v>2.5314796584469591E-2</v>
      </c>
      <c r="D385">
        <v>3.3032302073598106E-2</v>
      </c>
      <c r="E385">
        <v>1.1579568327281244E-2</v>
      </c>
      <c r="F385">
        <v>3.3186697780243431E-3</v>
      </c>
      <c r="G385">
        <v>9.7317965480680745E-3</v>
      </c>
      <c r="H385">
        <v>5.5542878940663343E-2</v>
      </c>
      <c r="I385">
        <v>0.13118823600134344</v>
      </c>
      <c r="J385">
        <v>0</v>
      </c>
      <c r="K385">
        <v>0.4196527575495087</v>
      </c>
      <c r="L385">
        <v>0.2132658103112558</v>
      </c>
      <c r="M385">
        <v>0.7867341896887442</v>
      </c>
      <c r="N385">
        <v>6.7842346064207359E-2</v>
      </c>
      <c r="O385" s="72">
        <v>0.99999864334801425</v>
      </c>
      <c r="P385">
        <v>0.99988461731597533</v>
      </c>
      <c r="Q385">
        <v>0.9962280315321923</v>
      </c>
      <c r="R385">
        <v>0.49956823936559303</v>
      </c>
      <c r="S385">
        <v>0.33320795567215267</v>
      </c>
      <c r="T385">
        <v>0.12701715156186499</v>
      </c>
      <c r="U385">
        <v>0.78728440924410226</v>
      </c>
      <c r="V385">
        <v>0.65050260447523844</v>
      </c>
      <c r="W385">
        <v>0.5649156548342491</v>
      </c>
      <c r="X385">
        <v>0.45743337471958023</v>
      </c>
      <c r="Y385">
        <v>0.39903247510781858</v>
      </c>
      <c r="Z385">
        <v>0.45403999520068061</v>
      </c>
      <c r="AA385">
        <v>0.66680996298740514</v>
      </c>
      <c r="AB385">
        <v>0.8108624001787551</v>
      </c>
      <c r="AC385">
        <v>0.74601026189790876</v>
      </c>
      <c r="AD385">
        <v>0.59487688203573874</v>
      </c>
      <c r="AE385">
        <v>181.21032571761151</v>
      </c>
      <c r="AF385">
        <v>1070.9757141667428</v>
      </c>
      <c r="AG385">
        <v>1301.8029659239799</v>
      </c>
      <c r="AH385">
        <v>12665.497650414318</v>
      </c>
      <c r="AI385">
        <v>13643.902016952356</v>
      </c>
      <c r="AJ385">
        <v>42427.437545753448</v>
      </c>
      <c r="AK385">
        <v>12345.533042927071</v>
      </c>
      <c r="AL385">
        <v>2449.0111071904507</v>
      </c>
      <c r="AM385">
        <v>367.76394423761462</v>
      </c>
      <c r="AO385">
        <v>46031.282791635458</v>
      </c>
      <c r="AP385">
        <v>13.234683061548234</v>
      </c>
      <c r="AQ385">
        <v>46085.534554469006</v>
      </c>
      <c r="AR385">
        <v>13.4209820204146</v>
      </c>
      <c r="AS385" s="2">
        <f t="shared" si="36"/>
        <v>54.251762833548128</v>
      </c>
      <c r="AT385" s="2">
        <f t="shared" si="37"/>
        <v>0.1862989588663666</v>
      </c>
      <c r="AV385">
        <f t="shared" si="38"/>
        <v>1277437.0233631879</v>
      </c>
      <c r="AW385">
        <f t="shared" si="39"/>
        <v>1296012.667486991</v>
      </c>
      <c r="AY385">
        <f t="shared" si="40"/>
        <v>0</v>
      </c>
      <c r="AZ385">
        <f t="shared" si="41"/>
        <v>1</v>
      </c>
    </row>
    <row r="386" spans="1:52" x14ac:dyDescent="0.2">
      <c r="A386">
        <f t="shared" si="42"/>
        <v>382</v>
      </c>
      <c r="B386">
        <v>2.917464916522261E-2</v>
      </c>
      <c r="C386">
        <v>3.1911481282232888E-2</v>
      </c>
      <c r="D386">
        <v>3.4489835659307591E-2</v>
      </c>
      <c r="E386">
        <v>1.6379908926880571E-2</v>
      </c>
      <c r="F386">
        <v>3.3671667481124379E-3</v>
      </c>
      <c r="G386">
        <v>2.0935368832985413E-2</v>
      </c>
      <c r="H386">
        <v>2.5340496234166933E-2</v>
      </c>
      <c r="I386">
        <v>0.11918613818645422</v>
      </c>
      <c r="J386">
        <v>0</v>
      </c>
      <c r="K386">
        <v>0.3941884820051974</v>
      </c>
      <c r="L386">
        <v>0.25053751288119697</v>
      </c>
      <c r="M386">
        <v>0.74946248711880303</v>
      </c>
      <c r="N386">
        <v>6.2456765726879304E-2</v>
      </c>
      <c r="O386" s="72">
        <v>0.99897037505747421</v>
      </c>
      <c r="P386">
        <v>0.99866366899156522</v>
      </c>
      <c r="Q386">
        <v>0.92244166370214642</v>
      </c>
      <c r="R386">
        <v>0.51237655473935684</v>
      </c>
      <c r="S386">
        <v>0.44931119997410307</v>
      </c>
      <c r="T386">
        <v>0.31920159110715152</v>
      </c>
      <c r="U386">
        <v>0.74368093983616168</v>
      </c>
      <c r="V386">
        <v>0.68781883792511023</v>
      </c>
      <c r="W386">
        <v>0.60748760334633078</v>
      </c>
      <c r="X386">
        <v>0.39338448845996454</v>
      </c>
      <c r="Y386">
        <v>0.47203647171571372</v>
      </c>
      <c r="Z386">
        <v>0.39625254075119387</v>
      </c>
      <c r="AA386">
        <v>0.6970562092028596</v>
      </c>
      <c r="AB386">
        <v>0.90037007263965518</v>
      </c>
      <c r="AC386">
        <v>0.65302715573140147</v>
      </c>
      <c r="AD386">
        <v>0.64290142126094829</v>
      </c>
      <c r="AE386">
        <v>170.57134908836375</v>
      </c>
      <c r="AF386">
        <v>1174.6008196824298</v>
      </c>
      <c r="AG386">
        <v>2026.1325684731512</v>
      </c>
      <c r="AH386">
        <v>10409.941267036123</v>
      </c>
      <c r="AI386">
        <v>16572.386235510883</v>
      </c>
      <c r="AJ386">
        <v>33523.43026892512</v>
      </c>
      <c r="AK386">
        <v>12339.13794204594</v>
      </c>
      <c r="AL386">
        <v>1949.0007785128366</v>
      </c>
      <c r="AM386">
        <v>351.24895412003104</v>
      </c>
      <c r="AO386">
        <v>39681.956934932452</v>
      </c>
      <c r="AP386">
        <v>14.299829798270871</v>
      </c>
      <c r="AQ386">
        <v>46160.880207872186</v>
      </c>
      <c r="AR386">
        <v>14.554495405153284</v>
      </c>
      <c r="AS386" s="2">
        <f t="shared" si="36"/>
        <v>6478.9232729397336</v>
      </c>
      <c r="AT386" s="2">
        <f t="shared" si="37"/>
        <v>0.2546656068824138</v>
      </c>
      <c r="AV386">
        <f t="shared" si="38"/>
        <v>1390301.0228921548</v>
      </c>
      <c r="AW386">
        <f t="shared" si="39"/>
        <v>1409288.6603074563</v>
      </c>
      <c r="AY386">
        <f t="shared" si="40"/>
        <v>0</v>
      </c>
      <c r="AZ386">
        <f t="shared" si="41"/>
        <v>1</v>
      </c>
    </row>
    <row r="387" spans="1:52" x14ac:dyDescent="0.2">
      <c r="A387">
        <f t="shared" si="42"/>
        <v>383</v>
      </c>
      <c r="B387">
        <v>2.8273288601096347E-2</v>
      </c>
      <c r="C387">
        <v>4.788191410856335E-2</v>
      </c>
      <c r="D387">
        <v>3.3623438531054602E-2</v>
      </c>
      <c r="E387">
        <v>6.8511798368615928E-3</v>
      </c>
      <c r="F387">
        <v>3.3553383782255475E-3</v>
      </c>
      <c r="G387">
        <v>1.8188211172638247E-2</v>
      </c>
      <c r="H387">
        <v>2.4037317732122671E-2</v>
      </c>
      <c r="I387">
        <v>0.15269508983798985</v>
      </c>
      <c r="J387">
        <v>0</v>
      </c>
      <c r="K387">
        <v>0.42755334111120358</v>
      </c>
      <c r="L387">
        <v>0.28331098891722051</v>
      </c>
      <c r="M387">
        <v>0.71668901108277949</v>
      </c>
      <c r="N387">
        <v>6.6122621981345109E-2</v>
      </c>
      <c r="O387" s="72">
        <v>0.99465514068463834</v>
      </c>
      <c r="P387">
        <v>0.99999359792539344</v>
      </c>
      <c r="Q387">
        <v>0.96706629257690824</v>
      </c>
      <c r="R387">
        <v>0.44611344037840939</v>
      </c>
      <c r="S387">
        <v>0.393658024928211</v>
      </c>
      <c r="T387">
        <v>0.17581976297831692</v>
      </c>
      <c r="U387">
        <v>0.78530388088359293</v>
      </c>
      <c r="V387">
        <v>0.65033911069628292</v>
      </c>
      <c r="W387">
        <v>0.47277503231283863</v>
      </c>
      <c r="X387">
        <v>0.44087003578320294</v>
      </c>
      <c r="Y387">
        <v>0.39774357220177464</v>
      </c>
      <c r="Z387">
        <v>0.44955328874904166</v>
      </c>
      <c r="AA387">
        <v>0.73883034273844994</v>
      </c>
      <c r="AB387">
        <v>0.87018470936388082</v>
      </c>
      <c r="AC387">
        <v>0.7150551610909559</v>
      </c>
      <c r="AD387">
        <v>0.58386718700643225</v>
      </c>
      <c r="AE387">
        <v>149.49802254132413</v>
      </c>
      <c r="AF387">
        <v>1224.3852886820127</v>
      </c>
      <c r="AG387">
        <v>1698.1927465419294</v>
      </c>
      <c r="AH387">
        <v>11631.542394989609</v>
      </c>
      <c r="AI387">
        <v>11763.920026438273</v>
      </c>
      <c r="AJ387">
        <v>35773.475120892123</v>
      </c>
      <c r="AK387">
        <v>22062.761399604955</v>
      </c>
      <c r="AL387">
        <v>1699.7408045303537</v>
      </c>
      <c r="AM387">
        <v>363.39214461799088</v>
      </c>
      <c r="AO387">
        <v>46492.798011136707</v>
      </c>
      <c r="AP387">
        <v>13.881353185483777</v>
      </c>
      <c r="AQ387">
        <v>46109.892024558336</v>
      </c>
      <c r="AR387">
        <v>14.16904403301521</v>
      </c>
      <c r="AS387" s="2">
        <f t="shared" si="36"/>
        <v>-382.90598657837108</v>
      </c>
      <c r="AT387" s="2">
        <f t="shared" si="37"/>
        <v>0.28769084753143304</v>
      </c>
      <c r="AV387">
        <f t="shared" si="38"/>
        <v>1341642.5205372409</v>
      </c>
      <c r="AW387">
        <f t="shared" si="39"/>
        <v>1370794.5112769627</v>
      </c>
      <c r="AY387">
        <f t="shared" si="40"/>
        <v>0</v>
      </c>
      <c r="AZ387">
        <f t="shared" si="41"/>
        <v>1</v>
      </c>
    </row>
    <row r="388" spans="1:52" x14ac:dyDescent="0.2">
      <c r="A388">
        <f t="shared" si="42"/>
        <v>384</v>
      </c>
      <c r="B388">
        <v>3.5198160187152272E-2</v>
      </c>
      <c r="C388">
        <v>3.29856421775898E-2</v>
      </c>
      <c r="D388">
        <v>2.4494343380770649E-2</v>
      </c>
      <c r="E388">
        <v>2.3506026415854198E-2</v>
      </c>
      <c r="F388">
        <v>3.3885464514322727E-3</v>
      </c>
      <c r="G388">
        <v>1.1808272890040161E-2</v>
      </c>
      <c r="H388">
        <v>3.6017573013938153E-2</v>
      </c>
      <c r="I388">
        <v>0.15122868965245395</v>
      </c>
      <c r="J388">
        <v>0</v>
      </c>
      <c r="K388">
        <v>0.38123902275027138</v>
      </c>
      <c r="L388">
        <v>0.22480227608059555</v>
      </c>
      <c r="M388">
        <v>0.77519772391940445</v>
      </c>
      <c r="N388">
        <v>6.7676968846154817E-2</v>
      </c>
      <c r="O388" s="72">
        <v>0.99958638102825759</v>
      </c>
      <c r="P388">
        <v>0.99756526813869684</v>
      </c>
      <c r="Q388">
        <v>0.92204569370731326</v>
      </c>
      <c r="R388">
        <v>0.4759652534570783</v>
      </c>
      <c r="S388">
        <v>0.3266929743786624</v>
      </c>
      <c r="T388">
        <v>0.3007893822162323</v>
      </c>
      <c r="U388">
        <v>0.78021927126240986</v>
      </c>
      <c r="V388">
        <v>0.63913273137254389</v>
      </c>
      <c r="W388">
        <v>0.59100679761708319</v>
      </c>
      <c r="X388">
        <v>0.43423911789538377</v>
      </c>
      <c r="Y388">
        <v>0.44303959499910128</v>
      </c>
      <c r="Z388">
        <v>0.44922672111165246</v>
      </c>
      <c r="AA388">
        <v>0.72370135522353407</v>
      </c>
      <c r="AB388">
        <v>0.86507768968050969</v>
      </c>
      <c r="AC388">
        <v>0.70608207081107865</v>
      </c>
      <c r="AD388">
        <v>0.6054591081442029</v>
      </c>
      <c r="AE388">
        <v>222.4572706890398</v>
      </c>
      <c r="AF388">
        <v>1205.4855246093466</v>
      </c>
      <c r="AG388">
        <v>1999.0096096268537</v>
      </c>
      <c r="AH388">
        <v>14047.875403608308</v>
      </c>
      <c r="AI388">
        <v>8747.7758979127211</v>
      </c>
      <c r="AJ388">
        <v>34639.673345294425</v>
      </c>
      <c r="AK388">
        <v>13791.975570090392</v>
      </c>
      <c r="AL388">
        <v>1061.9939189287193</v>
      </c>
      <c r="AM388">
        <v>348.259192044602</v>
      </c>
      <c r="AO388">
        <v>43286.998101504789</v>
      </c>
      <c r="AP388">
        <v>13.873949418463916</v>
      </c>
      <c r="AQ388">
        <v>46220.97744707339</v>
      </c>
      <c r="AR388">
        <v>14.11010523147314</v>
      </c>
      <c r="AS388" s="2">
        <f t="shared" si="36"/>
        <v>2933.9793455686013</v>
      </c>
      <c r="AT388" s="2">
        <f t="shared" si="37"/>
        <v>0.2361558130092245</v>
      </c>
      <c r="AV388">
        <f t="shared" si="38"/>
        <v>1344107.9437448869</v>
      </c>
      <c r="AW388">
        <f t="shared" si="39"/>
        <v>1364789.5457002406</v>
      </c>
      <c r="AY388">
        <f t="shared" si="40"/>
        <v>0</v>
      </c>
      <c r="AZ388">
        <f t="shared" si="41"/>
        <v>1</v>
      </c>
    </row>
    <row r="389" spans="1:52" x14ac:dyDescent="0.2">
      <c r="A389">
        <f t="shared" si="42"/>
        <v>385</v>
      </c>
      <c r="B389">
        <v>2.0380573879348877E-2</v>
      </c>
      <c r="C389">
        <v>4.0359521090124195E-2</v>
      </c>
      <c r="D389">
        <v>4.1032308816311591E-2</v>
      </c>
      <c r="E389">
        <v>2.8428830858017937E-3</v>
      </c>
      <c r="F389">
        <v>3.3404526497802234E-3</v>
      </c>
      <c r="G389">
        <v>1.7713553350396055E-3</v>
      </c>
      <c r="H389">
        <v>2.5688112483985965E-2</v>
      </c>
      <c r="I389">
        <v>0.11505693573066955</v>
      </c>
      <c r="J389">
        <v>0</v>
      </c>
      <c r="K389">
        <v>0.41286969396879103</v>
      </c>
      <c r="L389">
        <v>0.17917031570738418</v>
      </c>
      <c r="M389">
        <v>0.82082968429261582</v>
      </c>
      <c r="N389">
        <v>5.1214239712391883E-2</v>
      </c>
      <c r="O389" s="72">
        <v>0.99976005456016925</v>
      </c>
      <c r="P389">
        <v>0.99171233564811823</v>
      </c>
      <c r="Q389">
        <v>0.85503171220433649</v>
      </c>
      <c r="R389">
        <v>0.45200709044524945</v>
      </c>
      <c r="S389">
        <v>0.35439223703239597</v>
      </c>
      <c r="T389">
        <v>0.21024860503495679</v>
      </c>
      <c r="U389">
        <v>0.76202996136913981</v>
      </c>
      <c r="V389">
        <v>0.64977067002887146</v>
      </c>
      <c r="W389">
        <v>0.5397224450663638</v>
      </c>
      <c r="X389">
        <v>0.44999367734414819</v>
      </c>
      <c r="Y389">
        <v>0.45708399768909358</v>
      </c>
      <c r="Z389">
        <v>0.46318073994422493</v>
      </c>
      <c r="AA389">
        <v>0.71470091533756797</v>
      </c>
      <c r="AB389">
        <v>0.83123679802134831</v>
      </c>
      <c r="AC389">
        <v>0.76158984372634608</v>
      </c>
      <c r="AD389">
        <v>0.66047104920748145</v>
      </c>
      <c r="AE389">
        <v>198.03929790961777</v>
      </c>
      <c r="AF389">
        <v>1061.2152613665085</v>
      </c>
      <c r="AG389">
        <v>1744.0846467785132</v>
      </c>
      <c r="AH389">
        <v>14042.224129580796</v>
      </c>
      <c r="AI389">
        <v>14158.35016634121</v>
      </c>
      <c r="AJ389">
        <v>35656.334844730321</v>
      </c>
      <c r="AK389">
        <v>10931.048401489388</v>
      </c>
      <c r="AL389">
        <v>1930.8521977094497</v>
      </c>
      <c r="AM389">
        <v>404.29725965933363</v>
      </c>
      <c r="AO389">
        <v>46720.01799337336</v>
      </c>
      <c r="AP389">
        <v>13.595882960026923</v>
      </c>
      <c r="AQ389">
        <v>47581.101093878133</v>
      </c>
      <c r="AR389">
        <v>13.815528206958129</v>
      </c>
      <c r="AS389" s="2">
        <f t="shared" si="36"/>
        <v>861.08310050477303</v>
      </c>
      <c r="AT389" s="2">
        <f t="shared" si="37"/>
        <v>0.21964524693120602</v>
      </c>
      <c r="AV389">
        <f t="shared" si="38"/>
        <v>1312868.278009319</v>
      </c>
      <c r="AW389">
        <f t="shared" si="39"/>
        <v>1333971.719601935</v>
      </c>
      <c r="AY389">
        <f t="shared" si="40"/>
        <v>0</v>
      </c>
      <c r="AZ389">
        <f t="shared" si="41"/>
        <v>1</v>
      </c>
    </row>
    <row r="390" spans="1:52" x14ac:dyDescent="0.2">
      <c r="A390">
        <f t="shared" si="42"/>
        <v>386</v>
      </c>
      <c r="B390">
        <v>2.6943768292711057E-2</v>
      </c>
      <c r="C390">
        <v>3.7337568588175052E-2</v>
      </c>
      <c r="D390">
        <v>3.1042053602995594E-2</v>
      </c>
      <c r="E390">
        <v>7.6422145068125247E-3</v>
      </c>
      <c r="F390">
        <v>3.387477582911913E-3</v>
      </c>
      <c r="G390">
        <v>5.0874544360876607E-3</v>
      </c>
      <c r="H390">
        <v>2.133414813777099E-2</v>
      </c>
      <c r="I390">
        <v>0.12199157719325325</v>
      </c>
      <c r="J390">
        <v>0</v>
      </c>
      <c r="K390">
        <v>0.43095034027183976</v>
      </c>
      <c r="L390">
        <v>0.16808679753970279</v>
      </c>
      <c r="M390">
        <v>0.83191320246029721</v>
      </c>
      <c r="N390">
        <v>5.2827177418471656E-2</v>
      </c>
      <c r="O390" s="72">
        <v>0.9990112436548747</v>
      </c>
      <c r="P390">
        <v>0.99268643827798786</v>
      </c>
      <c r="Q390">
        <v>0.97213234612240407</v>
      </c>
      <c r="R390">
        <v>0.49723107848897807</v>
      </c>
      <c r="S390">
        <v>0.48931076823798691</v>
      </c>
      <c r="T390">
        <v>0.21124247489912851</v>
      </c>
      <c r="U390">
        <v>0.76315837689743604</v>
      </c>
      <c r="V390">
        <v>0.67664946771707102</v>
      </c>
      <c r="W390">
        <v>0.5838979256448269</v>
      </c>
      <c r="X390">
        <v>0.39518721754393732</v>
      </c>
      <c r="Y390">
        <v>0.46463595747042874</v>
      </c>
      <c r="Z390">
        <v>0.40952085866070836</v>
      </c>
      <c r="AA390">
        <v>0.63862672320687419</v>
      </c>
      <c r="AB390">
        <v>0.77270890777885981</v>
      </c>
      <c r="AC390">
        <v>0.74673430386245832</v>
      </c>
      <c r="AD390">
        <v>0.54195356848161613</v>
      </c>
      <c r="AE390">
        <v>215.91619248050986</v>
      </c>
      <c r="AF390">
        <v>989.97414780758538</v>
      </c>
      <c r="AG390">
        <v>1623.864507715256</v>
      </c>
      <c r="AH390">
        <v>15927.638453536725</v>
      </c>
      <c r="AI390">
        <v>12795.71552409421</v>
      </c>
      <c r="AJ390">
        <v>42048.114231775173</v>
      </c>
      <c r="AK390">
        <v>10367.200258681894</v>
      </c>
      <c r="AL390">
        <v>1923.4935963561629</v>
      </c>
      <c r="AM390">
        <v>452.14593850152545</v>
      </c>
      <c r="AO390">
        <v>43569.356787068398</v>
      </c>
      <c r="AP390">
        <v>12.731954394822557</v>
      </c>
      <c r="AQ390">
        <v>47858.843074027347</v>
      </c>
      <c r="AR390">
        <v>12.818365758983594</v>
      </c>
      <c r="AS390" s="2">
        <f t="shared" ref="AS390:AS453" si="43">AQ390-AO390</f>
        <v>4289.4862869589488</v>
      </c>
      <c r="AT390" s="2">
        <f t="shared" ref="AT390:AT453" si="44">AR390-AP390</f>
        <v>8.6411364161037341E-2</v>
      </c>
      <c r="AV390">
        <f t="shared" ref="AV390:AV453" si="45">$AW$1*AP390-AO390</f>
        <v>1229626.0826951873</v>
      </c>
      <c r="AW390">
        <f t="shared" ref="AW390:AW453" si="46">$AW$1*AR390-AQ390</f>
        <v>1233977.7328243321</v>
      </c>
      <c r="AY390">
        <f t="shared" ref="AY390:AY453" si="47">IF(AV390=MAX($AV390:$AW390),1,0)</f>
        <v>0</v>
      </c>
      <c r="AZ390">
        <f t="shared" ref="AZ390:AZ453" si="48">IF(AW390=MAX($AV390:$AW390),1,0)</f>
        <v>1</v>
      </c>
    </row>
    <row r="391" spans="1:52" x14ac:dyDescent="0.2">
      <c r="A391">
        <f t="shared" si="42"/>
        <v>387</v>
      </c>
      <c r="B391">
        <v>2.921479573572916E-2</v>
      </c>
      <c r="C391">
        <v>2.6964276065851573E-2</v>
      </c>
      <c r="D391">
        <v>3.6416769488400447E-2</v>
      </c>
      <c r="E391">
        <v>1.6127749327971896E-2</v>
      </c>
      <c r="F391">
        <v>3.4193880706803181E-3</v>
      </c>
      <c r="G391">
        <v>3.2315526959313834E-2</v>
      </c>
      <c r="H391">
        <v>3.7076984509049504E-2</v>
      </c>
      <c r="I391">
        <v>0.13143572150276983</v>
      </c>
      <c r="J391">
        <v>0</v>
      </c>
      <c r="K391">
        <v>0.47675486695353797</v>
      </c>
      <c r="L391">
        <v>0.15642543016184757</v>
      </c>
      <c r="M391">
        <v>0.84357456983815249</v>
      </c>
      <c r="N391">
        <v>5.0861784804587258E-2</v>
      </c>
      <c r="O391" s="72">
        <v>0.99999894742926554</v>
      </c>
      <c r="P391">
        <v>0.99773131802400439</v>
      </c>
      <c r="Q391">
        <v>0.85360369092998289</v>
      </c>
      <c r="R391">
        <v>0.47459319449437376</v>
      </c>
      <c r="S391">
        <v>0.39039407129558823</v>
      </c>
      <c r="T391">
        <v>0.32384694713464546</v>
      </c>
      <c r="U391">
        <v>0.78157100206052721</v>
      </c>
      <c r="V391">
        <v>0.63980233547214915</v>
      </c>
      <c r="W391">
        <v>0.49680584636963376</v>
      </c>
      <c r="X391">
        <v>0.47308262624152142</v>
      </c>
      <c r="Y391">
        <v>0.43555042969490898</v>
      </c>
      <c r="Z391">
        <v>0.41829415489118216</v>
      </c>
      <c r="AA391">
        <v>0.66078910052249351</v>
      </c>
      <c r="AB391">
        <v>0.86366916738994381</v>
      </c>
      <c r="AC391">
        <v>0.58066057324885834</v>
      </c>
      <c r="AD391">
        <v>0.60754657078108187</v>
      </c>
      <c r="AE391">
        <v>181.09218263318695</v>
      </c>
      <c r="AF391">
        <v>1049.5761366652032</v>
      </c>
      <c r="AG391">
        <v>1713.0329842754782</v>
      </c>
      <c r="AH391">
        <v>14802.167787323957</v>
      </c>
      <c r="AI391">
        <v>12713.196383498449</v>
      </c>
      <c r="AJ391">
        <v>43466.984281458012</v>
      </c>
      <c r="AK391">
        <v>11604.434821603496</v>
      </c>
      <c r="AL391">
        <v>2257.1873057178891</v>
      </c>
      <c r="AM391">
        <v>523.51749147944543</v>
      </c>
      <c r="AO391">
        <v>44614.426905026288</v>
      </c>
      <c r="AP391">
        <v>13.629693642055845</v>
      </c>
      <c r="AQ391">
        <v>49213.718685032225</v>
      </c>
      <c r="AR391">
        <v>13.863352972687148</v>
      </c>
      <c r="AS391" s="2">
        <f t="shared" si="43"/>
        <v>4599.2917800059367</v>
      </c>
      <c r="AT391" s="2">
        <f t="shared" si="44"/>
        <v>0.23365933063130306</v>
      </c>
      <c r="AV391">
        <f t="shared" si="45"/>
        <v>1318354.9373005582</v>
      </c>
      <c r="AW391">
        <f t="shared" si="46"/>
        <v>1337121.5785836824</v>
      </c>
      <c r="AY391">
        <f t="shared" si="47"/>
        <v>0</v>
      </c>
      <c r="AZ391">
        <f t="shared" si="48"/>
        <v>1</v>
      </c>
    </row>
    <row r="392" spans="1:52" x14ac:dyDescent="0.2">
      <c r="A392">
        <f t="shared" si="42"/>
        <v>388</v>
      </c>
      <c r="B392">
        <v>2.5672020282121566E-2</v>
      </c>
      <c r="C392">
        <v>4.553907709230276E-2</v>
      </c>
      <c r="D392">
        <v>4.4959646390033581E-2</v>
      </c>
      <c r="E392">
        <v>1.1863955816272753E-2</v>
      </c>
      <c r="F392">
        <v>3.3768825518027956E-3</v>
      </c>
      <c r="G392">
        <v>3.0073231642921305E-2</v>
      </c>
      <c r="H392">
        <v>1.2475772811038599E-2</v>
      </c>
      <c r="I392">
        <v>0.13491759777292156</v>
      </c>
      <c r="J392">
        <v>0</v>
      </c>
      <c r="K392">
        <v>0.42143988182853193</v>
      </c>
      <c r="L392">
        <v>0.12501575960621572</v>
      </c>
      <c r="M392">
        <v>0.87498424039378431</v>
      </c>
      <c r="N392">
        <v>5.4461323434540708E-2</v>
      </c>
      <c r="O392" s="72">
        <v>0.9863118495786124</v>
      </c>
      <c r="P392">
        <v>0.8814765082103363</v>
      </c>
      <c r="Q392">
        <v>0.96236784785877394</v>
      </c>
      <c r="R392">
        <v>0.42363383396239496</v>
      </c>
      <c r="S392">
        <v>0.41835831915882815</v>
      </c>
      <c r="T392">
        <v>0.20227124353241743</v>
      </c>
      <c r="U392">
        <v>0.78109088471979915</v>
      </c>
      <c r="V392">
        <v>0.7185216826412204</v>
      </c>
      <c r="W392">
        <v>0.63510539576478309</v>
      </c>
      <c r="X392">
        <v>0.44648538383844022</v>
      </c>
      <c r="Y392">
        <v>0.43102664746699265</v>
      </c>
      <c r="Z392">
        <v>0.48622026651109795</v>
      </c>
      <c r="AA392">
        <v>0.62267351085948541</v>
      </c>
      <c r="AB392">
        <v>0.76476240616246072</v>
      </c>
      <c r="AC392">
        <v>0.65881922466528964</v>
      </c>
      <c r="AD392">
        <v>0.56035419942701414</v>
      </c>
      <c r="AE392">
        <v>159.86844863684368</v>
      </c>
      <c r="AF392">
        <v>1065.0266915282486</v>
      </c>
      <c r="AG392">
        <v>1477.0285460986154</v>
      </c>
      <c r="AH392">
        <v>11238.903594639301</v>
      </c>
      <c r="AI392">
        <v>10061.898677891484</v>
      </c>
      <c r="AJ392">
        <v>36421.258218860916</v>
      </c>
      <c r="AK392">
        <v>14002.792384463555</v>
      </c>
      <c r="AL392">
        <v>2344.2903934225674</v>
      </c>
      <c r="AM392">
        <v>332.9746380325617</v>
      </c>
      <c r="AO392">
        <v>46145.774187606745</v>
      </c>
      <c r="AP392">
        <v>12.466625686930966</v>
      </c>
      <c r="AQ392">
        <v>49775.754557001528</v>
      </c>
      <c r="AR392">
        <v>12.570280884653663</v>
      </c>
      <c r="AS392" s="2">
        <f t="shared" si="43"/>
        <v>3629.9803693947833</v>
      </c>
      <c r="AT392" s="2">
        <f t="shared" si="44"/>
        <v>0.10365519772269671</v>
      </c>
      <c r="AV392">
        <f t="shared" si="45"/>
        <v>1200516.7945054898</v>
      </c>
      <c r="AW392">
        <f t="shared" si="46"/>
        <v>1207252.3339083646</v>
      </c>
      <c r="AY392">
        <f t="shared" si="47"/>
        <v>0</v>
      </c>
      <c r="AZ392">
        <f t="shared" si="48"/>
        <v>1</v>
      </c>
    </row>
    <row r="393" spans="1:52" x14ac:dyDescent="0.2">
      <c r="A393">
        <f t="shared" si="42"/>
        <v>389</v>
      </c>
      <c r="B393">
        <v>2.6792407647836303E-2</v>
      </c>
      <c r="C393">
        <v>3.6243572764993418E-2</v>
      </c>
      <c r="D393">
        <v>3.7494574074294289E-2</v>
      </c>
      <c r="E393">
        <v>1.6973193457724856E-2</v>
      </c>
      <c r="F393">
        <v>3.5636507664518202E-3</v>
      </c>
      <c r="G393">
        <v>1.1424859663753758E-2</v>
      </c>
      <c r="H393">
        <v>3.2054202484628647E-2</v>
      </c>
      <c r="I393">
        <v>0.14336172723265928</v>
      </c>
      <c r="J393">
        <v>0</v>
      </c>
      <c r="K393">
        <v>0.38444676629337088</v>
      </c>
      <c r="L393">
        <v>0.14129099999847697</v>
      </c>
      <c r="M393">
        <v>0.85870900000152306</v>
      </c>
      <c r="N393">
        <v>5.3243149342542428E-2</v>
      </c>
      <c r="O393" s="72">
        <v>0.99946341701167196</v>
      </c>
      <c r="P393">
        <v>0.99971338501818052</v>
      </c>
      <c r="Q393">
        <v>0.91504670733786686</v>
      </c>
      <c r="R393">
        <v>0.47211398235752666</v>
      </c>
      <c r="S393">
        <v>0.45332523668377034</v>
      </c>
      <c r="T393">
        <v>0.31264352579949239</v>
      </c>
      <c r="U393">
        <v>0.76142424775950712</v>
      </c>
      <c r="V393">
        <v>0.69084769912014199</v>
      </c>
      <c r="W393">
        <v>0.54318725268952517</v>
      </c>
      <c r="X393">
        <v>0.36701822323056055</v>
      </c>
      <c r="Y393">
        <v>0.41030060690355408</v>
      </c>
      <c r="Z393">
        <v>0.44260583745646342</v>
      </c>
      <c r="AA393">
        <v>0.59767346071471117</v>
      </c>
      <c r="AB393">
        <v>0.88480222456862123</v>
      </c>
      <c r="AC393">
        <v>0.66521810054334962</v>
      </c>
      <c r="AD393">
        <v>0.64063650789419735</v>
      </c>
      <c r="AE393">
        <v>261.34794941858001</v>
      </c>
      <c r="AF393">
        <v>931.06596152849579</v>
      </c>
      <c r="AG393">
        <v>1401.5364362125981</v>
      </c>
      <c r="AH393">
        <v>10017.015189914577</v>
      </c>
      <c r="AI393">
        <v>14866.382936994141</v>
      </c>
      <c r="AJ393">
        <v>37639.229083272505</v>
      </c>
      <c r="AK393">
        <v>13852.056887166766</v>
      </c>
      <c r="AL393">
        <v>2192.1714602876496</v>
      </c>
      <c r="AM393">
        <v>430.31275174807655</v>
      </c>
      <c r="AO393">
        <v>42704.684895483348</v>
      </c>
      <c r="AP393">
        <v>14.094073662264869</v>
      </c>
      <c r="AQ393">
        <v>47374.432806175682</v>
      </c>
      <c r="AR393">
        <v>14.354391537022673</v>
      </c>
      <c r="AS393" s="2">
        <f t="shared" si="43"/>
        <v>4669.7479106923347</v>
      </c>
      <c r="AT393" s="2">
        <f t="shared" si="44"/>
        <v>0.26031787475780455</v>
      </c>
      <c r="AV393">
        <f t="shared" si="45"/>
        <v>1366702.6813310036</v>
      </c>
      <c r="AW393">
        <f t="shared" si="46"/>
        <v>1388064.7208960915</v>
      </c>
      <c r="AY393">
        <f t="shared" si="47"/>
        <v>0</v>
      </c>
      <c r="AZ393">
        <f t="shared" si="48"/>
        <v>1</v>
      </c>
    </row>
    <row r="394" spans="1:52" x14ac:dyDescent="0.2">
      <c r="A394">
        <f t="shared" si="42"/>
        <v>390</v>
      </c>
      <c r="B394">
        <v>2.2085481189102942E-2</v>
      </c>
      <c r="C394">
        <v>3.4969999931599841E-2</v>
      </c>
      <c r="D394">
        <v>3.6245661994179036E-2</v>
      </c>
      <c r="E394">
        <v>7.3771127399305065E-3</v>
      </c>
      <c r="F394">
        <v>3.3514982101686686E-3</v>
      </c>
      <c r="G394">
        <v>1.6650148186533542E-2</v>
      </c>
      <c r="H394">
        <v>1.723122622111525E-2</v>
      </c>
      <c r="I394">
        <v>0.13614618756894126</v>
      </c>
      <c r="J394">
        <v>0</v>
      </c>
      <c r="K394">
        <v>0.46814537004694046</v>
      </c>
      <c r="L394">
        <v>0.23584881564415505</v>
      </c>
      <c r="M394">
        <v>0.76415118435584495</v>
      </c>
      <c r="N394">
        <v>5.7982869766603384E-2</v>
      </c>
      <c r="O394" s="72">
        <v>0.963660520156157</v>
      </c>
      <c r="P394">
        <v>0.99996889328923455</v>
      </c>
      <c r="Q394">
        <v>0.9217923337319438</v>
      </c>
      <c r="R394">
        <v>0.48431272027411998</v>
      </c>
      <c r="S394">
        <v>0.38696403468704887</v>
      </c>
      <c r="T394">
        <v>0.2293557458594836</v>
      </c>
      <c r="U394">
        <v>0.75479299809581779</v>
      </c>
      <c r="V394">
        <v>0.63542254663171527</v>
      </c>
      <c r="W394">
        <v>0.5595402675883081</v>
      </c>
      <c r="X394">
        <v>0.45709094920795568</v>
      </c>
      <c r="Y394">
        <v>0.43960718769717699</v>
      </c>
      <c r="Z394">
        <v>0.42581457717666799</v>
      </c>
      <c r="AA394">
        <v>0.608424328688839</v>
      </c>
      <c r="AB394">
        <v>0.77942538896171853</v>
      </c>
      <c r="AC394">
        <v>0.66788944410998474</v>
      </c>
      <c r="AD394">
        <v>0.62747285641113248</v>
      </c>
      <c r="AE394">
        <v>246.50153322169535</v>
      </c>
      <c r="AF394">
        <v>1153.1247023810199</v>
      </c>
      <c r="AG394">
        <v>2094.7654244867103</v>
      </c>
      <c r="AH394">
        <v>12188.169949881554</v>
      </c>
      <c r="AI394">
        <v>11972.053507672919</v>
      </c>
      <c r="AJ394">
        <v>44668.0562961959</v>
      </c>
      <c r="AK394">
        <v>8967.8914515700471</v>
      </c>
      <c r="AL394">
        <v>2730.2448778211324</v>
      </c>
      <c r="AM394">
        <v>352.18858439147726</v>
      </c>
      <c r="AO394">
        <v>43261.869703181423</v>
      </c>
      <c r="AP394">
        <v>12.735638308038913</v>
      </c>
      <c r="AQ394">
        <v>46372.419593942621</v>
      </c>
      <c r="AR394">
        <v>12.883667034781187</v>
      </c>
      <c r="AS394" s="2">
        <f t="shared" si="43"/>
        <v>3110.5498907611982</v>
      </c>
      <c r="AT394" s="2">
        <f t="shared" si="44"/>
        <v>0.14802872674227352</v>
      </c>
      <c r="AV394">
        <f t="shared" si="45"/>
        <v>1230301.9611007101</v>
      </c>
      <c r="AW394">
        <f t="shared" si="46"/>
        <v>1241994.2838841761</v>
      </c>
      <c r="AY394">
        <f t="shared" si="47"/>
        <v>0</v>
      </c>
      <c r="AZ394">
        <f t="shared" si="48"/>
        <v>1</v>
      </c>
    </row>
    <row r="395" spans="1:52" x14ac:dyDescent="0.2">
      <c r="A395">
        <f t="shared" si="42"/>
        <v>391</v>
      </c>
      <c r="B395">
        <v>2.2175311854260471E-2</v>
      </c>
      <c r="C395">
        <v>3.1282639312904092E-2</v>
      </c>
      <c r="D395">
        <v>3.0761303030644536E-2</v>
      </c>
      <c r="E395">
        <v>4.9174923675476502E-3</v>
      </c>
      <c r="F395">
        <v>3.4077208126611636E-3</v>
      </c>
      <c r="G395">
        <v>7.0078914419996795E-3</v>
      </c>
      <c r="H395">
        <v>5.4083449584960031E-2</v>
      </c>
      <c r="I395">
        <v>0.1300147876829868</v>
      </c>
      <c r="J395">
        <v>0</v>
      </c>
      <c r="K395">
        <v>0.40248295851712079</v>
      </c>
      <c r="L395">
        <v>0.22414422761748887</v>
      </c>
      <c r="M395">
        <v>0.77585577238251113</v>
      </c>
      <c r="N395">
        <v>5.2772875213106724E-2</v>
      </c>
      <c r="O395" s="72">
        <v>0.99976960696148398</v>
      </c>
      <c r="P395">
        <v>0.9999937324425584</v>
      </c>
      <c r="Q395">
        <v>0.96258141525165963</v>
      </c>
      <c r="R395">
        <v>0.44268340355780311</v>
      </c>
      <c r="S395">
        <v>0.37989873411057817</v>
      </c>
      <c r="T395">
        <v>0.22666928573939549</v>
      </c>
      <c r="U395">
        <v>0.75673585796610665</v>
      </c>
      <c r="V395">
        <v>0.63217317710717236</v>
      </c>
      <c r="W395">
        <v>0.45452745977385878</v>
      </c>
      <c r="X395">
        <v>0.44008307541093639</v>
      </c>
      <c r="Y395">
        <v>0.46773158937786186</v>
      </c>
      <c r="Z395">
        <v>0.49012948840977966</v>
      </c>
      <c r="AA395">
        <v>0.70826848435821332</v>
      </c>
      <c r="AB395">
        <v>0.79675503916576984</v>
      </c>
      <c r="AC395">
        <v>0.64406373276347573</v>
      </c>
      <c r="AD395">
        <v>0.5995390214328461</v>
      </c>
      <c r="AE395">
        <v>197.96901047343735</v>
      </c>
      <c r="AF395">
        <v>1047.5014103931323</v>
      </c>
      <c r="AG395">
        <v>1548.7119251170645</v>
      </c>
      <c r="AH395">
        <v>7598.1962629341879</v>
      </c>
      <c r="AI395">
        <v>16629.198773893495</v>
      </c>
      <c r="AJ395">
        <v>43551.896735115559</v>
      </c>
      <c r="AK395">
        <v>11082.300789476178</v>
      </c>
      <c r="AL395">
        <v>1294.9046057172832</v>
      </c>
      <c r="AM395">
        <v>440.27511237816651</v>
      </c>
      <c r="AO395">
        <v>46522.665807681326</v>
      </c>
      <c r="AP395">
        <v>12.865289532637073</v>
      </c>
      <c r="AQ395">
        <v>47278.094674350476</v>
      </c>
      <c r="AR395">
        <v>13.046080191774774</v>
      </c>
      <c r="AS395" s="2">
        <f t="shared" si="43"/>
        <v>755.42886666915001</v>
      </c>
      <c r="AT395" s="2">
        <f t="shared" si="44"/>
        <v>0.18079065913770087</v>
      </c>
      <c r="AV395">
        <f t="shared" si="45"/>
        <v>1240006.2874560258</v>
      </c>
      <c r="AW395">
        <f t="shared" si="46"/>
        <v>1257329.9245031269</v>
      </c>
      <c r="AY395">
        <f t="shared" si="47"/>
        <v>0</v>
      </c>
      <c r="AZ395">
        <f t="shared" si="48"/>
        <v>1</v>
      </c>
    </row>
    <row r="396" spans="1:52" x14ac:dyDescent="0.2">
      <c r="A396">
        <f t="shared" si="42"/>
        <v>392</v>
      </c>
      <c r="B396">
        <v>2.8145701013145175E-2</v>
      </c>
      <c r="C396">
        <v>3.641166236313504E-2</v>
      </c>
      <c r="D396">
        <v>4.9648066385014511E-2</v>
      </c>
      <c r="E396">
        <v>6.3109048807719736E-3</v>
      </c>
      <c r="F396">
        <v>3.1848685042827284E-3</v>
      </c>
      <c r="G396">
        <v>1.0439720228655176E-2</v>
      </c>
      <c r="H396">
        <v>2.6980770959527906E-2</v>
      </c>
      <c r="I396">
        <v>0.12179511113742228</v>
      </c>
      <c r="J396">
        <v>0</v>
      </c>
      <c r="K396">
        <v>0.40997455710481362</v>
      </c>
      <c r="L396">
        <v>0.23180917103389331</v>
      </c>
      <c r="M396">
        <v>0.76819082896610669</v>
      </c>
      <c r="N396">
        <v>5.7688455817044959E-2</v>
      </c>
      <c r="O396" s="72">
        <v>0.99970111621661484</v>
      </c>
      <c r="P396">
        <v>0.99998479527399187</v>
      </c>
      <c r="Q396">
        <v>0.99871730360696676</v>
      </c>
      <c r="R396">
        <v>0.50678623108745535</v>
      </c>
      <c r="S396">
        <v>0.42170271815607607</v>
      </c>
      <c r="T396">
        <v>0.29305853693624961</v>
      </c>
      <c r="U396">
        <v>0.77935895581579917</v>
      </c>
      <c r="V396">
        <v>0.67933809699171754</v>
      </c>
      <c r="W396">
        <v>0.65786026635582606</v>
      </c>
      <c r="X396">
        <v>0.42261291820216934</v>
      </c>
      <c r="Y396">
        <v>0.49731112706035074</v>
      </c>
      <c r="Z396">
        <v>0.439277192794916</v>
      </c>
      <c r="AA396">
        <v>0.68125254739017793</v>
      </c>
      <c r="AB396">
        <v>0.78492719828682711</v>
      </c>
      <c r="AC396">
        <v>0.77374739941414394</v>
      </c>
      <c r="AD396">
        <v>0.65461015781630694</v>
      </c>
      <c r="AE396">
        <v>155.48906343457861</v>
      </c>
      <c r="AF396">
        <v>1038.9989759008481</v>
      </c>
      <c r="AG396">
        <v>1552.5010103639372</v>
      </c>
      <c r="AH396">
        <v>12998.794201434404</v>
      </c>
      <c r="AI396">
        <v>14153.089714547852</v>
      </c>
      <c r="AJ396">
        <v>36621.472974366028</v>
      </c>
      <c r="AK396">
        <v>14399.878627324702</v>
      </c>
      <c r="AL396">
        <v>2513.557002137793</v>
      </c>
      <c r="AM396">
        <v>278.03361395470176</v>
      </c>
      <c r="AO396">
        <v>39498.46151403078</v>
      </c>
      <c r="AP396">
        <v>13.085757757340243</v>
      </c>
      <c r="AQ396">
        <v>44668.600584532069</v>
      </c>
      <c r="AR396">
        <v>13.1933392495364</v>
      </c>
      <c r="AS396" s="2">
        <f t="shared" si="43"/>
        <v>5170.1390705012891</v>
      </c>
      <c r="AT396" s="2">
        <f t="shared" si="44"/>
        <v>0.10758149219615731</v>
      </c>
      <c r="AV396">
        <f t="shared" si="45"/>
        <v>1269077.3142199935</v>
      </c>
      <c r="AW396">
        <f t="shared" si="46"/>
        <v>1274665.3243691078</v>
      </c>
      <c r="AY396">
        <f t="shared" si="47"/>
        <v>0</v>
      </c>
      <c r="AZ396">
        <f t="shared" si="48"/>
        <v>1</v>
      </c>
    </row>
    <row r="397" spans="1:52" x14ac:dyDescent="0.2">
      <c r="A397">
        <f t="shared" si="42"/>
        <v>393</v>
      </c>
      <c r="B397">
        <v>2.5500242304077103E-2</v>
      </c>
      <c r="C397">
        <v>2.5695797546882896E-2</v>
      </c>
      <c r="D397">
        <v>3.2586692399944765E-2</v>
      </c>
      <c r="E397">
        <v>7.2372148193597403E-3</v>
      </c>
      <c r="F397">
        <v>3.3661003356190156E-3</v>
      </c>
      <c r="G397">
        <v>1.1633412143680697E-2</v>
      </c>
      <c r="H397">
        <v>3.2804910154355049E-2</v>
      </c>
      <c r="I397">
        <v>0.13095930281433432</v>
      </c>
      <c r="J397">
        <v>0</v>
      </c>
      <c r="K397">
        <v>0.45518588280975658</v>
      </c>
      <c r="L397">
        <v>0.32033580264858075</v>
      </c>
      <c r="M397">
        <v>0.67966419735141925</v>
      </c>
      <c r="N397">
        <v>4.9059443522087215E-2</v>
      </c>
      <c r="O397" s="72">
        <v>0.99999813492226519</v>
      </c>
      <c r="P397">
        <v>0.97242331509900637</v>
      </c>
      <c r="Q397">
        <v>0.97582247822017398</v>
      </c>
      <c r="R397">
        <v>0.41538316656498131</v>
      </c>
      <c r="S397">
        <v>0.28066960126921059</v>
      </c>
      <c r="T397">
        <v>0.17156276787282676</v>
      </c>
      <c r="U397">
        <v>0.78745080232034881</v>
      </c>
      <c r="V397">
        <v>0.72470123189321134</v>
      </c>
      <c r="W397">
        <v>0.55889053437414482</v>
      </c>
      <c r="X397">
        <v>0.44705533955970816</v>
      </c>
      <c r="Y397">
        <v>0.44808119255854062</v>
      </c>
      <c r="Z397">
        <v>0.42803044074359903</v>
      </c>
      <c r="AA397">
        <v>0.64761084811429459</v>
      </c>
      <c r="AB397">
        <v>0.72092928342802487</v>
      </c>
      <c r="AC397">
        <v>0.82184931941076145</v>
      </c>
      <c r="AD397">
        <v>0.57466665490845303</v>
      </c>
      <c r="AE397">
        <v>132.93454557443408</v>
      </c>
      <c r="AF397">
        <v>984.28997804053427</v>
      </c>
      <c r="AG397">
        <v>1345.1188428232629</v>
      </c>
      <c r="AH397">
        <v>12408.382818708091</v>
      </c>
      <c r="AI397">
        <v>9810.28290635958</v>
      </c>
      <c r="AJ397">
        <v>40367.748542900998</v>
      </c>
      <c r="AK397">
        <v>12095.861739295036</v>
      </c>
      <c r="AL397">
        <v>1249.1582136637578</v>
      </c>
      <c r="AM397">
        <v>349.5475439039169</v>
      </c>
      <c r="AO397">
        <v>49944.947723105768</v>
      </c>
      <c r="AP397">
        <v>12.253376374658176</v>
      </c>
      <c r="AQ397">
        <v>46682.982416701307</v>
      </c>
      <c r="AR397">
        <v>12.284021108901207</v>
      </c>
      <c r="AS397" s="2">
        <f t="shared" si="43"/>
        <v>-3261.9653064044614</v>
      </c>
      <c r="AT397" s="2">
        <f t="shared" si="44"/>
        <v>3.064473424303138E-2</v>
      </c>
      <c r="AV397">
        <f t="shared" si="45"/>
        <v>1175392.6897427118</v>
      </c>
      <c r="AW397">
        <f t="shared" si="46"/>
        <v>1181719.1284734195</v>
      </c>
      <c r="AY397">
        <f t="shared" si="47"/>
        <v>0</v>
      </c>
      <c r="AZ397">
        <f t="shared" si="48"/>
        <v>1</v>
      </c>
    </row>
    <row r="398" spans="1:52" x14ac:dyDescent="0.2">
      <c r="A398">
        <f t="shared" si="42"/>
        <v>394</v>
      </c>
      <c r="B398">
        <v>2.1985451847826631E-2</v>
      </c>
      <c r="C398">
        <v>4.276376877462218E-2</v>
      </c>
      <c r="D398">
        <v>3.639435049538875E-2</v>
      </c>
      <c r="E398">
        <v>1.2510647020486321E-2</v>
      </c>
      <c r="F398">
        <v>3.2453015162307252E-3</v>
      </c>
      <c r="G398">
        <v>2.2263627074807557E-2</v>
      </c>
      <c r="H398">
        <v>3.3778748470273845E-2</v>
      </c>
      <c r="I398">
        <v>0.12410435469169841</v>
      </c>
      <c r="J398">
        <v>0</v>
      </c>
      <c r="K398">
        <v>0.39876031138706353</v>
      </c>
      <c r="L398">
        <v>0.28230914435112087</v>
      </c>
      <c r="M398">
        <v>0.71769085564887913</v>
      </c>
      <c r="N398">
        <v>4.5575296173983822E-2</v>
      </c>
      <c r="O398" s="72">
        <v>0.99886910141655083</v>
      </c>
      <c r="P398">
        <v>0.99989836817484123</v>
      </c>
      <c r="Q398">
        <v>0.97776661137671828</v>
      </c>
      <c r="R398">
        <v>0.44337674633902913</v>
      </c>
      <c r="S398">
        <v>0.38883149516110771</v>
      </c>
      <c r="T398">
        <v>0.22595858105610511</v>
      </c>
      <c r="U398">
        <v>0.77486817915576212</v>
      </c>
      <c r="V398">
        <v>0.6835474532344693</v>
      </c>
      <c r="W398">
        <v>0.46519883909723347</v>
      </c>
      <c r="X398">
        <v>0.41837601472607749</v>
      </c>
      <c r="Y398">
        <v>0.46039081026216111</v>
      </c>
      <c r="Z398">
        <v>0.43115327952988225</v>
      </c>
      <c r="AA398">
        <v>0.66889468090828363</v>
      </c>
      <c r="AB398">
        <v>0.85097200609493595</v>
      </c>
      <c r="AC398">
        <v>0.73525845207836693</v>
      </c>
      <c r="AD398">
        <v>0.6887895140167104</v>
      </c>
      <c r="AE398">
        <v>181.29442380784843</v>
      </c>
      <c r="AF398">
        <v>765.58837356833772</v>
      </c>
      <c r="AG398">
        <v>1708.0452438130815</v>
      </c>
      <c r="AH398">
        <v>16119.520003729245</v>
      </c>
      <c r="AI398">
        <v>9090.0942154371169</v>
      </c>
      <c r="AJ398">
        <v>40671.455664771056</v>
      </c>
      <c r="AK398">
        <v>16513.037056177494</v>
      </c>
      <c r="AL398">
        <v>1179.1922437841683</v>
      </c>
      <c r="AM398">
        <v>333.20994907398392</v>
      </c>
      <c r="AO398">
        <v>45116.425759621568</v>
      </c>
      <c r="AP398">
        <v>13.81602912959894</v>
      </c>
      <c r="AQ398">
        <v>45665.609725205308</v>
      </c>
      <c r="AR398">
        <v>14.084588895326968</v>
      </c>
      <c r="AS398" s="2">
        <f t="shared" si="43"/>
        <v>549.18396558373934</v>
      </c>
      <c r="AT398" s="2">
        <f t="shared" si="44"/>
        <v>0.26855976572802831</v>
      </c>
      <c r="AV398">
        <f t="shared" si="45"/>
        <v>1336486.4872002723</v>
      </c>
      <c r="AW398">
        <f t="shared" si="46"/>
        <v>1362793.2798074917</v>
      </c>
      <c r="AY398">
        <f t="shared" si="47"/>
        <v>0</v>
      </c>
      <c r="AZ398">
        <f t="shared" si="48"/>
        <v>1</v>
      </c>
    </row>
    <row r="399" spans="1:52" x14ac:dyDescent="0.2">
      <c r="A399">
        <f t="shared" si="42"/>
        <v>395</v>
      </c>
      <c r="B399">
        <v>2.4027264652798815E-2</v>
      </c>
      <c r="C399">
        <v>3.8605379379384797E-2</v>
      </c>
      <c r="D399">
        <v>3.8590757615943105E-2</v>
      </c>
      <c r="E399">
        <v>1.6612759539317845E-2</v>
      </c>
      <c r="F399">
        <v>3.3865199561702308E-3</v>
      </c>
      <c r="G399">
        <v>1.7565880654146326E-2</v>
      </c>
      <c r="H399">
        <v>2.0679073782205383E-2</v>
      </c>
      <c r="I399">
        <v>0.12802646405104012</v>
      </c>
      <c r="J399">
        <v>0</v>
      </c>
      <c r="K399">
        <v>0.41879691331939739</v>
      </c>
      <c r="L399">
        <v>0.20030224313028391</v>
      </c>
      <c r="M399">
        <v>0.79969775686971611</v>
      </c>
      <c r="N399">
        <v>5.5314661318657428E-2</v>
      </c>
      <c r="O399" s="72">
        <v>0.98767092412251578</v>
      </c>
      <c r="P399">
        <v>0.99765241242616054</v>
      </c>
      <c r="Q399">
        <v>0.99396079589641628</v>
      </c>
      <c r="R399">
        <v>0.47458634030902347</v>
      </c>
      <c r="S399">
        <v>0.44054268281910325</v>
      </c>
      <c r="T399">
        <v>0.25644750553147677</v>
      </c>
      <c r="U399">
        <v>0.79140511821813186</v>
      </c>
      <c r="V399">
        <v>0.64816020760209059</v>
      </c>
      <c r="W399">
        <v>0.51099959810699358</v>
      </c>
      <c r="X399">
        <v>0.45616787646333645</v>
      </c>
      <c r="Y399">
        <v>0.43973559002639928</v>
      </c>
      <c r="Z399">
        <v>0.39335950584791951</v>
      </c>
      <c r="AA399">
        <v>0.69095353381007885</v>
      </c>
      <c r="AB399">
        <v>0.78396102083962149</v>
      </c>
      <c r="AC399">
        <v>0.77130169854543729</v>
      </c>
      <c r="AD399">
        <v>0.64185464672070802</v>
      </c>
      <c r="AE399">
        <v>284.29779744542049</v>
      </c>
      <c r="AF399">
        <v>1102.5018023372786</v>
      </c>
      <c r="AG399">
        <v>1988.3980851613612</v>
      </c>
      <c r="AH399">
        <v>12618.938349507715</v>
      </c>
      <c r="AI399">
        <v>9665.8805523908995</v>
      </c>
      <c r="AJ399">
        <v>40506.939076174545</v>
      </c>
      <c r="AK399">
        <v>14054.684691477692</v>
      </c>
      <c r="AL399">
        <v>1589.5142678226289</v>
      </c>
      <c r="AM399">
        <v>342.00477086957591</v>
      </c>
      <c r="AO399">
        <v>42513.269712217196</v>
      </c>
      <c r="AP399">
        <v>13.017291979073061</v>
      </c>
      <c r="AQ399">
        <v>45950.879691976726</v>
      </c>
      <c r="AR399">
        <v>13.156231312812588</v>
      </c>
      <c r="AS399" s="2">
        <f t="shared" si="43"/>
        <v>3437.6099797595307</v>
      </c>
      <c r="AT399" s="2">
        <f t="shared" si="44"/>
        <v>0.13893933373952727</v>
      </c>
      <c r="AV399">
        <f t="shared" si="45"/>
        <v>1259215.9281950889</v>
      </c>
      <c r="AW399">
        <f t="shared" si="46"/>
        <v>1269672.251589282</v>
      </c>
      <c r="AY399">
        <f t="shared" si="47"/>
        <v>0</v>
      </c>
      <c r="AZ399">
        <f t="shared" si="48"/>
        <v>1</v>
      </c>
    </row>
    <row r="400" spans="1:52" x14ac:dyDescent="0.2">
      <c r="A400">
        <f t="shared" si="42"/>
        <v>396</v>
      </c>
      <c r="B400">
        <v>2.269026192489567E-2</v>
      </c>
      <c r="C400">
        <v>2.4376420835186225E-2</v>
      </c>
      <c r="D400">
        <v>4.3659091348296042E-2</v>
      </c>
      <c r="E400">
        <v>3.2485717672533942E-2</v>
      </c>
      <c r="F400">
        <v>3.383091115327197E-3</v>
      </c>
      <c r="G400">
        <v>2.2019043002953875E-2</v>
      </c>
      <c r="H400">
        <v>1.5313722441720067E-2</v>
      </c>
      <c r="I400">
        <v>0.12772331868094663</v>
      </c>
      <c r="J400">
        <v>0</v>
      </c>
      <c r="K400">
        <v>0.45805139535817541</v>
      </c>
      <c r="L400">
        <v>0.18496968395321095</v>
      </c>
      <c r="M400">
        <v>0.81503031604678911</v>
      </c>
      <c r="N400">
        <v>5.9223081193160776E-2</v>
      </c>
      <c r="O400" s="72">
        <v>0.99999401019063305</v>
      </c>
      <c r="P400">
        <v>0.99988439679910124</v>
      </c>
      <c r="Q400">
        <v>0.93798287390187973</v>
      </c>
      <c r="R400">
        <v>0.5058161320804837</v>
      </c>
      <c r="S400">
        <v>0.41202469749225601</v>
      </c>
      <c r="T400">
        <v>0.29876340099599963</v>
      </c>
      <c r="U400">
        <v>0.77880713008701963</v>
      </c>
      <c r="V400">
        <v>0.61149414543072866</v>
      </c>
      <c r="W400">
        <v>0.53859335748356485</v>
      </c>
      <c r="X400">
        <v>0.45469952378197331</v>
      </c>
      <c r="Y400">
        <v>0.44204306723189396</v>
      </c>
      <c r="Z400">
        <v>0.44722557026250409</v>
      </c>
      <c r="AA400">
        <v>0.71262394663014139</v>
      </c>
      <c r="AB400">
        <v>0.77893053118049127</v>
      </c>
      <c r="AC400">
        <v>0.74904345907202297</v>
      </c>
      <c r="AD400">
        <v>0.66687074342039909</v>
      </c>
      <c r="AE400">
        <v>239.77085439682898</v>
      </c>
      <c r="AF400">
        <v>940.25038251174635</v>
      </c>
      <c r="AG400">
        <v>1535.2902838961559</v>
      </c>
      <c r="AH400">
        <v>11102.478004347378</v>
      </c>
      <c r="AI400">
        <v>7183.5832795465049</v>
      </c>
      <c r="AJ400">
        <v>39288.299809945063</v>
      </c>
      <c r="AK400">
        <v>9889.805649249749</v>
      </c>
      <c r="AL400">
        <v>2297.6052146741408</v>
      </c>
      <c r="AM400">
        <v>537.61699628306405</v>
      </c>
      <c r="AO400">
        <v>43059.763145096134</v>
      </c>
      <c r="AP400">
        <v>12.92015780590712</v>
      </c>
      <c r="AQ400">
        <v>48962.120868653605</v>
      </c>
      <c r="AR400">
        <v>13.07639848700442</v>
      </c>
      <c r="AS400" s="2">
        <f t="shared" si="43"/>
        <v>5902.3577235574703</v>
      </c>
      <c r="AT400" s="2">
        <f t="shared" si="44"/>
        <v>0.15624068109729983</v>
      </c>
      <c r="AV400">
        <f t="shared" si="45"/>
        <v>1248956.017445616</v>
      </c>
      <c r="AW400">
        <f t="shared" si="46"/>
        <v>1258677.7278317886</v>
      </c>
      <c r="AY400">
        <f t="shared" si="47"/>
        <v>0</v>
      </c>
      <c r="AZ400">
        <f t="shared" si="48"/>
        <v>1</v>
      </c>
    </row>
    <row r="401" spans="1:52" x14ac:dyDescent="0.2">
      <c r="A401">
        <f t="shared" si="42"/>
        <v>397</v>
      </c>
      <c r="B401">
        <v>2.5831100974077481E-2</v>
      </c>
      <c r="C401">
        <v>3.976526630969035E-2</v>
      </c>
      <c r="D401">
        <v>2.3986416460401071E-2</v>
      </c>
      <c r="E401">
        <v>1.1388687489232828E-2</v>
      </c>
      <c r="F401">
        <v>3.4039261556386702E-3</v>
      </c>
      <c r="G401">
        <v>1.658266795096397E-2</v>
      </c>
      <c r="H401">
        <v>1.9526069023376148E-2</v>
      </c>
      <c r="I401">
        <v>0.12324725163344577</v>
      </c>
      <c r="J401">
        <v>0</v>
      </c>
      <c r="K401">
        <v>0.41193693541882159</v>
      </c>
      <c r="L401">
        <v>0.2522946907613417</v>
      </c>
      <c r="M401">
        <v>0.7477053092386583</v>
      </c>
      <c r="N401">
        <v>5.7939287028107467E-2</v>
      </c>
      <c r="O401" s="72">
        <v>0.99644610160524216</v>
      </c>
      <c r="P401">
        <v>0.98536430039865008</v>
      </c>
      <c r="Q401">
        <v>0.99776383937905111</v>
      </c>
      <c r="R401">
        <v>0.5003179002651692</v>
      </c>
      <c r="S401">
        <v>0.30104403959525738</v>
      </c>
      <c r="T401">
        <v>0.30407522983449375</v>
      </c>
      <c r="U401">
        <v>0.75376537270538679</v>
      </c>
      <c r="V401">
        <v>0.61356540835308149</v>
      </c>
      <c r="W401">
        <v>0.56938236735512948</v>
      </c>
      <c r="X401">
        <v>0.41320939788050987</v>
      </c>
      <c r="Y401">
        <v>0.43960559438305902</v>
      </c>
      <c r="Z401">
        <v>0.42987467049092792</v>
      </c>
      <c r="AA401">
        <v>0.60858648903960522</v>
      </c>
      <c r="AB401">
        <v>0.83008967373098708</v>
      </c>
      <c r="AC401">
        <v>0.72796901476022557</v>
      </c>
      <c r="AD401">
        <v>0.64440730794768553</v>
      </c>
      <c r="AE401">
        <v>220.81841715345806</v>
      </c>
      <c r="AF401">
        <v>1102.4876205345383</v>
      </c>
      <c r="AG401">
        <v>2077.210061222941</v>
      </c>
      <c r="AH401">
        <v>12761.340703559681</v>
      </c>
      <c r="AI401">
        <v>8341.8787754044224</v>
      </c>
      <c r="AJ401">
        <v>33050.407912038827</v>
      </c>
      <c r="AK401">
        <v>15330.514489409559</v>
      </c>
      <c r="AL401">
        <v>1740.3137557463097</v>
      </c>
      <c r="AM401">
        <v>317.22329286422843</v>
      </c>
      <c r="AO401">
        <v>41966.100545268258</v>
      </c>
      <c r="AP401">
        <v>13.526879106204133</v>
      </c>
      <c r="AQ401">
        <v>45862.967509788818</v>
      </c>
      <c r="AR401">
        <v>13.718964324796396</v>
      </c>
      <c r="AS401" s="2">
        <f t="shared" si="43"/>
        <v>3896.8669645205591</v>
      </c>
      <c r="AT401" s="2">
        <f t="shared" si="44"/>
        <v>0.19208521859226302</v>
      </c>
      <c r="AV401">
        <f t="shared" si="45"/>
        <v>1310721.810075145</v>
      </c>
      <c r="AW401">
        <f t="shared" si="46"/>
        <v>1326033.4649698506</v>
      </c>
      <c r="AY401">
        <f t="shared" si="47"/>
        <v>0</v>
      </c>
      <c r="AZ401">
        <f t="shared" si="48"/>
        <v>1</v>
      </c>
    </row>
    <row r="402" spans="1:52" x14ac:dyDescent="0.2">
      <c r="A402">
        <f t="shared" si="42"/>
        <v>398</v>
      </c>
      <c r="B402">
        <v>2.2046836779690975E-2</v>
      </c>
      <c r="C402">
        <v>3.9478176636435935E-2</v>
      </c>
      <c r="D402">
        <v>5.4406790948404726E-2</v>
      </c>
      <c r="E402">
        <v>1.0160020029037004E-2</v>
      </c>
      <c r="F402">
        <v>3.2881473446087182E-3</v>
      </c>
      <c r="G402">
        <v>8.5901787540796533E-3</v>
      </c>
      <c r="H402">
        <v>2.8672257313802962E-2</v>
      </c>
      <c r="I402">
        <v>0.11409952796863231</v>
      </c>
      <c r="J402">
        <v>0</v>
      </c>
      <c r="K402">
        <v>0.45592360075551974</v>
      </c>
      <c r="L402">
        <v>0.2432972375770045</v>
      </c>
      <c r="M402">
        <v>0.7567027624229955</v>
      </c>
      <c r="N402">
        <v>4.6058744053885631E-2</v>
      </c>
      <c r="O402" s="72">
        <v>0.99988748891025059</v>
      </c>
      <c r="P402">
        <v>0.99999763165812816</v>
      </c>
      <c r="Q402">
        <v>0.96238648131299587</v>
      </c>
      <c r="R402">
        <v>0.48291951858108262</v>
      </c>
      <c r="S402">
        <v>0.35290477613726923</v>
      </c>
      <c r="T402">
        <v>0.30275913491894368</v>
      </c>
      <c r="U402">
        <v>0.75202155832947171</v>
      </c>
      <c r="V402">
        <v>0.74952215836045422</v>
      </c>
      <c r="W402">
        <v>0.4932630021935463</v>
      </c>
      <c r="X402">
        <v>0.47735711609727949</v>
      </c>
      <c r="Y402">
        <v>0.44875046455474416</v>
      </c>
      <c r="Z402">
        <v>0.40570572036897984</v>
      </c>
      <c r="AA402">
        <v>0.55058082669870834</v>
      </c>
      <c r="AB402">
        <v>0.81393751906717959</v>
      </c>
      <c r="AC402">
        <v>0.79554464177104878</v>
      </c>
      <c r="AD402">
        <v>0.57172456988299192</v>
      </c>
      <c r="AE402">
        <v>185.99382570387709</v>
      </c>
      <c r="AF402">
        <v>1064.5578686769509</v>
      </c>
      <c r="AG402">
        <v>1750.516138535824</v>
      </c>
      <c r="AH402">
        <v>12025.095295191697</v>
      </c>
      <c r="AI402">
        <v>12678.857555299517</v>
      </c>
      <c r="AJ402">
        <v>42744.226676730061</v>
      </c>
      <c r="AK402">
        <v>14169.223534190947</v>
      </c>
      <c r="AL402">
        <v>2694.9178712891758</v>
      </c>
      <c r="AM402">
        <v>337.9519352566117</v>
      </c>
      <c r="AO402">
        <v>42274.104500327303</v>
      </c>
      <c r="AP402">
        <v>13.351092392998764</v>
      </c>
      <c r="AQ402">
        <v>45784.410401867579</v>
      </c>
      <c r="AR402">
        <v>13.520675363951799</v>
      </c>
      <c r="AS402" s="2">
        <f t="shared" si="43"/>
        <v>3510.305901540276</v>
      </c>
      <c r="AT402" s="2">
        <f t="shared" si="44"/>
        <v>0.16958297095303543</v>
      </c>
      <c r="AV402">
        <f t="shared" si="45"/>
        <v>1292835.1347995491</v>
      </c>
      <c r="AW402">
        <f t="shared" si="46"/>
        <v>1306283.1259933123</v>
      </c>
      <c r="AY402">
        <f t="shared" si="47"/>
        <v>0</v>
      </c>
      <c r="AZ402">
        <f t="shared" si="48"/>
        <v>1</v>
      </c>
    </row>
    <row r="403" spans="1:52" x14ac:dyDescent="0.2">
      <c r="A403">
        <f t="shared" si="42"/>
        <v>399</v>
      </c>
      <c r="B403">
        <v>2.6751762404575552E-2</v>
      </c>
      <c r="C403">
        <v>4.2585935920324558E-2</v>
      </c>
      <c r="D403">
        <v>3.0972857526207643E-2</v>
      </c>
      <c r="E403">
        <v>1.1294929932057007E-2</v>
      </c>
      <c r="F403">
        <v>3.3612513386062082E-3</v>
      </c>
      <c r="G403">
        <v>5.7245697123608228E-3</v>
      </c>
      <c r="H403">
        <v>2.4107573648404289E-2</v>
      </c>
      <c r="I403">
        <v>0.13947002044702783</v>
      </c>
      <c r="J403">
        <v>0</v>
      </c>
      <c r="K403">
        <v>0.44660574462092628</v>
      </c>
      <c r="L403">
        <v>0.21222570887183012</v>
      </c>
      <c r="M403">
        <v>0.78777429112816988</v>
      </c>
      <c r="N403">
        <v>3.3970937418581232E-2</v>
      </c>
      <c r="O403" s="72">
        <v>0.99174342463554632</v>
      </c>
      <c r="P403">
        <v>0.99999469220217618</v>
      </c>
      <c r="Q403">
        <v>0.9606810648055627</v>
      </c>
      <c r="R403">
        <v>0.47719311241929974</v>
      </c>
      <c r="S403">
        <v>0.37176077596462143</v>
      </c>
      <c r="T403">
        <v>0.26083376824425841</v>
      </c>
      <c r="U403">
        <v>0.77610741943972961</v>
      </c>
      <c r="V403">
        <v>0.65826966890689131</v>
      </c>
      <c r="W403">
        <v>0.56630163575164194</v>
      </c>
      <c r="X403">
        <v>0.44743954379106649</v>
      </c>
      <c r="Y403">
        <v>0.50342183760077197</v>
      </c>
      <c r="Z403">
        <v>0.48822601477542271</v>
      </c>
      <c r="AA403">
        <v>0.65522861013662614</v>
      </c>
      <c r="AB403">
        <v>0.87826512090114783</v>
      </c>
      <c r="AC403">
        <v>0.69637359428981438</v>
      </c>
      <c r="AD403">
        <v>0.69831186029138692</v>
      </c>
      <c r="AE403">
        <v>187.13724060256388</v>
      </c>
      <c r="AF403">
        <v>1183.0255955990158</v>
      </c>
      <c r="AG403">
        <v>1441.1231518489947</v>
      </c>
      <c r="AH403">
        <v>11091.465916533431</v>
      </c>
      <c r="AI403">
        <v>13206.831069674745</v>
      </c>
      <c r="AJ403">
        <v>38643.517841984809</v>
      </c>
      <c r="AK403">
        <v>10778.744456759749</v>
      </c>
      <c r="AL403">
        <v>1865.211543388881</v>
      </c>
      <c r="AM403">
        <v>436.76561734080997</v>
      </c>
      <c r="AO403">
        <v>44180.012484439831</v>
      </c>
      <c r="AP403">
        <v>14.151280586819928</v>
      </c>
      <c r="AQ403">
        <v>47308.00195215454</v>
      </c>
      <c r="AR403">
        <v>14.404718625319644</v>
      </c>
      <c r="AS403" s="2">
        <f t="shared" si="43"/>
        <v>3127.9894677147095</v>
      </c>
      <c r="AT403" s="2">
        <f t="shared" si="44"/>
        <v>0.25343803849971636</v>
      </c>
      <c r="AV403">
        <f t="shared" si="45"/>
        <v>1370948.0461975529</v>
      </c>
      <c r="AW403">
        <f t="shared" si="46"/>
        <v>1393163.8605798099</v>
      </c>
      <c r="AY403">
        <f t="shared" si="47"/>
        <v>0</v>
      </c>
      <c r="AZ403">
        <f t="shared" si="48"/>
        <v>1</v>
      </c>
    </row>
    <row r="404" spans="1:52" x14ac:dyDescent="0.2">
      <c r="A404">
        <f t="shared" si="42"/>
        <v>400</v>
      </c>
      <c r="B404">
        <v>1.8897807462610272E-2</v>
      </c>
      <c r="C404">
        <v>3.6537801102815085E-2</v>
      </c>
      <c r="D404">
        <v>2.3604115597768503E-2</v>
      </c>
      <c r="E404">
        <v>6.421812088217801E-3</v>
      </c>
      <c r="F404">
        <v>3.3538163738141558E-3</v>
      </c>
      <c r="G404">
        <v>2.9742053957355741E-2</v>
      </c>
      <c r="H404">
        <v>2.7775174154106512E-2</v>
      </c>
      <c r="I404">
        <v>0.12448352406110796</v>
      </c>
      <c r="J404">
        <v>0</v>
      </c>
      <c r="K404">
        <v>0.50198551850564699</v>
      </c>
      <c r="L404">
        <v>0.27024192912255685</v>
      </c>
      <c r="M404">
        <v>0.72975807087744315</v>
      </c>
      <c r="N404">
        <v>5.3991140505298442E-2</v>
      </c>
      <c r="O404" s="72">
        <v>0.96859212700293018</v>
      </c>
      <c r="P404">
        <v>0.99948283726466958</v>
      </c>
      <c r="Q404">
        <v>0.99189624049384517</v>
      </c>
      <c r="R404">
        <v>0.50037878501767508</v>
      </c>
      <c r="S404">
        <v>0.36112471939247104</v>
      </c>
      <c r="T404">
        <v>0.21683720824946207</v>
      </c>
      <c r="U404">
        <v>0.76915716469597573</v>
      </c>
      <c r="V404">
        <v>0.64905165643604168</v>
      </c>
      <c r="W404">
        <v>0.5446528867798005</v>
      </c>
      <c r="X404">
        <v>0.41994518024648159</v>
      </c>
      <c r="Y404">
        <v>0.45556262654915569</v>
      </c>
      <c r="Z404">
        <v>0.43378167225922504</v>
      </c>
      <c r="AA404">
        <v>0.70179585965257285</v>
      </c>
      <c r="AB404">
        <v>0.72167364422032443</v>
      </c>
      <c r="AC404">
        <v>0.68874273634931815</v>
      </c>
      <c r="AD404">
        <v>0.50920791713512803</v>
      </c>
      <c r="AE404">
        <v>259.69640795211916</v>
      </c>
      <c r="AF404">
        <v>1127.4464811810683</v>
      </c>
      <c r="AG404">
        <v>1846.3232234323582</v>
      </c>
      <c r="AH404">
        <v>12719.357745530171</v>
      </c>
      <c r="AI404">
        <v>16528.042632657423</v>
      </c>
      <c r="AJ404">
        <v>37421.24240405803</v>
      </c>
      <c r="AK404">
        <v>17285.834748788991</v>
      </c>
      <c r="AL404">
        <v>2129.7658583066395</v>
      </c>
      <c r="AM404">
        <v>307.08665881081993</v>
      </c>
      <c r="AO404">
        <v>42404.402702590371</v>
      </c>
      <c r="AP404">
        <v>11.927922794041738</v>
      </c>
      <c r="AQ404">
        <v>45406.693597162332</v>
      </c>
      <c r="AR404">
        <v>11.96095057392008</v>
      </c>
      <c r="AS404" s="2">
        <f t="shared" si="43"/>
        <v>3002.290894571961</v>
      </c>
      <c r="AT404" s="2">
        <f t="shared" si="44"/>
        <v>3.3027779878342045E-2</v>
      </c>
      <c r="AV404">
        <f t="shared" si="45"/>
        <v>1150387.8767015834</v>
      </c>
      <c r="AW404">
        <f t="shared" si="46"/>
        <v>1150688.3637948455</v>
      </c>
      <c r="AY404">
        <f t="shared" si="47"/>
        <v>0</v>
      </c>
      <c r="AZ404">
        <f t="shared" si="48"/>
        <v>1</v>
      </c>
    </row>
    <row r="405" spans="1:52" x14ac:dyDescent="0.2">
      <c r="A405">
        <f t="shared" si="42"/>
        <v>401</v>
      </c>
      <c r="B405">
        <v>2.4038844492962789E-2</v>
      </c>
      <c r="C405">
        <v>4.0883461674884436E-2</v>
      </c>
      <c r="D405">
        <v>4.344119541690461E-2</v>
      </c>
      <c r="E405">
        <v>6.3643769993332799E-3</v>
      </c>
      <c r="F405">
        <v>3.3261338363669078E-3</v>
      </c>
      <c r="G405">
        <v>1.3390715951037468E-2</v>
      </c>
      <c r="H405">
        <v>2.275040950226552E-2</v>
      </c>
      <c r="I405">
        <v>0.12007490848922286</v>
      </c>
      <c r="J405">
        <v>0</v>
      </c>
      <c r="K405">
        <v>0.39042484418824619</v>
      </c>
      <c r="L405">
        <v>0.20699574196084111</v>
      </c>
      <c r="M405">
        <v>0.79300425803915886</v>
      </c>
      <c r="N405">
        <v>5.7290299103484932E-2</v>
      </c>
      <c r="O405" s="72">
        <v>0.99738001876171101</v>
      </c>
      <c r="P405">
        <v>0.99323880954751609</v>
      </c>
      <c r="Q405">
        <v>0.9952573642952427</v>
      </c>
      <c r="R405">
        <v>0.52337068619686433</v>
      </c>
      <c r="S405">
        <v>0.3593576998093817</v>
      </c>
      <c r="T405">
        <v>0.19148157168233082</v>
      </c>
      <c r="U405">
        <v>0.78517718524537994</v>
      </c>
      <c r="V405">
        <v>0.66447606289444816</v>
      </c>
      <c r="W405">
        <v>0.57551816381351895</v>
      </c>
      <c r="X405">
        <v>0.42878300119897411</v>
      </c>
      <c r="Y405">
        <v>0.40750502436803426</v>
      </c>
      <c r="Z405">
        <v>0.43954451056132665</v>
      </c>
      <c r="AA405">
        <v>0.74992002484164955</v>
      </c>
      <c r="AB405">
        <v>0.8054256015894099</v>
      </c>
      <c r="AC405">
        <v>0.72643660871764359</v>
      </c>
      <c r="AD405">
        <v>0.64860808450156493</v>
      </c>
      <c r="AE405">
        <v>159.42217719816543</v>
      </c>
      <c r="AF405">
        <v>1021.3028419225958</v>
      </c>
      <c r="AG405">
        <v>1702.5394433463227</v>
      </c>
      <c r="AH405">
        <v>11040.192025699496</v>
      </c>
      <c r="AI405">
        <v>11090.229978448644</v>
      </c>
      <c r="AJ405">
        <v>44224.568011281764</v>
      </c>
      <c r="AK405">
        <v>22797.411877298382</v>
      </c>
      <c r="AL405">
        <v>2016.7146773386398</v>
      </c>
      <c r="AM405">
        <v>349.75366367175951</v>
      </c>
      <c r="AO405">
        <v>42393.726669016716</v>
      </c>
      <c r="AP405">
        <v>13.206551350594324</v>
      </c>
      <c r="AQ405">
        <v>46013.999470197778</v>
      </c>
      <c r="AR405">
        <v>13.382601486477245</v>
      </c>
      <c r="AS405" s="2">
        <f t="shared" si="43"/>
        <v>3620.2728011810614</v>
      </c>
      <c r="AT405" s="2">
        <f t="shared" si="44"/>
        <v>0.17605013588292096</v>
      </c>
      <c r="AV405">
        <f t="shared" si="45"/>
        <v>1278261.4083904156</v>
      </c>
      <c r="AW405">
        <f t="shared" si="46"/>
        <v>1292246.1491775268</v>
      </c>
      <c r="AY405">
        <f t="shared" si="47"/>
        <v>0</v>
      </c>
      <c r="AZ405">
        <f t="shared" si="48"/>
        <v>1</v>
      </c>
    </row>
    <row r="406" spans="1:52" x14ac:dyDescent="0.2">
      <c r="A406">
        <f t="shared" si="42"/>
        <v>402</v>
      </c>
      <c r="B406">
        <v>3.2095410492419152E-2</v>
      </c>
      <c r="C406">
        <v>3.8594120755160111E-2</v>
      </c>
      <c r="D406">
        <v>4.9421064927868907E-2</v>
      </c>
      <c r="E406">
        <v>6.6375795942801878E-3</v>
      </c>
      <c r="F406">
        <v>3.4440507266231268E-3</v>
      </c>
      <c r="G406">
        <v>4.4316090564853515E-3</v>
      </c>
      <c r="H406">
        <v>3.2274972175858951E-2</v>
      </c>
      <c r="I406">
        <v>0.12026380518203714</v>
      </c>
      <c r="J406">
        <v>0</v>
      </c>
      <c r="K406">
        <v>0.4369661330025375</v>
      </c>
      <c r="L406">
        <v>0.16791161872147875</v>
      </c>
      <c r="M406">
        <v>0.83208838127852125</v>
      </c>
      <c r="N406">
        <v>7.0788144168854705E-2</v>
      </c>
      <c r="O406" s="72">
        <v>0.99999339773662543</v>
      </c>
      <c r="P406">
        <v>0.99992380233808109</v>
      </c>
      <c r="Q406">
        <v>0.99924626859255039</v>
      </c>
      <c r="R406">
        <v>0.526585759353001</v>
      </c>
      <c r="S406">
        <v>0.36293706579170981</v>
      </c>
      <c r="T406">
        <v>0.3333820184315448</v>
      </c>
      <c r="U406">
        <v>0.72904305553223292</v>
      </c>
      <c r="V406">
        <v>0.67105252538470861</v>
      </c>
      <c r="W406">
        <v>0.58804715698781451</v>
      </c>
      <c r="X406">
        <v>0.41068171933583303</v>
      </c>
      <c r="Y406">
        <v>0.45873418832053392</v>
      </c>
      <c r="Z406">
        <v>0.42256893934887818</v>
      </c>
      <c r="AA406">
        <v>0.68951464733175227</v>
      </c>
      <c r="AB406">
        <v>0.81333841433986687</v>
      </c>
      <c r="AC406">
        <v>0.63038813576453123</v>
      </c>
      <c r="AD406">
        <v>0.62026798918335024</v>
      </c>
      <c r="AE406">
        <v>178.42527512473174</v>
      </c>
      <c r="AF406">
        <v>927.31985136522292</v>
      </c>
      <c r="AG406">
        <v>1807.2002553743175</v>
      </c>
      <c r="AH406">
        <v>15166.33746485303</v>
      </c>
      <c r="AI406">
        <v>10191.160803674229</v>
      </c>
      <c r="AJ406">
        <v>40471.451096035409</v>
      </c>
      <c r="AK406">
        <v>13538.177311740661</v>
      </c>
      <c r="AL406">
        <v>2505.363171790832</v>
      </c>
      <c r="AM406">
        <v>342.33299950811505</v>
      </c>
      <c r="AO406">
        <v>39997.044654869504</v>
      </c>
      <c r="AP406">
        <v>13.099921475079626</v>
      </c>
      <c r="AQ406">
        <v>45782.933395445369</v>
      </c>
      <c r="AR406">
        <v>13.279539813648043</v>
      </c>
      <c r="AS406" s="2">
        <f t="shared" si="43"/>
        <v>5785.8887405758651</v>
      </c>
      <c r="AT406" s="2">
        <f t="shared" si="44"/>
        <v>0.17961833856841736</v>
      </c>
      <c r="AV406">
        <f t="shared" si="45"/>
        <v>1269995.1028530931</v>
      </c>
      <c r="AW406">
        <f t="shared" si="46"/>
        <v>1282171.047969359</v>
      </c>
      <c r="AY406">
        <f t="shared" si="47"/>
        <v>0</v>
      </c>
      <c r="AZ406">
        <f t="shared" si="48"/>
        <v>1</v>
      </c>
    </row>
    <row r="407" spans="1:52" x14ac:dyDescent="0.2">
      <c r="A407">
        <f t="shared" si="42"/>
        <v>403</v>
      </c>
      <c r="B407">
        <v>2.3642838370027869E-2</v>
      </c>
      <c r="C407">
        <v>2.8155977219329085E-2</v>
      </c>
      <c r="D407">
        <v>2.8186259853284674E-2</v>
      </c>
      <c r="E407">
        <v>1.411703768997763E-2</v>
      </c>
      <c r="F407">
        <v>3.3125542891705708E-3</v>
      </c>
      <c r="G407">
        <v>3.6073663454319393E-2</v>
      </c>
      <c r="H407">
        <v>1.6410583608656031E-2</v>
      </c>
      <c r="I407">
        <v>0.12069753113603866</v>
      </c>
      <c r="J407">
        <v>0</v>
      </c>
      <c r="K407">
        <v>0.46692809621283704</v>
      </c>
      <c r="L407">
        <v>0.19349718437162458</v>
      </c>
      <c r="M407">
        <v>0.80650281562837545</v>
      </c>
      <c r="N407">
        <v>3.4964955875770289E-2</v>
      </c>
      <c r="O407" s="72">
        <v>0.9999230289907981</v>
      </c>
      <c r="P407">
        <v>0.99869899418789132</v>
      </c>
      <c r="Q407">
        <v>0.99456934690285692</v>
      </c>
      <c r="R407">
        <v>0.53007752341959358</v>
      </c>
      <c r="S407">
        <v>0.41090362400570213</v>
      </c>
      <c r="T407">
        <v>0.12549141825425913</v>
      </c>
      <c r="U407">
        <v>0.80009698591273559</v>
      </c>
      <c r="V407">
        <v>0.65559992574194459</v>
      </c>
      <c r="W407">
        <v>0.53029080436524156</v>
      </c>
      <c r="X407">
        <v>0.43359926982629809</v>
      </c>
      <c r="Y407">
        <v>0.51991893996172445</v>
      </c>
      <c r="Z407">
        <v>0.43322745501082272</v>
      </c>
      <c r="AA407">
        <v>0.72359560555834235</v>
      </c>
      <c r="AB407">
        <v>0.78351228102564296</v>
      </c>
      <c r="AC407">
        <v>0.70475400023105506</v>
      </c>
      <c r="AD407">
        <v>0.63532065477003763</v>
      </c>
      <c r="AE407">
        <v>227.81274949750642</v>
      </c>
      <c r="AF407">
        <v>938.10467468092509</v>
      </c>
      <c r="AG407">
        <v>1663.1420011801035</v>
      </c>
      <c r="AH407">
        <v>14360.119694806703</v>
      </c>
      <c r="AI407">
        <v>10819.148373324299</v>
      </c>
      <c r="AJ407">
        <v>37865.444690798176</v>
      </c>
      <c r="AK407">
        <v>11448.177833699803</v>
      </c>
      <c r="AL407">
        <v>1399.142445514158</v>
      </c>
      <c r="AM407">
        <v>429.75475091510327</v>
      </c>
      <c r="AO407">
        <v>44836.033717543869</v>
      </c>
      <c r="AP407">
        <v>12.842108760827331</v>
      </c>
      <c r="AQ407">
        <v>47171.278404190867</v>
      </c>
      <c r="AR407">
        <v>13.021041656726283</v>
      </c>
      <c r="AS407" s="2">
        <f t="shared" si="43"/>
        <v>2335.2446866469982</v>
      </c>
      <c r="AT407" s="2">
        <f t="shared" si="44"/>
        <v>0.17893289589895112</v>
      </c>
      <c r="AV407">
        <f t="shared" si="45"/>
        <v>1239374.8423651892</v>
      </c>
      <c r="AW407">
        <f t="shared" si="46"/>
        <v>1254932.8872684373</v>
      </c>
      <c r="AY407">
        <f t="shared" si="47"/>
        <v>0</v>
      </c>
      <c r="AZ407">
        <f t="shared" si="48"/>
        <v>1</v>
      </c>
    </row>
    <row r="408" spans="1:52" x14ac:dyDescent="0.2">
      <c r="A408">
        <f t="shared" si="42"/>
        <v>404</v>
      </c>
      <c r="B408">
        <v>2.0274824119797571E-2</v>
      </c>
      <c r="C408">
        <v>3.3748411388022287E-2</v>
      </c>
      <c r="D408">
        <v>4.4021841062337197E-2</v>
      </c>
      <c r="E408">
        <v>1.1367609528749259E-2</v>
      </c>
      <c r="F408">
        <v>3.4413190597687437E-3</v>
      </c>
      <c r="G408">
        <v>2.6978826320348093E-2</v>
      </c>
      <c r="H408">
        <v>3.4430693750574171E-2</v>
      </c>
      <c r="I408">
        <v>0.13050972643451852</v>
      </c>
      <c r="J408">
        <v>0</v>
      </c>
      <c r="K408">
        <v>0.36564288163391712</v>
      </c>
      <c r="L408">
        <v>0.26380876395629094</v>
      </c>
      <c r="M408">
        <v>0.73619123604370906</v>
      </c>
      <c r="N408">
        <v>5.7627899806113714E-2</v>
      </c>
      <c r="O408" s="72">
        <v>0.98892586688714945</v>
      </c>
      <c r="P408">
        <v>0.99522026490407545</v>
      </c>
      <c r="Q408">
        <v>0.94271566400380058</v>
      </c>
      <c r="R408">
        <v>0.4350909121337927</v>
      </c>
      <c r="S408">
        <v>0.30273401123491261</v>
      </c>
      <c r="T408">
        <v>0.29726385441251613</v>
      </c>
      <c r="U408">
        <v>0.78187681034358358</v>
      </c>
      <c r="V408">
        <v>0.60968130433865064</v>
      </c>
      <c r="W408">
        <v>0.46718920871902275</v>
      </c>
      <c r="X408">
        <v>0.46011112777940566</v>
      </c>
      <c r="Y408">
        <v>0.43374746314489238</v>
      </c>
      <c r="Z408">
        <v>0.48816352199633695</v>
      </c>
      <c r="AA408">
        <v>0.64893310369122692</v>
      </c>
      <c r="AB408">
        <v>0.90506769026932488</v>
      </c>
      <c r="AC408">
        <v>0.70993679601086257</v>
      </c>
      <c r="AD408">
        <v>0.55419098557893465</v>
      </c>
      <c r="AE408">
        <v>206.61389500627359</v>
      </c>
      <c r="AF408">
        <v>996.52641819487928</v>
      </c>
      <c r="AG408">
        <v>1932.5123265890459</v>
      </c>
      <c r="AH408">
        <v>13608.12028674578</v>
      </c>
      <c r="AI408">
        <v>17309.665394569587</v>
      </c>
      <c r="AJ408">
        <v>40094.856287473056</v>
      </c>
      <c r="AK408">
        <v>25231.448874629816</v>
      </c>
      <c r="AL408">
        <v>1806.5255714480475</v>
      </c>
      <c r="AM408">
        <v>269.66152586118318</v>
      </c>
      <c r="AO408">
        <v>44864.629201266842</v>
      </c>
      <c r="AP408">
        <v>14.304667821690963</v>
      </c>
      <c r="AQ408">
        <v>45025.824961510203</v>
      </c>
      <c r="AR408">
        <v>14.601918079343911</v>
      </c>
      <c r="AS408" s="2">
        <f t="shared" si="43"/>
        <v>161.19576024336129</v>
      </c>
      <c r="AT408" s="2">
        <f t="shared" si="44"/>
        <v>0.29725025765294788</v>
      </c>
      <c r="AV408">
        <f t="shared" si="45"/>
        <v>1385602.1529678293</v>
      </c>
      <c r="AW408">
        <f t="shared" si="46"/>
        <v>1415165.9829728808</v>
      </c>
      <c r="AY408">
        <f t="shared" si="47"/>
        <v>0</v>
      </c>
      <c r="AZ408">
        <f t="shared" si="48"/>
        <v>1</v>
      </c>
    </row>
    <row r="409" spans="1:52" x14ac:dyDescent="0.2">
      <c r="A409">
        <f t="shared" si="42"/>
        <v>405</v>
      </c>
      <c r="B409">
        <v>2.6674581056654767E-2</v>
      </c>
      <c r="C409">
        <v>4.3505566088842151E-2</v>
      </c>
      <c r="D409">
        <v>3.3726870545684434E-2</v>
      </c>
      <c r="E409">
        <v>3.39165274895697E-3</v>
      </c>
      <c r="F409">
        <v>3.4596889731155489E-3</v>
      </c>
      <c r="G409">
        <v>7.9657303689455641E-3</v>
      </c>
      <c r="H409">
        <v>1.9881064064738434E-2</v>
      </c>
      <c r="I409">
        <v>0.11793679228881626</v>
      </c>
      <c r="J409">
        <v>0</v>
      </c>
      <c r="K409">
        <v>0.36324498989104592</v>
      </c>
      <c r="L409">
        <v>0.24877532753185239</v>
      </c>
      <c r="M409">
        <v>0.75122467246814761</v>
      </c>
      <c r="N409">
        <v>7.4912894417340281E-2</v>
      </c>
      <c r="O409" s="72">
        <v>0.99977082511328363</v>
      </c>
      <c r="P409">
        <v>0.99544402059764281</v>
      </c>
      <c r="Q409">
        <v>0.88342996258444129</v>
      </c>
      <c r="R409">
        <v>0.53184645302855493</v>
      </c>
      <c r="S409">
        <v>0.44081373109685107</v>
      </c>
      <c r="T409">
        <v>0.17106511737264429</v>
      </c>
      <c r="U409">
        <v>0.76399767300680999</v>
      </c>
      <c r="V409">
        <v>0.62524167367171712</v>
      </c>
      <c r="W409">
        <v>0.52466711316446035</v>
      </c>
      <c r="X409">
        <v>0.41436257499936924</v>
      </c>
      <c r="Y409">
        <v>0.45888623156817787</v>
      </c>
      <c r="Z409">
        <v>0.44279726988207191</v>
      </c>
      <c r="AA409">
        <v>0.66580761649426279</v>
      </c>
      <c r="AB409">
        <v>0.85507454409938977</v>
      </c>
      <c r="AC409">
        <v>0.71506246066723345</v>
      </c>
      <c r="AD409">
        <v>0.57046198504299495</v>
      </c>
      <c r="AE409">
        <v>259.56483786720491</v>
      </c>
      <c r="AF409">
        <v>995.31931719588783</v>
      </c>
      <c r="AG409">
        <v>1209.9983547253944</v>
      </c>
      <c r="AH409">
        <v>15535.399241232026</v>
      </c>
      <c r="AI409">
        <v>9730.9906353437163</v>
      </c>
      <c r="AJ409">
        <v>36236.925251438624</v>
      </c>
      <c r="AK409">
        <v>14295.948408874214</v>
      </c>
      <c r="AL409">
        <v>2101.8927896291384</v>
      </c>
      <c r="AM409">
        <v>407.37288218335647</v>
      </c>
      <c r="AO409">
        <v>42914.147183563036</v>
      </c>
      <c r="AP409">
        <v>13.732435254778624</v>
      </c>
      <c r="AQ409">
        <v>47415.50515538238</v>
      </c>
      <c r="AR409">
        <v>13.939245462937555</v>
      </c>
      <c r="AS409" s="2">
        <f t="shared" si="43"/>
        <v>4501.3579718193432</v>
      </c>
      <c r="AT409" s="2">
        <f t="shared" si="44"/>
        <v>0.20681020815893092</v>
      </c>
      <c r="AV409">
        <f t="shared" si="45"/>
        <v>1330329.3782942994</v>
      </c>
      <c r="AW409">
        <f t="shared" si="46"/>
        <v>1346509.0411383731</v>
      </c>
      <c r="AY409">
        <f t="shared" si="47"/>
        <v>0</v>
      </c>
      <c r="AZ409">
        <f t="shared" si="48"/>
        <v>1</v>
      </c>
    </row>
    <row r="410" spans="1:52" x14ac:dyDescent="0.2">
      <c r="A410">
        <f t="shared" si="42"/>
        <v>406</v>
      </c>
      <c r="B410">
        <v>2.5465550421662986E-2</v>
      </c>
      <c r="C410">
        <v>3.1245427847349114E-2</v>
      </c>
      <c r="D410">
        <v>2.0806318522544578E-2</v>
      </c>
      <c r="E410">
        <v>5.3135930137230654E-3</v>
      </c>
      <c r="F410">
        <v>3.4963655302038266E-3</v>
      </c>
      <c r="G410">
        <v>2.9981878955302643E-3</v>
      </c>
      <c r="H410">
        <v>1.4665169543387127E-2</v>
      </c>
      <c r="I410">
        <v>0.12175408389582963</v>
      </c>
      <c r="J410">
        <v>0</v>
      </c>
      <c r="K410">
        <v>0.48020026338830557</v>
      </c>
      <c r="L410">
        <v>5.2435167847415323E-2</v>
      </c>
      <c r="M410">
        <v>0.94756483215258469</v>
      </c>
      <c r="N410">
        <v>4.0895800227146707E-2</v>
      </c>
      <c r="O410" s="72">
        <v>0.99997921920794841</v>
      </c>
      <c r="P410">
        <v>0.99989659227257888</v>
      </c>
      <c r="Q410">
        <v>0.96397630832519388</v>
      </c>
      <c r="R410">
        <v>0.51759861294912946</v>
      </c>
      <c r="S410">
        <v>0.47536034647682057</v>
      </c>
      <c r="T410">
        <v>0.26681327421096745</v>
      </c>
      <c r="U410">
        <v>0.76721503918940614</v>
      </c>
      <c r="V410">
        <v>0.70320328327937798</v>
      </c>
      <c r="W410">
        <v>0.6428610317584158</v>
      </c>
      <c r="X410">
        <v>0.42631458505520242</v>
      </c>
      <c r="Y410">
        <v>0.44594394639998902</v>
      </c>
      <c r="Z410">
        <v>0.46036936557295072</v>
      </c>
      <c r="AA410">
        <v>0.67930771756114283</v>
      </c>
      <c r="AB410">
        <v>0.81036457195969791</v>
      </c>
      <c r="AC410">
        <v>0.77814125906496967</v>
      </c>
      <c r="AD410">
        <v>0.569213368708543</v>
      </c>
      <c r="AE410">
        <v>278.18244327453249</v>
      </c>
      <c r="AF410">
        <v>1052.7631489553301</v>
      </c>
      <c r="AG410">
        <v>1890.8813317945292</v>
      </c>
      <c r="AH410">
        <v>14469.552921227069</v>
      </c>
      <c r="AI410">
        <v>9546.2044294329426</v>
      </c>
      <c r="AJ410">
        <v>40138.800307642341</v>
      </c>
      <c r="AK410">
        <v>9371.1679891940275</v>
      </c>
      <c r="AL410">
        <v>1120.8293233192303</v>
      </c>
      <c r="AM410">
        <v>389.42611300368031</v>
      </c>
      <c r="AO410">
        <v>40796.466939408121</v>
      </c>
      <c r="AP410">
        <v>13.356248319555014</v>
      </c>
      <c r="AQ410">
        <v>46735.479699508258</v>
      </c>
      <c r="AR410">
        <v>13.435329458418316</v>
      </c>
      <c r="AS410" s="2">
        <f t="shared" si="43"/>
        <v>5939.0127601001368</v>
      </c>
      <c r="AT410" s="2">
        <f t="shared" si="44"/>
        <v>7.9081138863301703E-2</v>
      </c>
      <c r="AV410">
        <f t="shared" si="45"/>
        <v>1294828.3650160932</v>
      </c>
      <c r="AW410">
        <f t="shared" si="46"/>
        <v>1296797.4661423233</v>
      </c>
      <c r="AY410">
        <f t="shared" si="47"/>
        <v>0</v>
      </c>
      <c r="AZ410">
        <f t="shared" si="48"/>
        <v>1</v>
      </c>
    </row>
    <row r="411" spans="1:52" x14ac:dyDescent="0.2">
      <c r="A411">
        <f t="shared" si="42"/>
        <v>407</v>
      </c>
      <c r="B411">
        <v>2.3693310205266025E-2</v>
      </c>
      <c r="C411">
        <v>4.1298165739723336E-2</v>
      </c>
      <c r="D411">
        <v>2.5836845548846334E-2</v>
      </c>
      <c r="E411">
        <v>1.286746325785959E-2</v>
      </c>
      <c r="F411">
        <v>3.235259191957991E-3</v>
      </c>
      <c r="G411">
        <v>2.041364913718613E-2</v>
      </c>
      <c r="H411">
        <v>8.7603264158261415E-3</v>
      </c>
      <c r="I411">
        <v>0.11320158090055274</v>
      </c>
      <c r="J411">
        <v>0</v>
      </c>
      <c r="K411">
        <v>0.45739113188493719</v>
      </c>
      <c r="L411">
        <v>0.19405691497216859</v>
      </c>
      <c r="M411">
        <v>0.80594308502783141</v>
      </c>
      <c r="N411">
        <v>6.7608745816041704E-2</v>
      </c>
      <c r="O411" s="72">
        <v>0.99849724325157307</v>
      </c>
      <c r="P411">
        <v>0.97989194757634446</v>
      </c>
      <c r="Q411">
        <v>0.93792334692978718</v>
      </c>
      <c r="R411">
        <v>0.48618583910684077</v>
      </c>
      <c r="S411">
        <v>0.33415692899225213</v>
      </c>
      <c r="T411">
        <v>0.12560447341595116</v>
      </c>
      <c r="U411">
        <v>0.77060256275507855</v>
      </c>
      <c r="V411">
        <v>0.68112750076024475</v>
      </c>
      <c r="W411">
        <v>0.52279570707199063</v>
      </c>
      <c r="X411">
        <v>0.44463865203248987</v>
      </c>
      <c r="Y411">
        <v>0.44811777706406181</v>
      </c>
      <c r="Z411">
        <v>0.49485596291299094</v>
      </c>
      <c r="AA411">
        <v>0.70423080947812522</v>
      </c>
      <c r="AB411">
        <v>0.83341802424071065</v>
      </c>
      <c r="AC411">
        <v>0.74133450924840127</v>
      </c>
      <c r="AD411">
        <v>0.60768287627287554</v>
      </c>
      <c r="AE411">
        <v>167.04128998018106</v>
      </c>
      <c r="AF411">
        <v>688.11765767346151</v>
      </c>
      <c r="AG411">
        <v>2058.8304967573813</v>
      </c>
      <c r="AH411">
        <v>14384.25497656379</v>
      </c>
      <c r="AI411">
        <v>12055.724584216108</v>
      </c>
      <c r="AJ411">
        <v>42164.790340339408</v>
      </c>
      <c r="AK411">
        <v>7911.8251932105604</v>
      </c>
      <c r="AL411">
        <v>2381.3364239816206</v>
      </c>
      <c r="AM411">
        <v>287.77520247572113</v>
      </c>
      <c r="AO411">
        <v>46168.686511890453</v>
      </c>
      <c r="AP411">
        <v>13.492607535934996</v>
      </c>
      <c r="AQ411">
        <v>45730.003007776701</v>
      </c>
      <c r="AR411">
        <v>13.738910862010782</v>
      </c>
      <c r="AS411" s="2">
        <f t="shared" si="43"/>
        <v>-438.68350411375286</v>
      </c>
      <c r="AT411" s="2">
        <f t="shared" si="44"/>
        <v>0.24630332607578609</v>
      </c>
      <c r="AV411">
        <f t="shared" si="45"/>
        <v>1303092.067081609</v>
      </c>
      <c r="AW411">
        <f t="shared" si="46"/>
        <v>1328161.0831933015</v>
      </c>
      <c r="AY411">
        <f t="shared" si="47"/>
        <v>0</v>
      </c>
      <c r="AZ411">
        <f t="shared" si="48"/>
        <v>1</v>
      </c>
    </row>
    <row r="412" spans="1:52" x14ac:dyDescent="0.2">
      <c r="A412">
        <f t="shared" si="42"/>
        <v>408</v>
      </c>
      <c r="B412">
        <v>2.4396333237830237E-2</v>
      </c>
      <c r="C412">
        <v>4.8681214382680582E-2</v>
      </c>
      <c r="D412">
        <v>5.2639364346714457E-2</v>
      </c>
      <c r="E412">
        <v>1.2239996133487363E-2</v>
      </c>
      <c r="F412">
        <v>3.4472831195681009E-3</v>
      </c>
      <c r="G412">
        <v>1.7853190039368361E-2</v>
      </c>
      <c r="H412">
        <v>2.144560011155467E-2</v>
      </c>
      <c r="I412">
        <v>0.13442825392000202</v>
      </c>
      <c r="J412">
        <v>0</v>
      </c>
      <c r="K412">
        <v>0.43667021866852229</v>
      </c>
      <c r="L412">
        <v>0.20106672312510182</v>
      </c>
      <c r="M412">
        <v>0.79893327687489823</v>
      </c>
      <c r="N412">
        <v>6.6203215680796346E-2</v>
      </c>
      <c r="O412" s="72">
        <v>0.99830210759475624</v>
      </c>
      <c r="P412">
        <v>0.99299048923035349</v>
      </c>
      <c r="Q412">
        <v>0.97783857855491685</v>
      </c>
      <c r="R412">
        <v>0.51562257459405292</v>
      </c>
      <c r="S412">
        <v>0.28102591731837157</v>
      </c>
      <c r="T412">
        <v>0.16882858804226064</v>
      </c>
      <c r="U412">
        <v>0.7733064652003665</v>
      </c>
      <c r="V412">
        <v>0.64795076894507497</v>
      </c>
      <c r="W412">
        <v>0.52285522603019607</v>
      </c>
      <c r="X412">
        <v>0.43193206211061619</v>
      </c>
      <c r="Y412">
        <v>0.45497804428750055</v>
      </c>
      <c r="Z412">
        <v>0.43011572468170856</v>
      </c>
      <c r="AA412">
        <v>0.68899857717807245</v>
      </c>
      <c r="AB412">
        <v>0.83691446106106826</v>
      </c>
      <c r="AC412">
        <v>0.74039940123619519</v>
      </c>
      <c r="AD412">
        <v>0.61166806934664963</v>
      </c>
      <c r="AE412">
        <v>266.05741836476011</v>
      </c>
      <c r="AF412">
        <v>1026.5963234565211</v>
      </c>
      <c r="AG412">
        <v>1275.6098263139136</v>
      </c>
      <c r="AH412">
        <v>14097.74080744791</v>
      </c>
      <c r="AI412">
        <v>13041.357135405922</v>
      </c>
      <c r="AJ412">
        <v>37034.744112818007</v>
      </c>
      <c r="AK412">
        <v>7573.1296809292608</v>
      </c>
      <c r="AL412">
        <v>1947.6228024954573</v>
      </c>
      <c r="AM412">
        <v>293.774531099005</v>
      </c>
      <c r="AO412">
        <v>43948.141291624335</v>
      </c>
      <c r="AP412">
        <v>13.503577653831135</v>
      </c>
      <c r="AQ412">
        <v>45295.912951949475</v>
      </c>
      <c r="AR412">
        <v>13.791040086017649</v>
      </c>
      <c r="AS412" s="2">
        <f t="shared" si="43"/>
        <v>1347.7716603251392</v>
      </c>
      <c r="AT412" s="2">
        <f t="shared" si="44"/>
        <v>0.28746243218651379</v>
      </c>
      <c r="AV412">
        <f t="shared" si="45"/>
        <v>1306409.624091489</v>
      </c>
      <c r="AW412">
        <f t="shared" si="46"/>
        <v>1333808.0956498154</v>
      </c>
      <c r="AY412">
        <f t="shared" si="47"/>
        <v>0</v>
      </c>
      <c r="AZ412">
        <f t="shared" si="48"/>
        <v>1</v>
      </c>
    </row>
    <row r="413" spans="1:52" x14ac:dyDescent="0.2">
      <c r="A413">
        <f t="shared" si="42"/>
        <v>409</v>
      </c>
      <c r="B413">
        <v>2.079483160257644E-2</v>
      </c>
      <c r="C413">
        <v>4.129209153851765E-2</v>
      </c>
      <c r="D413">
        <v>3.0176475519362127E-2</v>
      </c>
      <c r="E413">
        <v>1.1321114050949816E-2</v>
      </c>
      <c r="F413">
        <v>3.2514506872920942E-3</v>
      </c>
      <c r="G413">
        <v>2.0283770921015631E-2</v>
      </c>
      <c r="H413">
        <v>3.9298094825754526E-2</v>
      </c>
      <c r="I413">
        <v>0.12196268896324003</v>
      </c>
      <c r="J413">
        <v>0</v>
      </c>
      <c r="K413">
        <v>0.44165453407478994</v>
      </c>
      <c r="L413">
        <v>0.24761527673930028</v>
      </c>
      <c r="M413">
        <v>0.75238472326069972</v>
      </c>
      <c r="N413">
        <v>6.243123616452062E-2</v>
      </c>
      <c r="O413" s="72">
        <v>0.99909856598236002</v>
      </c>
      <c r="P413">
        <v>0.98836234166782189</v>
      </c>
      <c r="Q413">
        <v>0.92602646302449221</v>
      </c>
      <c r="R413">
        <v>0.46920020570287091</v>
      </c>
      <c r="S413">
        <v>0.34228447928697903</v>
      </c>
      <c r="T413">
        <v>0.35751616286016785</v>
      </c>
      <c r="U413">
        <v>0.76634885397352515</v>
      </c>
      <c r="V413">
        <v>0.68547527441985001</v>
      </c>
      <c r="W413">
        <v>0.49502480274421157</v>
      </c>
      <c r="X413">
        <v>0.43859311475594426</v>
      </c>
      <c r="Y413">
        <v>0.49156840090994103</v>
      </c>
      <c r="Z413">
        <v>0.45085955989869253</v>
      </c>
      <c r="AA413">
        <v>0.65009844328117694</v>
      </c>
      <c r="AB413">
        <v>0.77447814461378028</v>
      </c>
      <c r="AC413">
        <v>0.70042191576186297</v>
      </c>
      <c r="AD413">
        <v>0.57957324667467625</v>
      </c>
      <c r="AE413">
        <v>265.26221569622612</v>
      </c>
      <c r="AF413">
        <v>974.9678272097824</v>
      </c>
      <c r="AG413">
        <v>2298.9430159724361</v>
      </c>
      <c r="AH413">
        <v>10086.23168016608</v>
      </c>
      <c r="AI413">
        <v>13153.238638109333</v>
      </c>
      <c r="AJ413">
        <v>48825.117903171245</v>
      </c>
      <c r="AK413">
        <v>18274.960772642866</v>
      </c>
      <c r="AL413">
        <v>1955.8275523840769</v>
      </c>
      <c r="AM413">
        <v>388.50239336094347</v>
      </c>
      <c r="AO413">
        <v>43229.881181244193</v>
      </c>
      <c r="AP413">
        <v>12.712216693595851</v>
      </c>
      <c r="AQ413">
        <v>47125.793916177368</v>
      </c>
      <c r="AR413">
        <v>12.810077920627531</v>
      </c>
      <c r="AS413" s="2">
        <f t="shared" si="43"/>
        <v>3895.9127349331757</v>
      </c>
      <c r="AT413" s="2">
        <f t="shared" si="44"/>
        <v>9.7861227031680542E-2</v>
      </c>
      <c r="AV413">
        <f t="shared" si="45"/>
        <v>1227991.7881783408</v>
      </c>
      <c r="AW413">
        <f t="shared" si="46"/>
        <v>1233881.9981465756</v>
      </c>
      <c r="AY413">
        <f t="shared" si="47"/>
        <v>0</v>
      </c>
      <c r="AZ413">
        <f t="shared" si="48"/>
        <v>1</v>
      </c>
    </row>
    <row r="414" spans="1:52" x14ac:dyDescent="0.2">
      <c r="A414">
        <f t="shared" si="42"/>
        <v>410</v>
      </c>
      <c r="B414">
        <v>2.217950225913318E-2</v>
      </c>
      <c r="C414">
        <v>3.0056695874587449E-2</v>
      </c>
      <c r="D414">
        <v>2.1925842452185065E-2</v>
      </c>
      <c r="E414">
        <v>1.0455880890524512E-2</v>
      </c>
      <c r="F414">
        <v>3.2180730367392615E-3</v>
      </c>
      <c r="G414">
        <v>1.2419856373124039E-2</v>
      </c>
      <c r="H414">
        <v>2.2223265488267103E-2</v>
      </c>
      <c r="I414">
        <v>0.14708741091564403</v>
      </c>
      <c r="J414">
        <v>0</v>
      </c>
      <c r="K414">
        <v>0.41811808089928332</v>
      </c>
      <c r="L414">
        <v>0.12615697066476173</v>
      </c>
      <c r="M414">
        <v>0.87384302933523827</v>
      </c>
      <c r="N414">
        <v>5.0737789678686356E-2</v>
      </c>
      <c r="O414" s="72">
        <v>0.99993134196310685</v>
      </c>
      <c r="P414">
        <v>0.9984315527673836</v>
      </c>
      <c r="Q414">
        <v>0.93244658870822184</v>
      </c>
      <c r="R414">
        <v>0.52019236827096194</v>
      </c>
      <c r="S414">
        <v>0.45721478621961698</v>
      </c>
      <c r="T414">
        <v>0.23665598578660918</v>
      </c>
      <c r="U414">
        <v>0.8062508965941011</v>
      </c>
      <c r="V414">
        <v>0.63156114251710371</v>
      </c>
      <c r="W414">
        <v>0.59571475606792612</v>
      </c>
      <c r="X414">
        <v>0.43097445565946824</v>
      </c>
      <c r="Y414">
        <v>0.48151204044054696</v>
      </c>
      <c r="Z414">
        <v>0.48345019000947498</v>
      </c>
      <c r="AA414">
        <v>0.72049632717848033</v>
      </c>
      <c r="AB414">
        <v>0.76990566150179318</v>
      </c>
      <c r="AC414">
        <v>0.69697802886255134</v>
      </c>
      <c r="AD414">
        <v>0.6506272853583599</v>
      </c>
      <c r="AE414">
        <v>207.58262183234254</v>
      </c>
      <c r="AF414">
        <v>955.19030654372523</v>
      </c>
      <c r="AG414">
        <v>1428.4904985222736</v>
      </c>
      <c r="AH414">
        <v>12752.255773501698</v>
      </c>
      <c r="AI414">
        <v>9513.3497139650881</v>
      </c>
      <c r="AJ414">
        <v>35405.988042903329</v>
      </c>
      <c r="AK414">
        <v>17293.93670844959</v>
      </c>
      <c r="AL414">
        <v>1916.5066157067454</v>
      </c>
      <c r="AM414">
        <v>392.47320821203607</v>
      </c>
      <c r="AO414">
        <v>40919.280143889424</v>
      </c>
      <c r="AP414">
        <v>12.764783868032966</v>
      </c>
      <c r="AQ414">
        <v>46730.90762113993</v>
      </c>
      <c r="AR414">
        <v>12.837930590311597</v>
      </c>
      <c r="AS414" s="2">
        <f t="shared" si="43"/>
        <v>5811.6274772505058</v>
      </c>
      <c r="AT414" s="2">
        <f t="shared" si="44"/>
        <v>7.314672227863106E-2</v>
      </c>
      <c r="AV414">
        <f t="shared" si="45"/>
        <v>1235559.1066594073</v>
      </c>
      <c r="AW414">
        <f t="shared" si="46"/>
        <v>1237062.1514100197</v>
      </c>
      <c r="AY414">
        <f t="shared" si="47"/>
        <v>0</v>
      </c>
      <c r="AZ414">
        <f t="shared" si="48"/>
        <v>1</v>
      </c>
    </row>
    <row r="415" spans="1:52" x14ac:dyDescent="0.2">
      <c r="A415">
        <f t="shared" si="42"/>
        <v>411</v>
      </c>
      <c r="B415">
        <v>2.4896946388242469E-2</v>
      </c>
      <c r="C415">
        <v>1.9807150585082922E-2</v>
      </c>
      <c r="D415">
        <v>3.541486854102651E-2</v>
      </c>
      <c r="E415">
        <v>8.5755398770977383E-3</v>
      </c>
      <c r="F415">
        <v>3.4259205463448295E-3</v>
      </c>
      <c r="G415">
        <v>4.2143353700844982E-3</v>
      </c>
      <c r="H415">
        <v>2.9438899320245349E-2</v>
      </c>
      <c r="I415">
        <v>0.13604045107994522</v>
      </c>
      <c r="J415">
        <v>0</v>
      </c>
      <c r="K415">
        <v>0.41122050424675022</v>
      </c>
      <c r="L415">
        <v>0.23546658835961576</v>
      </c>
      <c r="M415">
        <v>0.76453341164038424</v>
      </c>
      <c r="N415">
        <v>5.0611642934221573E-2</v>
      </c>
      <c r="O415" s="72">
        <v>0.9913020267728142</v>
      </c>
      <c r="P415">
        <v>0.99999991937640265</v>
      </c>
      <c r="Q415">
        <v>0.93211841828032282</v>
      </c>
      <c r="R415">
        <v>0.47994463284954925</v>
      </c>
      <c r="S415">
        <v>0.3524508376934733</v>
      </c>
      <c r="T415">
        <v>0.14150906631300064</v>
      </c>
      <c r="U415">
        <v>0.76585592396963664</v>
      </c>
      <c r="V415">
        <v>0.64249176121663354</v>
      </c>
      <c r="W415">
        <v>0.53514363582732671</v>
      </c>
      <c r="X415">
        <v>0.45480048589723887</v>
      </c>
      <c r="Y415">
        <v>0.41651092768453724</v>
      </c>
      <c r="Z415">
        <v>0.46317209092287914</v>
      </c>
      <c r="AA415">
        <v>0.66765579551355825</v>
      </c>
      <c r="AB415">
        <v>0.84013296803350512</v>
      </c>
      <c r="AC415">
        <v>0.78698837446468806</v>
      </c>
      <c r="AD415">
        <v>0.61213525541442459</v>
      </c>
      <c r="AE415">
        <v>240.03967098839175</v>
      </c>
      <c r="AF415">
        <v>947.18100564980546</v>
      </c>
      <c r="AG415">
        <v>1986.0653399230439</v>
      </c>
      <c r="AH415">
        <v>10724.354030552598</v>
      </c>
      <c r="AI415">
        <v>8267.7294656869508</v>
      </c>
      <c r="AJ415">
        <v>42543.836203130784</v>
      </c>
      <c r="AK415">
        <v>15181.751418056947</v>
      </c>
      <c r="AL415">
        <v>2561.4813906984173</v>
      </c>
      <c r="AM415">
        <v>309.00813584739649</v>
      </c>
      <c r="AO415">
        <v>45492.786271388904</v>
      </c>
      <c r="AP415">
        <v>13.678990844174463</v>
      </c>
      <c r="AQ415">
        <v>45485.822661459555</v>
      </c>
      <c r="AR415">
        <v>13.921009452085571</v>
      </c>
      <c r="AS415" s="2">
        <f t="shared" si="43"/>
        <v>-6.9636099293493317</v>
      </c>
      <c r="AT415" s="2">
        <f t="shared" si="44"/>
        <v>0.24201860791110796</v>
      </c>
      <c r="AV415">
        <f t="shared" si="45"/>
        <v>1322406.2981460574</v>
      </c>
      <c r="AW415">
        <f t="shared" si="46"/>
        <v>1346615.1225470975</v>
      </c>
      <c r="AY415">
        <f t="shared" si="47"/>
        <v>0</v>
      </c>
      <c r="AZ415">
        <f t="shared" si="48"/>
        <v>1</v>
      </c>
    </row>
    <row r="416" spans="1:52" x14ac:dyDescent="0.2">
      <c r="A416">
        <f t="shared" si="42"/>
        <v>412</v>
      </c>
      <c r="B416">
        <v>2.4247980612763575E-2</v>
      </c>
      <c r="C416">
        <v>3.4768258450531914E-2</v>
      </c>
      <c r="D416">
        <v>4.7192459867519632E-2</v>
      </c>
      <c r="E416">
        <v>4.1024712976017952E-2</v>
      </c>
      <c r="F416">
        <v>3.248263241940082E-3</v>
      </c>
      <c r="G416">
        <v>3.2802811914870444E-2</v>
      </c>
      <c r="H416">
        <v>2.2066866699304608E-2</v>
      </c>
      <c r="I416">
        <v>0.13409683643196779</v>
      </c>
      <c r="J416">
        <v>0</v>
      </c>
      <c r="K416">
        <v>0.38051968167930772</v>
      </c>
      <c r="L416">
        <v>0.17162748993165078</v>
      </c>
      <c r="M416">
        <v>0.82837251006834922</v>
      </c>
      <c r="N416">
        <v>6.1961847501106448E-2</v>
      </c>
      <c r="O416" s="72">
        <v>0.99699498395806341</v>
      </c>
      <c r="P416">
        <v>0.97284649793745848</v>
      </c>
      <c r="Q416">
        <v>0.97537866038427157</v>
      </c>
      <c r="R416">
        <v>0.49948005007813512</v>
      </c>
      <c r="S416">
        <v>0.32960567163131926</v>
      </c>
      <c r="T416">
        <v>0.26421208807798324</v>
      </c>
      <c r="U416">
        <v>0.75707044355466946</v>
      </c>
      <c r="V416">
        <v>0.65698809994380314</v>
      </c>
      <c r="W416">
        <v>0.46290593671054686</v>
      </c>
      <c r="X416">
        <v>0.43782731167243361</v>
      </c>
      <c r="Y416">
        <v>0.42649871047451482</v>
      </c>
      <c r="Z416">
        <v>0.48134254382557762</v>
      </c>
      <c r="AA416">
        <v>0.71302080663347422</v>
      </c>
      <c r="AB416">
        <v>0.80928574559294786</v>
      </c>
      <c r="AC416">
        <v>0.7151315480559669</v>
      </c>
      <c r="AD416">
        <v>0.62495061741657465</v>
      </c>
      <c r="AE416">
        <v>172.70001974538596</v>
      </c>
      <c r="AF416">
        <v>1172.6478232842392</v>
      </c>
      <c r="AG416">
        <v>1812.5693903570454</v>
      </c>
      <c r="AH416">
        <v>15096.624343463009</v>
      </c>
      <c r="AI416">
        <v>16784.871080438039</v>
      </c>
      <c r="AJ416">
        <v>36000.788872597572</v>
      </c>
      <c r="AK416">
        <v>11377.87421215989</v>
      </c>
      <c r="AL416">
        <v>1988.0982790090454</v>
      </c>
      <c r="AM416">
        <v>359.20266605697731</v>
      </c>
      <c r="AO416">
        <v>42633.37887543525</v>
      </c>
      <c r="AP416">
        <v>13.132334455161665</v>
      </c>
      <c r="AQ416">
        <v>46960.920389512998</v>
      </c>
      <c r="AR416">
        <v>13.379426909533503</v>
      </c>
      <c r="AS416" s="2">
        <f t="shared" si="43"/>
        <v>4327.5415140777477</v>
      </c>
      <c r="AT416" s="2">
        <f t="shared" si="44"/>
        <v>0.24709245437183824</v>
      </c>
      <c r="AV416">
        <f t="shared" si="45"/>
        <v>1270600.0666407312</v>
      </c>
      <c r="AW416">
        <f t="shared" si="46"/>
        <v>1290981.7705638374</v>
      </c>
      <c r="AY416">
        <f t="shared" si="47"/>
        <v>0</v>
      </c>
      <c r="AZ416">
        <f t="shared" si="48"/>
        <v>1</v>
      </c>
    </row>
    <row r="417" spans="1:52" x14ac:dyDescent="0.2">
      <c r="A417">
        <f t="shared" si="42"/>
        <v>413</v>
      </c>
      <c r="B417">
        <v>2.4792777179473369E-2</v>
      </c>
      <c r="C417">
        <v>4.2143641904410001E-2</v>
      </c>
      <c r="D417">
        <v>4.6937925201137154E-2</v>
      </c>
      <c r="E417">
        <v>1.9077530498215367E-2</v>
      </c>
      <c r="F417">
        <v>3.3062012727129468E-3</v>
      </c>
      <c r="G417">
        <v>2.1167877318534326E-3</v>
      </c>
      <c r="H417">
        <v>2.3865094500979962E-2</v>
      </c>
      <c r="I417">
        <v>0.12553939281402654</v>
      </c>
      <c r="J417">
        <v>0</v>
      </c>
      <c r="K417">
        <v>0.36559796318315874</v>
      </c>
      <c r="L417">
        <v>0.19326816544816425</v>
      </c>
      <c r="M417">
        <v>0.80673183455183572</v>
      </c>
      <c r="N417">
        <v>4.9127011765258501E-2</v>
      </c>
      <c r="O417" s="72">
        <v>0.98406983279284677</v>
      </c>
      <c r="P417">
        <v>0.99206523413861258</v>
      </c>
      <c r="Q417">
        <v>0.91495059062321393</v>
      </c>
      <c r="R417">
        <v>0.48953470153403689</v>
      </c>
      <c r="S417">
        <v>0.33517449973666891</v>
      </c>
      <c r="T417">
        <v>0.14305127208989077</v>
      </c>
      <c r="U417">
        <v>0.77985369949339745</v>
      </c>
      <c r="V417">
        <v>0.69622651079610698</v>
      </c>
      <c r="W417">
        <v>0.52338318557358032</v>
      </c>
      <c r="X417">
        <v>0.41023556259568417</v>
      </c>
      <c r="Y417">
        <v>0.46006389335292142</v>
      </c>
      <c r="Z417">
        <v>0.43046707262926553</v>
      </c>
      <c r="AA417">
        <v>0.63387611914552822</v>
      </c>
      <c r="AB417">
        <v>0.82136324193176868</v>
      </c>
      <c r="AC417">
        <v>0.79318440008103119</v>
      </c>
      <c r="AD417">
        <v>0.71615413848251586</v>
      </c>
      <c r="AE417">
        <v>205.0298987560528</v>
      </c>
      <c r="AF417">
        <v>949.90373467893812</v>
      </c>
      <c r="AG417">
        <v>1946.2560988774333</v>
      </c>
      <c r="AH417">
        <v>9536.3075812205225</v>
      </c>
      <c r="AI417">
        <v>15505.724867394894</v>
      </c>
      <c r="AJ417">
        <v>35451.536863995912</v>
      </c>
      <c r="AK417">
        <v>14944.310755307231</v>
      </c>
      <c r="AL417">
        <v>1973.8289673739878</v>
      </c>
      <c r="AM417">
        <v>462.74597316690125</v>
      </c>
      <c r="AO417">
        <v>47249.243094732446</v>
      </c>
      <c r="AP417">
        <v>13.493453042177409</v>
      </c>
      <c r="AQ417">
        <v>48182.21571557592</v>
      </c>
      <c r="AR417">
        <v>13.810421180071305</v>
      </c>
      <c r="AS417" s="2">
        <f t="shared" si="43"/>
        <v>932.97262084347312</v>
      </c>
      <c r="AT417" s="2">
        <f t="shared" si="44"/>
        <v>0.31696813789389644</v>
      </c>
      <c r="AV417">
        <f t="shared" si="45"/>
        <v>1302096.0611230084</v>
      </c>
      <c r="AW417">
        <f t="shared" si="46"/>
        <v>1332859.9022915545</v>
      </c>
      <c r="AY417">
        <f t="shared" si="47"/>
        <v>0</v>
      </c>
      <c r="AZ417">
        <f t="shared" si="48"/>
        <v>1</v>
      </c>
    </row>
    <row r="418" spans="1:52" x14ac:dyDescent="0.2">
      <c r="A418">
        <f t="shared" si="42"/>
        <v>414</v>
      </c>
      <c r="B418">
        <v>2.2368536500119225E-2</v>
      </c>
      <c r="C418">
        <v>4.4053844301407241E-2</v>
      </c>
      <c r="D418">
        <v>4.1603547155869447E-2</v>
      </c>
      <c r="E418">
        <v>2.7838632419788567E-2</v>
      </c>
      <c r="F418">
        <v>3.3470905672273732E-3</v>
      </c>
      <c r="G418">
        <v>1.1279004439242178E-2</v>
      </c>
      <c r="H418">
        <v>3.5605342684792096E-2</v>
      </c>
      <c r="I418">
        <v>0.12144344335222267</v>
      </c>
      <c r="J418">
        <v>0</v>
      </c>
      <c r="K418">
        <v>0.44257249877924321</v>
      </c>
      <c r="L418">
        <v>0.12008287970421211</v>
      </c>
      <c r="M418">
        <v>0.87991712029578784</v>
      </c>
      <c r="N418">
        <v>6.3083153187812657E-2</v>
      </c>
      <c r="O418" s="72">
        <v>0.9999814281456868</v>
      </c>
      <c r="P418">
        <v>0.97675916817316943</v>
      </c>
      <c r="Q418">
        <v>0.9829842259392676</v>
      </c>
      <c r="R418">
        <v>0.45010339195102023</v>
      </c>
      <c r="S418">
        <v>0.40986167949963226</v>
      </c>
      <c r="T418">
        <v>0.33964495934300409</v>
      </c>
      <c r="U418">
        <v>0.75996877809553265</v>
      </c>
      <c r="V418">
        <v>0.64949843974397514</v>
      </c>
      <c r="W418">
        <v>0.55346337226058595</v>
      </c>
      <c r="X418">
        <v>0.5020364316089827</v>
      </c>
      <c r="Y418">
        <v>0.4483504415532017</v>
      </c>
      <c r="Z418">
        <v>0.45845139370751842</v>
      </c>
      <c r="AA418">
        <v>0.65805297323683587</v>
      </c>
      <c r="AB418">
        <v>0.8881114832245165</v>
      </c>
      <c r="AC418">
        <v>0.70772953033791597</v>
      </c>
      <c r="AD418">
        <v>0.68756004529898318</v>
      </c>
      <c r="AE418">
        <v>170.38815904153043</v>
      </c>
      <c r="AF418">
        <v>977.5848185713254</v>
      </c>
      <c r="AG418">
        <v>1169.2166911712782</v>
      </c>
      <c r="AH418">
        <v>13456.50946367227</v>
      </c>
      <c r="AI418">
        <v>12409.482869900112</v>
      </c>
      <c r="AJ418">
        <v>40179.262143735112</v>
      </c>
      <c r="AK418">
        <v>15773.51504682795</v>
      </c>
      <c r="AL418">
        <v>1991.1850057862307</v>
      </c>
      <c r="AM418">
        <v>300.20162387902371</v>
      </c>
      <c r="AO418">
        <v>42088.130143115595</v>
      </c>
      <c r="AP418">
        <v>14.260760224020999</v>
      </c>
      <c r="AQ418">
        <v>45800.426002035332</v>
      </c>
      <c r="AR418">
        <v>14.546288762739701</v>
      </c>
      <c r="AS418" s="2">
        <f t="shared" si="43"/>
        <v>3712.2958589197369</v>
      </c>
      <c r="AT418" s="2">
        <f t="shared" si="44"/>
        <v>0.28552853871870276</v>
      </c>
      <c r="AV418">
        <f t="shared" si="45"/>
        <v>1383987.8922589843</v>
      </c>
      <c r="AW418">
        <f t="shared" si="46"/>
        <v>1408828.4502719347</v>
      </c>
      <c r="AY418">
        <f t="shared" si="47"/>
        <v>0</v>
      </c>
      <c r="AZ418">
        <f t="shared" si="48"/>
        <v>1</v>
      </c>
    </row>
    <row r="419" spans="1:52" x14ac:dyDescent="0.2">
      <c r="A419">
        <f t="shared" si="42"/>
        <v>415</v>
      </c>
      <c r="B419">
        <v>2.0339626972804344E-2</v>
      </c>
      <c r="C419">
        <v>3.3880738224015459E-2</v>
      </c>
      <c r="D419">
        <v>5.7208324382405862E-2</v>
      </c>
      <c r="E419">
        <v>1.4004028844443184E-2</v>
      </c>
      <c r="F419">
        <v>3.240026175345221E-3</v>
      </c>
      <c r="G419">
        <v>1.5811746579561969E-2</v>
      </c>
      <c r="H419">
        <v>4.0237322369801487E-2</v>
      </c>
      <c r="I419">
        <v>0.13868627742537254</v>
      </c>
      <c r="J419">
        <v>0</v>
      </c>
      <c r="K419">
        <v>0.43350898395483162</v>
      </c>
      <c r="L419">
        <v>0.20311656391615443</v>
      </c>
      <c r="M419">
        <v>0.7968834360838456</v>
      </c>
      <c r="N419">
        <v>5.2117939016959575E-2</v>
      </c>
      <c r="O419" s="72">
        <v>0.96410432047138273</v>
      </c>
      <c r="P419">
        <v>0.96422134630028244</v>
      </c>
      <c r="Q419">
        <v>0.99036125073485648</v>
      </c>
      <c r="R419">
        <v>0.50339417937020414</v>
      </c>
      <c r="S419">
        <v>0.48248169425208398</v>
      </c>
      <c r="T419">
        <v>0.22167656147889325</v>
      </c>
      <c r="U419">
        <v>0.75271836213683951</v>
      </c>
      <c r="V419">
        <v>0.65337140717543718</v>
      </c>
      <c r="W419">
        <v>0.58432921884473743</v>
      </c>
      <c r="X419">
        <v>0.43015943744623725</v>
      </c>
      <c r="Y419">
        <v>0.48988705249538422</v>
      </c>
      <c r="Z419">
        <v>0.41206976048664501</v>
      </c>
      <c r="AA419">
        <v>0.74008403815582791</v>
      </c>
      <c r="AB419">
        <v>0.93035070211601167</v>
      </c>
      <c r="AC419">
        <v>0.85580165952422615</v>
      </c>
      <c r="AD419">
        <v>0.63394759014992141</v>
      </c>
      <c r="AE419">
        <v>253.04690858581478</v>
      </c>
      <c r="AF419">
        <v>1205.0900864449507</v>
      </c>
      <c r="AG419">
        <v>1716.4585952807988</v>
      </c>
      <c r="AH419">
        <v>16277.319132670533</v>
      </c>
      <c r="AI419">
        <v>10032.989099560455</v>
      </c>
      <c r="AJ419">
        <v>47862.500418074342</v>
      </c>
      <c r="AK419">
        <v>19054.352035520526</v>
      </c>
      <c r="AL419">
        <v>2212.7326359956824</v>
      </c>
      <c r="AM419">
        <v>406.84011559628999</v>
      </c>
      <c r="AO419">
        <v>42442.670436210217</v>
      </c>
      <c r="AP419">
        <v>15.018041600564461</v>
      </c>
      <c r="AQ419">
        <v>48170.313363001012</v>
      </c>
      <c r="AR419">
        <v>15.322283962335648</v>
      </c>
      <c r="AS419" s="2">
        <f t="shared" si="43"/>
        <v>5727.6429267907952</v>
      </c>
      <c r="AT419" s="2">
        <f t="shared" si="44"/>
        <v>0.30424236177118757</v>
      </c>
      <c r="AV419">
        <f t="shared" si="45"/>
        <v>1459361.4896202357</v>
      </c>
      <c r="AW419">
        <f t="shared" si="46"/>
        <v>1484058.0828705637</v>
      </c>
      <c r="AY419">
        <f t="shared" si="47"/>
        <v>0</v>
      </c>
      <c r="AZ419">
        <f t="shared" si="48"/>
        <v>1</v>
      </c>
    </row>
    <row r="420" spans="1:52" x14ac:dyDescent="0.2">
      <c r="A420">
        <f t="shared" si="42"/>
        <v>416</v>
      </c>
      <c r="B420">
        <v>2.9367896216146883E-2</v>
      </c>
      <c r="C420">
        <v>3.7543268547931663E-2</v>
      </c>
      <c r="D420">
        <v>5.7009093419841395E-2</v>
      </c>
      <c r="E420">
        <v>1.1980090971713597E-2</v>
      </c>
      <c r="F420">
        <v>3.3418855019132776E-3</v>
      </c>
      <c r="G420">
        <v>5.6966270848887047E-3</v>
      </c>
      <c r="H420">
        <v>2.0807798460012693E-2</v>
      </c>
      <c r="I420">
        <v>0.1349550024962668</v>
      </c>
      <c r="J420">
        <v>0</v>
      </c>
      <c r="K420">
        <v>0.45053211600204857</v>
      </c>
      <c r="L420">
        <v>0.18170163330987715</v>
      </c>
      <c r="M420">
        <v>0.8182983666901229</v>
      </c>
      <c r="N420">
        <v>5.4834670434433089E-2</v>
      </c>
      <c r="O420" s="72">
        <v>0.98871783229481336</v>
      </c>
      <c r="P420">
        <v>0.99430919377225713</v>
      </c>
      <c r="Q420">
        <v>0.9070865748105148</v>
      </c>
      <c r="R420">
        <v>0.48040997136306418</v>
      </c>
      <c r="S420">
        <v>0.41284926116417364</v>
      </c>
      <c r="T420">
        <v>0.14469887345009802</v>
      </c>
      <c r="U420">
        <v>0.74206380303340613</v>
      </c>
      <c r="V420">
        <v>0.65497766363664545</v>
      </c>
      <c r="W420">
        <v>0.49641503198329467</v>
      </c>
      <c r="X420">
        <v>0.4701998732535746</v>
      </c>
      <c r="Y420">
        <v>0.50132831829164703</v>
      </c>
      <c r="Z420">
        <v>0.40983113679520572</v>
      </c>
      <c r="AA420">
        <v>0.64329218512938358</v>
      </c>
      <c r="AB420">
        <v>0.83224441216510536</v>
      </c>
      <c r="AC420">
        <v>0.7157069908773257</v>
      </c>
      <c r="AD420">
        <v>0.68249299848614442</v>
      </c>
      <c r="AE420">
        <v>159.45728566772047</v>
      </c>
      <c r="AF420">
        <v>783.21451041550256</v>
      </c>
      <c r="AG420">
        <v>2105.9803441972917</v>
      </c>
      <c r="AH420">
        <v>11932.689951926051</v>
      </c>
      <c r="AI420">
        <v>13176.357835391618</v>
      </c>
      <c r="AJ420">
        <v>36020.1844026982</v>
      </c>
      <c r="AK420">
        <v>9654.9832017266199</v>
      </c>
      <c r="AL420">
        <v>1669.4319805946188</v>
      </c>
      <c r="AM420">
        <v>418.70625653272975</v>
      </c>
      <c r="AO420">
        <v>46031.25959867394</v>
      </c>
      <c r="AP420">
        <v>13.423432025841992</v>
      </c>
      <c r="AQ420">
        <v>47434.087540347056</v>
      </c>
      <c r="AR420">
        <v>13.774929106081423</v>
      </c>
      <c r="AS420" s="2">
        <f t="shared" si="43"/>
        <v>1402.8279416731166</v>
      </c>
      <c r="AT420" s="2">
        <f t="shared" si="44"/>
        <v>0.35149708023943127</v>
      </c>
      <c r="AV420">
        <f t="shared" si="45"/>
        <v>1296311.9429855251</v>
      </c>
      <c r="AW420">
        <f t="shared" si="46"/>
        <v>1330058.8230677953</v>
      </c>
      <c r="AY420">
        <f t="shared" si="47"/>
        <v>0</v>
      </c>
      <c r="AZ420">
        <f t="shared" si="48"/>
        <v>1</v>
      </c>
    </row>
    <row r="421" spans="1:52" x14ac:dyDescent="0.2">
      <c r="A421">
        <f t="shared" si="42"/>
        <v>417</v>
      </c>
      <c r="B421">
        <v>3.0086896178275091E-2</v>
      </c>
      <c r="C421">
        <v>3.733195919645993E-2</v>
      </c>
      <c r="D421">
        <v>2.1796122071800508E-2</v>
      </c>
      <c r="E421">
        <v>4.0755262361068745E-2</v>
      </c>
      <c r="F421">
        <v>3.390231191956139E-3</v>
      </c>
      <c r="G421">
        <v>6.9496400530682911E-3</v>
      </c>
      <c r="H421">
        <v>3.0392288929239841E-2</v>
      </c>
      <c r="I421">
        <v>0.13889747837853206</v>
      </c>
      <c r="J421">
        <v>0</v>
      </c>
      <c r="K421">
        <v>0.45356904307723811</v>
      </c>
      <c r="L421">
        <v>0.16310183449527851</v>
      </c>
      <c r="M421">
        <v>0.83689816550472151</v>
      </c>
      <c r="N421">
        <v>6.003773992085315E-2</v>
      </c>
      <c r="O421" s="72">
        <v>0.97424929957799722</v>
      </c>
      <c r="P421">
        <v>0.99965693378997633</v>
      </c>
      <c r="Q421">
        <v>0.92965214354521375</v>
      </c>
      <c r="R421">
        <v>0.50224699857900457</v>
      </c>
      <c r="S421">
        <v>0.4514907741034434</v>
      </c>
      <c r="T421">
        <v>0.10305653644541568</v>
      </c>
      <c r="U421">
        <v>0.73875497852963867</v>
      </c>
      <c r="V421">
        <v>0.67397757774632661</v>
      </c>
      <c r="W421">
        <v>0.5775177211050786</v>
      </c>
      <c r="X421">
        <v>0.48842273417159598</v>
      </c>
      <c r="Y421">
        <v>0.4714198130811923</v>
      </c>
      <c r="Z421">
        <v>0.52754157468214791</v>
      </c>
      <c r="AA421">
        <v>0.6361148005645183</v>
      </c>
      <c r="AB421">
        <v>0.83542447289458543</v>
      </c>
      <c r="AC421">
        <v>0.76977229556207993</v>
      </c>
      <c r="AD421">
        <v>0.59000340258316974</v>
      </c>
      <c r="AE421">
        <v>196.30575247064732</v>
      </c>
      <c r="AF421">
        <v>950.41820493287946</v>
      </c>
      <c r="AG421">
        <v>1928.3761891605361</v>
      </c>
      <c r="AH421">
        <v>13155.315400656558</v>
      </c>
      <c r="AI421">
        <v>14405.119976643273</v>
      </c>
      <c r="AJ421">
        <v>45337.892243649534</v>
      </c>
      <c r="AK421">
        <v>14016.383365593576</v>
      </c>
      <c r="AL421">
        <v>1675.5478314785385</v>
      </c>
      <c r="AM421">
        <v>401.14015962355313</v>
      </c>
      <c r="AO421">
        <v>45684.266527513413</v>
      </c>
      <c r="AP421">
        <v>13.488076068437556</v>
      </c>
      <c r="AQ421">
        <v>47019.939804948954</v>
      </c>
      <c r="AR421">
        <v>13.793747307676014</v>
      </c>
      <c r="AS421" s="2">
        <f t="shared" si="43"/>
        <v>1335.6732774355405</v>
      </c>
      <c r="AT421" s="2">
        <f t="shared" si="44"/>
        <v>0.30567123923845863</v>
      </c>
      <c r="AV421">
        <f t="shared" si="45"/>
        <v>1303123.3403162421</v>
      </c>
      <c r="AW421">
        <f t="shared" si="46"/>
        <v>1332354.7909626525</v>
      </c>
      <c r="AY421">
        <f t="shared" si="47"/>
        <v>0</v>
      </c>
      <c r="AZ421">
        <f t="shared" si="48"/>
        <v>1</v>
      </c>
    </row>
    <row r="422" spans="1:52" x14ac:dyDescent="0.2">
      <c r="A422">
        <f t="shared" si="42"/>
        <v>418</v>
      </c>
      <c r="B422">
        <v>2.1454933132740408E-2</v>
      </c>
      <c r="C422">
        <v>4.0139444233959543E-2</v>
      </c>
      <c r="D422">
        <v>4.8571908211019199E-2</v>
      </c>
      <c r="E422">
        <v>1.36606893125365E-2</v>
      </c>
      <c r="F422">
        <v>3.340941934039332E-3</v>
      </c>
      <c r="G422">
        <v>9.1643871758381977E-3</v>
      </c>
      <c r="H422">
        <v>2.0349063089185621E-2</v>
      </c>
      <c r="I422">
        <v>0.13699652307200394</v>
      </c>
      <c r="J422">
        <v>0</v>
      </c>
      <c r="K422">
        <v>0.41536702906494788</v>
      </c>
      <c r="L422">
        <v>0.18964639698603963</v>
      </c>
      <c r="M422">
        <v>0.81035360301396042</v>
      </c>
      <c r="N422">
        <v>5.1509355376097861E-2</v>
      </c>
      <c r="O422" s="72">
        <v>0.99979454615376862</v>
      </c>
      <c r="P422">
        <v>0.99470364882044782</v>
      </c>
      <c r="Q422">
        <v>0.90706879997208667</v>
      </c>
      <c r="R422">
        <v>0.48997982004876373</v>
      </c>
      <c r="S422">
        <v>0.49184438438311062</v>
      </c>
      <c r="T422">
        <v>0.2955158812267048</v>
      </c>
      <c r="U422">
        <v>0.77834956552876688</v>
      </c>
      <c r="V422">
        <v>0.62453041323735903</v>
      </c>
      <c r="W422">
        <v>0.54257653081970314</v>
      </c>
      <c r="X422">
        <v>0.43894674772210457</v>
      </c>
      <c r="Y422">
        <v>0.45126100878107844</v>
      </c>
      <c r="Z422">
        <v>0.37337766306112247</v>
      </c>
      <c r="AA422">
        <v>0.5935735035108578</v>
      </c>
      <c r="AB422">
        <v>0.86279379695306913</v>
      </c>
      <c r="AC422">
        <v>0.81508480275634687</v>
      </c>
      <c r="AD422">
        <v>0.60864339608741624</v>
      </c>
      <c r="AE422">
        <v>237.03428259688135</v>
      </c>
      <c r="AF422">
        <v>1075.6188896481356</v>
      </c>
      <c r="AG422">
        <v>2635.5761432978861</v>
      </c>
      <c r="AH422">
        <v>14574.435215139765</v>
      </c>
      <c r="AI422">
        <v>15967.869564719917</v>
      </c>
      <c r="AJ422">
        <v>39740.455862453811</v>
      </c>
      <c r="AK422">
        <v>22864.693325987533</v>
      </c>
      <c r="AL422">
        <v>1469.8589910647797</v>
      </c>
      <c r="AM422">
        <v>457.64370897396014</v>
      </c>
      <c r="AO422">
        <v>42668.028414075474</v>
      </c>
      <c r="AP422">
        <v>14.080168366312305</v>
      </c>
      <c r="AQ422">
        <v>48189.995829856503</v>
      </c>
      <c r="AR422">
        <v>14.278520225014455</v>
      </c>
      <c r="AS422" s="2">
        <f t="shared" si="43"/>
        <v>5521.9674157810296</v>
      </c>
      <c r="AT422" s="2">
        <f t="shared" si="44"/>
        <v>0.19835185870215</v>
      </c>
      <c r="AV422">
        <f t="shared" si="45"/>
        <v>1365348.808217155</v>
      </c>
      <c r="AW422">
        <f t="shared" si="46"/>
        <v>1379662.0266715891</v>
      </c>
      <c r="AY422">
        <f t="shared" si="47"/>
        <v>0</v>
      </c>
      <c r="AZ422">
        <f t="shared" si="48"/>
        <v>1</v>
      </c>
    </row>
    <row r="423" spans="1:52" x14ac:dyDescent="0.2">
      <c r="A423">
        <f t="shared" si="42"/>
        <v>419</v>
      </c>
      <c r="B423">
        <v>2.1831245904808866E-2</v>
      </c>
      <c r="C423">
        <v>3.9296807116771304E-2</v>
      </c>
      <c r="D423">
        <v>2.954467920338744E-2</v>
      </c>
      <c r="E423">
        <v>2.2420080312398061E-2</v>
      </c>
      <c r="F423">
        <v>3.3826638125200592E-3</v>
      </c>
      <c r="G423">
        <v>8.5298291973292563E-3</v>
      </c>
      <c r="H423">
        <v>3.0949079427406101E-2</v>
      </c>
      <c r="I423">
        <v>0.15139917431496175</v>
      </c>
      <c r="J423">
        <v>0</v>
      </c>
      <c r="K423">
        <v>0.50959076477715248</v>
      </c>
      <c r="L423">
        <v>0.28997182947341482</v>
      </c>
      <c r="M423">
        <v>0.71002817052658518</v>
      </c>
      <c r="N423">
        <v>6.1233488253139678E-2</v>
      </c>
      <c r="O423" s="72">
        <v>0.99957574563164631</v>
      </c>
      <c r="P423">
        <v>0.99911390984806037</v>
      </c>
      <c r="Q423">
        <v>0.98179661332813495</v>
      </c>
      <c r="R423">
        <v>0.47692126057969864</v>
      </c>
      <c r="S423">
        <v>0.35439273506834335</v>
      </c>
      <c r="T423">
        <v>0.18307064452759558</v>
      </c>
      <c r="U423">
        <v>0.74212754145284288</v>
      </c>
      <c r="V423">
        <v>0.66197279704791501</v>
      </c>
      <c r="W423">
        <v>0.55016875430759282</v>
      </c>
      <c r="X423">
        <v>0.45641626172485306</v>
      </c>
      <c r="Y423">
        <v>0.48449127120296032</v>
      </c>
      <c r="Z423">
        <v>0.44475150249519974</v>
      </c>
      <c r="AA423">
        <v>0.6092638303611847</v>
      </c>
      <c r="AB423">
        <v>0.876529222348161</v>
      </c>
      <c r="AC423">
        <v>0.73809471425941653</v>
      </c>
      <c r="AD423">
        <v>0.61842874091936784</v>
      </c>
      <c r="AE423">
        <v>167.42053464978486</v>
      </c>
      <c r="AF423">
        <v>962.68971065653284</v>
      </c>
      <c r="AG423">
        <v>1478.3048274311307</v>
      </c>
      <c r="AH423">
        <v>12780.371357478547</v>
      </c>
      <c r="AI423">
        <v>17296.881947490732</v>
      </c>
      <c r="AJ423">
        <v>37374.8822813976</v>
      </c>
      <c r="AK423">
        <v>12915.840515653645</v>
      </c>
      <c r="AL423">
        <v>2253.4484753666375</v>
      </c>
      <c r="AM423">
        <v>425.0376590073447</v>
      </c>
      <c r="AO423">
        <v>45690.47378608134</v>
      </c>
      <c r="AP423">
        <v>14.037586002326224</v>
      </c>
      <c r="AQ423">
        <v>47029.836088366814</v>
      </c>
      <c r="AR423">
        <v>14.346624961533896</v>
      </c>
      <c r="AS423" s="2">
        <f t="shared" si="43"/>
        <v>1339.3623022854736</v>
      </c>
      <c r="AT423" s="2">
        <f t="shared" si="44"/>
        <v>0.30903895920767255</v>
      </c>
      <c r="AV423">
        <f t="shared" si="45"/>
        <v>1358068.1264465409</v>
      </c>
      <c r="AW423">
        <f t="shared" si="46"/>
        <v>1387632.6600650228</v>
      </c>
      <c r="AY423">
        <f t="shared" si="47"/>
        <v>0</v>
      </c>
      <c r="AZ423">
        <f t="shared" si="48"/>
        <v>1</v>
      </c>
    </row>
    <row r="424" spans="1:52" x14ac:dyDescent="0.2">
      <c r="A424">
        <f t="shared" si="42"/>
        <v>420</v>
      </c>
      <c r="B424">
        <v>1.7896785969701907E-2</v>
      </c>
      <c r="C424">
        <v>2.9426038101182547E-2</v>
      </c>
      <c r="D424">
        <v>4.7735044938733595E-2</v>
      </c>
      <c r="E424">
        <v>1.1439914711727378E-3</v>
      </c>
      <c r="F424">
        <v>3.3886900319399782E-3</v>
      </c>
      <c r="G424">
        <v>5.1182441830989189E-2</v>
      </c>
      <c r="H424">
        <v>1.990791281132569E-2</v>
      </c>
      <c r="I424">
        <v>0.13130779475397802</v>
      </c>
      <c r="J424">
        <v>0</v>
      </c>
      <c r="K424">
        <v>0.43132574621939612</v>
      </c>
      <c r="L424">
        <v>0.15629016762173742</v>
      </c>
      <c r="M424">
        <v>0.84370983237826258</v>
      </c>
      <c r="N424">
        <v>6.4685723995904665E-2</v>
      </c>
      <c r="O424" s="72">
        <v>0.99771065591483332</v>
      </c>
      <c r="P424">
        <v>0.99999999074232115</v>
      </c>
      <c r="Q424">
        <v>0.9815436845331178</v>
      </c>
      <c r="R424">
        <v>0.45260545571695221</v>
      </c>
      <c r="S424">
        <v>0.38266980662649297</v>
      </c>
      <c r="T424">
        <v>0.28260734133651833</v>
      </c>
      <c r="U424">
        <v>0.75957763960923785</v>
      </c>
      <c r="V424">
        <v>0.65423075023928923</v>
      </c>
      <c r="W424">
        <v>0.55869126641952382</v>
      </c>
      <c r="X424">
        <v>0.42997840304241491</v>
      </c>
      <c r="Y424">
        <v>0.47358225241898855</v>
      </c>
      <c r="Z424">
        <v>0.47266338792428497</v>
      </c>
      <c r="AA424">
        <v>0.76960181514181814</v>
      </c>
      <c r="AB424">
        <v>0.84333035795236233</v>
      </c>
      <c r="AC424">
        <v>0.73865612839133787</v>
      </c>
      <c r="AD424">
        <v>0.61072240220929375</v>
      </c>
      <c r="AE424">
        <v>218.06373490216779</v>
      </c>
      <c r="AF424">
        <v>1325.1151330323974</v>
      </c>
      <c r="AG424">
        <v>1859.5372968688939</v>
      </c>
      <c r="AH424">
        <v>15516.517793412424</v>
      </c>
      <c r="AI424">
        <v>10162.90182675685</v>
      </c>
      <c r="AJ424">
        <v>43325.425952992089</v>
      </c>
      <c r="AK424">
        <v>21464.714596545909</v>
      </c>
      <c r="AL424">
        <v>2015.5091414071958</v>
      </c>
      <c r="AM424">
        <v>322.90969654771459</v>
      </c>
      <c r="AO424">
        <v>43723.340397830303</v>
      </c>
      <c r="AP424">
        <v>13.677924839101124</v>
      </c>
      <c r="AQ424">
        <v>45568.553540990186</v>
      </c>
      <c r="AR424">
        <v>13.876536483611131</v>
      </c>
      <c r="AS424" s="2">
        <f t="shared" si="43"/>
        <v>1845.2131431598827</v>
      </c>
      <c r="AT424" s="2">
        <f t="shared" si="44"/>
        <v>0.19861164451000768</v>
      </c>
      <c r="AV424">
        <f t="shared" si="45"/>
        <v>1324069.1435122821</v>
      </c>
      <c r="AW424">
        <f t="shared" si="46"/>
        <v>1342085.0948201229</v>
      </c>
      <c r="AY424">
        <f t="shared" si="47"/>
        <v>0</v>
      </c>
      <c r="AZ424">
        <f t="shared" si="48"/>
        <v>1</v>
      </c>
    </row>
    <row r="425" spans="1:52" x14ac:dyDescent="0.2">
      <c r="A425">
        <f t="shared" si="42"/>
        <v>421</v>
      </c>
      <c r="B425">
        <v>2.6995345963271133E-2</v>
      </c>
      <c r="C425">
        <v>4.0883901798589362E-2</v>
      </c>
      <c r="D425">
        <v>3.9059554312063649E-2</v>
      </c>
      <c r="E425">
        <v>2.4224340015918E-2</v>
      </c>
      <c r="F425">
        <v>3.4420672388563167E-3</v>
      </c>
      <c r="G425">
        <v>2.2530061081716957E-2</v>
      </c>
      <c r="H425">
        <v>2.6571954094558179E-2</v>
      </c>
      <c r="I425">
        <v>0.11573051329067341</v>
      </c>
      <c r="J425">
        <v>0</v>
      </c>
      <c r="K425">
        <v>0.46500191696647719</v>
      </c>
      <c r="L425">
        <v>0.28403223296181945</v>
      </c>
      <c r="M425">
        <v>0.71596776703818055</v>
      </c>
      <c r="N425">
        <v>6.1080467333645583E-2</v>
      </c>
      <c r="O425" s="72">
        <v>0.99892274984990148</v>
      </c>
      <c r="P425">
        <v>0.99985608263340142</v>
      </c>
      <c r="Q425">
        <v>0.98609772238445592</v>
      </c>
      <c r="R425">
        <v>0.51801156392193326</v>
      </c>
      <c r="S425">
        <v>0.34078530120848183</v>
      </c>
      <c r="T425">
        <v>0.26634741003992357</v>
      </c>
      <c r="U425">
        <v>0.76036664286498434</v>
      </c>
      <c r="V425">
        <v>0.62999117241373526</v>
      </c>
      <c r="W425">
        <v>0.59148190568109937</v>
      </c>
      <c r="X425">
        <v>0.48171435886260205</v>
      </c>
      <c r="Y425">
        <v>0.42761945287104808</v>
      </c>
      <c r="Z425">
        <v>0.49395360885407591</v>
      </c>
      <c r="AA425">
        <v>0.62724927379315987</v>
      </c>
      <c r="AB425">
        <v>0.78707463773975128</v>
      </c>
      <c r="AC425">
        <v>0.71063938384298053</v>
      </c>
      <c r="AD425">
        <v>0.51407355412915701</v>
      </c>
      <c r="AE425">
        <v>203.88779877855586</v>
      </c>
      <c r="AF425">
        <v>908.25323836907262</v>
      </c>
      <c r="AG425">
        <v>2051.1877248772694</v>
      </c>
      <c r="AH425">
        <v>13786.012321974098</v>
      </c>
      <c r="AI425">
        <v>12618.918152407701</v>
      </c>
      <c r="AJ425">
        <v>35485.845669704286</v>
      </c>
      <c r="AK425">
        <v>11405.778325574665</v>
      </c>
      <c r="AL425">
        <v>1880.7024495316871</v>
      </c>
      <c r="AM425">
        <v>266.54119749933648</v>
      </c>
      <c r="AO425">
        <v>40274.304593507622</v>
      </c>
      <c r="AP425">
        <v>12.770068897109592</v>
      </c>
      <c r="AQ425">
        <v>44638.139625020092</v>
      </c>
      <c r="AR425">
        <v>12.915581374207548</v>
      </c>
      <c r="AS425" s="2">
        <f t="shared" si="43"/>
        <v>4363.8350315124699</v>
      </c>
      <c r="AT425" s="2">
        <f t="shared" si="44"/>
        <v>0.14551247709795589</v>
      </c>
      <c r="AV425">
        <f t="shared" si="45"/>
        <v>1236732.5851174516</v>
      </c>
      <c r="AW425">
        <f t="shared" si="46"/>
        <v>1246919.9977957348</v>
      </c>
      <c r="AY425">
        <f t="shared" si="47"/>
        <v>0</v>
      </c>
      <c r="AZ425">
        <f t="shared" si="48"/>
        <v>1</v>
      </c>
    </row>
    <row r="426" spans="1:52" x14ac:dyDescent="0.2">
      <c r="A426">
        <f t="shared" si="42"/>
        <v>422</v>
      </c>
      <c r="B426">
        <v>2.3808199499798007E-2</v>
      </c>
      <c r="C426">
        <v>3.6283415244284287E-2</v>
      </c>
      <c r="D426">
        <v>4.2764649172984281E-2</v>
      </c>
      <c r="E426">
        <v>7.7201718051652483E-3</v>
      </c>
      <c r="F426">
        <v>3.3500532348024192E-3</v>
      </c>
      <c r="G426">
        <v>1.9789200358797387E-2</v>
      </c>
      <c r="H426">
        <v>2.990898805819564E-2</v>
      </c>
      <c r="I426">
        <v>0.12868503504323806</v>
      </c>
      <c r="J426">
        <v>0</v>
      </c>
      <c r="K426">
        <v>0.42526094320863045</v>
      </c>
      <c r="L426">
        <v>0.2126554595635578</v>
      </c>
      <c r="M426">
        <v>0.7873445404364422</v>
      </c>
      <c r="N426">
        <v>5.0459189390642048E-2</v>
      </c>
      <c r="O426" s="72">
        <v>0.99999958273460976</v>
      </c>
      <c r="P426">
        <v>0.97555959610026444</v>
      </c>
      <c r="Q426">
        <v>0.99295033288552526</v>
      </c>
      <c r="R426">
        <v>0.50201161613973122</v>
      </c>
      <c r="S426">
        <v>0.40257315318122089</v>
      </c>
      <c r="T426">
        <v>0.22225133335458835</v>
      </c>
      <c r="U426">
        <v>0.74200674929414734</v>
      </c>
      <c r="V426">
        <v>0.71102215082480846</v>
      </c>
      <c r="W426">
        <v>0.62901969286632964</v>
      </c>
      <c r="X426">
        <v>0.46869508511485247</v>
      </c>
      <c r="Y426">
        <v>0.42182282626200324</v>
      </c>
      <c r="Z426">
        <v>0.42094019328281546</v>
      </c>
      <c r="AA426">
        <v>0.69154002462225517</v>
      </c>
      <c r="AB426">
        <v>0.84509797888701987</v>
      </c>
      <c r="AC426">
        <v>0.60041581784646314</v>
      </c>
      <c r="AD426">
        <v>0.54396884053122929</v>
      </c>
      <c r="AE426">
        <v>223.05426648860225</v>
      </c>
      <c r="AF426">
        <v>964.58443594685571</v>
      </c>
      <c r="AG426">
        <v>1566.1649553969585</v>
      </c>
      <c r="AH426">
        <v>15455.543872827318</v>
      </c>
      <c r="AI426">
        <v>13258.284684855098</v>
      </c>
      <c r="AJ426">
        <v>33006.380078048234</v>
      </c>
      <c r="AK426">
        <v>15409.93474242244</v>
      </c>
      <c r="AL426">
        <v>946.57468030644986</v>
      </c>
      <c r="AM426">
        <v>300.05350999866539</v>
      </c>
      <c r="AO426">
        <v>41572.163793791427</v>
      </c>
      <c r="AP426">
        <v>13.378971714403765</v>
      </c>
      <c r="AQ426">
        <v>45894.58744707884</v>
      </c>
      <c r="AR426">
        <v>13.558275963096932</v>
      </c>
      <c r="AS426" s="2">
        <f t="shared" si="43"/>
        <v>4322.4236532874129</v>
      </c>
      <c r="AT426" s="2">
        <f t="shared" si="44"/>
        <v>0.17930424869316752</v>
      </c>
      <c r="AV426">
        <f t="shared" si="45"/>
        <v>1296325.0076465851</v>
      </c>
      <c r="AW426">
        <f t="shared" si="46"/>
        <v>1309933.0088626144</v>
      </c>
      <c r="AY426">
        <f t="shared" si="47"/>
        <v>0</v>
      </c>
      <c r="AZ426">
        <f t="shared" si="48"/>
        <v>1</v>
      </c>
    </row>
    <row r="427" spans="1:52" x14ac:dyDescent="0.2">
      <c r="A427">
        <f t="shared" si="42"/>
        <v>423</v>
      </c>
      <c r="B427">
        <v>2.2607119474386355E-2</v>
      </c>
      <c r="C427">
        <v>2.3041258894875603E-2</v>
      </c>
      <c r="D427">
        <v>3.6227142341108284E-2</v>
      </c>
      <c r="E427">
        <v>2.4550582984514291E-2</v>
      </c>
      <c r="F427">
        <v>3.2123622609097598E-3</v>
      </c>
      <c r="G427">
        <v>2.9618419351933535E-3</v>
      </c>
      <c r="H427">
        <v>3.337642700312371E-2</v>
      </c>
      <c r="I427">
        <v>0.13228157169942967</v>
      </c>
      <c r="J427">
        <v>0</v>
      </c>
      <c r="K427">
        <v>0.44045264111172755</v>
      </c>
      <c r="L427">
        <v>0.26291568767086859</v>
      </c>
      <c r="M427">
        <v>0.73708431232913141</v>
      </c>
      <c r="N427">
        <v>7.7442250382184441E-2</v>
      </c>
      <c r="O427" s="72">
        <v>0.99935853611662395</v>
      </c>
      <c r="P427">
        <v>0.99954373287014942</v>
      </c>
      <c r="Q427">
        <v>0.99071845593689345</v>
      </c>
      <c r="R427">
        <v>0.50095962990943899</v>
      </c>
      <c r="S427">
        <v>0.43192366982708397</v>
      </c>
      <c r="T427">
        <v>0.26823855990068601</v>
      </c>
      <c r="U427">
        <v>0.75023226013101374</v>
      </c>
      <c r="V427">
        <v>0.63926267671422055</v>
      </c>
      <c r="W427">
        <v>0.60670319747613033</v>
      </c>
      <c r="X427">
        <v>0.45679667407021673</v>
      </c>
      <c r="Y427">
        <v>0.47551692729510986</v>
      </c>
      <c r="Z427">
        <v>0.51263519973922334</v>
      </c>
      <c r="AA427">
        <v>0.72318670894865922</v>
      </c>
      <c r="AB427">
        <v>0.82611928570139603</v>
      </c>
      <c r="AC427">
        <v>0.73799471599953947</v>
      </c>
      <c r="AD427">
        <v>0.60341234766930163</v>
      </c>
      <c r="AE427">
        <v>223.96727048154318</v>
      </c>
      <c r="AF427">
        <v>1166.6934529184293</v>
      </c>
      <c r="AG427">
        <v>1280.0990862707588</v>
      </c>
      <c r="AH427">
        <v>13154.552020521263</v>
      </c>
      <c r="AI427">
        <v>13707.313937008348</v>
      </c>
      <c r="AJ427">
        <v>44404.514044492935</v>
      </c>
      <c r="AK427">
        <v>12187.480157729768</v>
      </c>
      <c r="AL427">
        <v>2989.6063923089387</v>
      </c>
      <c r="AM427">
        <v>334.25221879217241</v>
      </c>
      <c r="AO427">
        <v>40694.779048694036</v>
      </c>
      <c r="AP427">
        <v>13.445609305851484</v>
      </c>
      <c r="AQ427">
        <v>45638.637355580104</v>
      </c>
      <c r="AR427">
        <v>13.629631455941645</v>
      </c>
      <c r="AS427" s="2">
        <f t="shared" si="43"/>
        <v>4943.858306886068</v>
      </c>
      <c r="AT427" s="2">
        <f t="shared" si="44"/>
        <v>0.18402215009016132</v>
      </c>
      <c r="AV427">
        <f t="shared" si="45"/>
        <v>1303866.1515364542</v>
      </c>
      <c r="AW427">
        <f t="shared" si="46"/>
        <v>1317324.5082385845</v>
      </c>
      <c r="AY427">
        <f t="shared" si="47"/>
        <v>0</v>
      </c>
      <c r="AZ427">
        <f t="shared" si="48"/>
        <v>1</v>
      </c>
    </row>
    <row r="428" spans="1:52" x14ac:dyDescent="0.2">
      <c r="A428">
        <f t="shared" si="42"/>
        <v>424</v>
      </c>
      <c r="B428">
        <v>2.761465142558972E-2</v>
      </c>
      <c r="C428">
        <v>3.4275412246832906E-2</v>
      </c>
      <c r="D428">
        <v>3.5747513721837862E-2</v>
      </c>
      <c r="E428">
        <v>1.0396558328111608E-2</v>
      </c>
      <c r="F428">
        <v>3.3489590317706819E-3</v>
      </c>
      <c r="G428">
        <v>1.0148543007077722E-2</v>
      </c>
      <c r="H428">
        <v>3.9562357195434883E-2</v>
      </c>
      <c r="I428">
        <v>0.13081570622300887</v>
      </c>
      <c r="J428">
        <v>0</v>
      </c>
      <c r="K428">
        <v>0.43496762566850289</v>
      </c>
      <c r="L428">
        <v>0.1938474830755329</v>
      </c>
      <c r="M428">
        <v>0.8061525169244671</v>
      </c>
      <c r="N428">
        <v>6.3669821508575142E-2</v>
      </c>
      <c r="O428" s="72">
        <v>0.99666566985932392</v>
      </c>
      <c r="P428">
        <v>0.98210936021725559</v>
      </c>
      <c r="Q428">
        <v>0.97201410275623312</v>
      </c>
      <c r="R428">
        <v>0.48690140336542065</v>
      </c>
      <c r="S428">
        <v>0.41074714238201182</v>
      </c>
      <c r="T428">
        <v>0.21568278005969976</v>
      </c>
      <c r="U428">
        <v>0.77955107949901536</v>
      </c>
      <c r="V428">
        <v>0.63851290954587903</v>
      </c>
      <c r="W428">
        <v>0.52935166362735064</v>
      </c>
      <c r="X428">
        <v>0.4510867264707068</v>
      </c>
      <c r="Y428">
        <v>0.45756041095150202</v>
      </c>
      <c r="Z428">
        <v>0.43990771676671075</v>
      </c>
      <c r="AA428">
        <v>0.69855947167430488</v>
      </c>
      <c r="AB428">
        <v>0.84462964008873254</v>
      </c>
      <c r="AC428">
        <v>0.70601134997476378</v>
      </c>
      <c r="AD428">
        <v>0.56941170260718765</v>
      </c>
      <c r="AE428">
        <v>161.74519136142848</v>
      </c>
      <c r="AF428">
        <v>1212.7100048566572</v>
      </c>
      <c r="AG428">
        <v>1067.9887736122494</v>
      </c>
      <c r="AH428">
        <v>12863.220859899273</v>
      </c>
      <c r="AI428">
        <v>9126.9817778178276</v>
      </c>
      <c r="AJ428">
        <v>36562.767265075854</v>
      </c>
      <c r="AK428">
        <v>13025.315964736252</v>
      </c>
      <c r="AL428">
        <v>1413.2857777345637</v>
      </c>
      <c r="AM428">
        <v>279.34279661233705</v>
      </c>
      <c r="AO428">
        <v>41674.491443062689</v>
      </c>
      <c r="AP428">
        <v>13.578128622728926</v>
      </c>
      <c r="AQ428">
        <v>45330.381938689148</v>
      </c>
      <c r="AR428">
        <v>13.779021474923422</v>
      </c>
      <c r="AS428" s="2">
        <f t="shared" si="43"/>
        <v>3655.8904956264596</v>
      </c>
      <c r="AT428" s="2">
        <f t="shared" si="44"/>
        <v>0.20089285219449593</v>
      </c>
      <c r="AV428">
        <f t="shared" si="45"/>
        <v>1316138.3708298299</v>
      </c>
      <c r="AW428">
        <f t="shared" si="46"/>
        <v>1332571.765553653</v>
      </c>
      <c r="AY428">
        <f t="shared" si="47"/>
        <v>0</v>
      </c>
      <c r="AZ428">
        <f t="shared" si="48"/>
        <v>1</v>
      </c>
    </row>
    <row r="429" spans="1:52" x14ac:dyDescent="0.2">
      <c r="A429">
        <f t="shared" si="42"/>
        <v>425</v>
      </c>
      <c r="B429">
        <v>2.4203594011966242E-2</v>
      </c>
      <c r="C429">
        <v>4.7208106810371797E-2</v>
      </c>
      <c r="D429">
        <v>3.6186972294505008E-2</v>
      </c>
      <c r="E429">
        <v>1.4503671339871627E-2</v>
      </c>
      <c r="F429">
        <v>3.3257945134380425E-3</v>
      </c>
      <c r="G429">
        <v>2.9626776593953291E-3</v>
      </c>
      <c r="H429">
        <v>2.8813537105060738E-2</v>
      </c>
      <c r="I429">
        <v>0.13340459606104138</v>
      </c>
      <c r="J429">
        <v>0</v>
      </c>
      <c r="K429">
        <v>0.3910491789662609</v>
      </c>
      <c r="L429">
        <v>0.15769738837446401</v>
      </c>
      <c r="M429">
        <v>0.84230261162553599</v>
      </c>
      <c r="N429">
        <v>5.261851753301619E-2</v>
      </c>
      <c r="O429" s="72">
        <v>0.99999991947794187</v>
      </c>
      <c r="P429">
        <v>0.999997438129127</v>
      </c>
      <c r="Q429">
        <v>0.94107457255499649</v>
      </c>
      <c r="R429">
        <v>0.49475805762982816</v>
      </c>
      <c r="S429">
        <v>0.39121647598365528</v>
      </c>
      <c r="T429">
        <v>0.24098748463795117</v>
      </c>
      <c r="U429">
        <v>0.77252506899912265</v>
      </c>
      <c r="V429">
        <v>0.69753077282848841</v>
      </c>
      <c r="W429">
        <v>0.61874210662818829</v>
      </c>
      <c r="X429">
        <v>0.43206232351154916</v>
      </c>
      <c r="Y429">
        <v>0.46062561924221124</v>
      </c>
      <c r="Z429">
        <v>0.47600635192886409</v>
      </c>
      <c r="AA429">
        <v>0.70046776371658004</v>
      </c>
      <c r="AB429">
        <v>0.86224684046983835</v>
      </c>
      <c r="AC429">
        <v>0.80340053230947417</v>
      </c>
      <c r="AD429">
        <v>0.58994037004412492</v>
      </c>
      <c r="AE429">
        <v>226.6478310563343</v>
      </c>
      <c r="AF429">
        <v>1083.292381073295</v>
      </c>
      <c r="AG429">
        <v>1580.6560488751545</v>
      </c>
      <c r="AH429">
        <v>13080.746570174695</v>
      </c>
      <c r="AI429">
        <v>6912.2104376064381</v>
      </c>
      <c r="AJ429">
        <v>36884.130752417448</v>
      </c>
      <c r="AK429">
        <v>11282.430230058553</v>
      </c>
      <c r="AL429">
        <v>2268.5323155736619</v>
      </c>
      <c r="AM429">
        <v>335.78631936445572</v>
      </c>
      <c r="AO429">
        <v>42070.787909916209</v>
      </c>
      <c r="AP429">
        <v>14.029037006382598</v>
      </c>
      <c r="AQ429">
        <v>45843.456884889943</v>
      </c>
      <c r="AR429">
        <v>14.228390713676413</v>
      </c>
      <c r="AS429" s="2">
        <f t="shared" si="43"/>
        <v>3772.6689749737343</v>
      </c>
      <c r="AT429" s="2">
        <f t="shared" si="44"/>
        <v>0.19935370729381496</v>
      </c>
      <c r="AV429">
        <f t="shared" si="45"/>
        <v>1360832.9127283436</v>
      </c>
      <c r="AW429">
        <f t="shared" si="46"/>
        <v>1376995.6144827513</v>
      </c>
      <c r="AY429">
        <f t="shared" si="47"/>
        <v>0</v>
      </c>
      <c r="AZ429">
        <f t="shared" si="48"/>
        <v>1</v>
      </c>
    </row>
    <row r="430" spans="1:52" x14ac:dyDescent="0.2">
      <c r="A430">
        <f t="shared" si="42"/>
        <v>426</v>
      </c>
      <c r="B430">
        <v>2.7450394931590405E-2</v>
      </c>
      <c r="C430">
        <v>3.1296036573576463E-2</v>
      </c>
      <c r="D430">
        <v>5.8371621774839788E-2</v>
      </c>
      <c r="E430">
        <v>6.152529513986719E-3</v>
      </c>
      <c r="F430">
        <v>3.3075123223342152E-3</v>
      </c>
      <c r="G430">
        <v>1.2672145241859889E-2</v>
      </c>
      <c r="H430">
        <v>2.285790376151076E-2</v>
      </c>
      <c r="I430">
        <v>0.13510578335888912</v>
      </c>
      <c r="J430">
        <v>0</v>
      </c>
      <c r="K430">
        <v>0.42872911937032643</v>
      </c>
      <c r="L430">
        <v>0.21605796291599999</v>
      </c>
      <c r="M430">
        <v>0.78394203708400001</v>
      </c>
      <c r="N430">
        <v>4.2722519630540919E-2</v>
      </c>
      <c r="O430" s="72">
        <v>0.99844635554250283</v>
      </c>
      <c r="P430">
        <v>0.99969470347582157</v>
      </c>
      <c r="Q430">
        <v>0.97719083377469906</v>
      </c>
      <c r="R430">
        <v>0.48835141442871632</v>
      </c>
      <c r="S430">
        <v>0.40646453882696587</v>
      </c>
      <c r="T430">
        <v>0.21327587983326801</v>
      </c>
      <c r="U430">
        <v>0.76734116610508718</v>
      </c>
      <c r="V430">
        <v>0.63134261695339799</v>
      </c>
      <c r="W430">
        <v>0.5384257461033003</v>
      </c>
      <c r="X430">
        <v>0.50212149597691913</v>
      </c>
      <c r="Y430">
        <v>0.49033856490562244</v>
      </c>
      <c r="Z430">
        <v>0.42682438521047539</v>
      </c>
      <c r="AA430">
        <v>0.6785215259431796</v>
      </c>
      <c r="AB430">
        <v>0.83188861434455974</v>
      </c>
      <c r="AC430">
        <v>0.70375365586584604</v>
      </c>
      <c r="AD430">
        <v>0.52398090546728959</v>
      </c>
      <c r="AE430">
        <v>237.07908312595424</v>
      </c>
      <c r="AF430">
        <v>962.50121321322854</v>
      </c>
      <c r="AG430">
        <v>2008.6181028609251</v>
      </c>
      <c r="AH430">
        <v>12085.406133804438</v>
      </c>
      <c r="AI430">
        <v>12159.013779248113</v>
      </c>
      <c r="AJ430">
        <v>40123.357268455344</v>
      </c>
      <c r="AK430">
        <v>13350.272423992496</v>
      </c>
      <c r="AL430">
        <v>2194.0971408417727</v>
      </c>
      <c r="AM430">
        <v>434.72632494475954</v>
      </c>
      <c r="AO430">
        <v>44306.281765148764</v>
      </c>
      <c r="AP430">
        <v>13.339098469517754</v>
      </c>
      <c r="AQ430">
        <v>47285.015594166085</v>
      </c>
      <c r="AR430">
        <v>13.538589217966926</v>
      </c>
      <c r="AS430" s="2">
        <f t="shared" si="43"/>
        <v>2978.7338290173211</v>
      </c>
      <c r="AT430" s="2">
        <f t="shared" si="44"/>
        <v>0.19949074844917192</v>
      </c>
      <c r="AV430">
        <f t="shared" si="45"/>
        <v>1289603.5651866267</v>
      </c>
      <c r="AW430">
        <f t="shared" si="46"/>
        <v>1306573.9062025265</v>
      </c>
      <c r="AY430">
        <f t="shared" si="47"/>
        <v>0</v>
      </c>
      <c r="AZ430">
        <f t="shared" si="48"/>
        <v>1</v>
      </c>
    </row>
    <row r="431" spans="1:52" x14ac:dyDescent="0.2">
      <c r="A431">
        <f t="shared" si="42"/>
        <v>427</v>
      </c>
      <c r="B431">
        <v>2.6574335109677549E-2</v>
      </c>
      <c r="C431">
        <v>3.3585635180437438E-2</v>
      </c>
      <c r="D431">
        <v>2.5819933083331477E-2</v>
      </c>
      <c r="E431">
        <v>1.1553649357811271E-2</v>
      </c>
      <c r="F431">
        <v>3.4353135253635259E-3</v>
      </c>
      <c r="G431">
        <v>1.8228448479671533E-2</v>
      </c>
      <c r="H431">
        <v>5.4062252731325589E-2</v>
      </c>
      <c r="I431">
        <v>0.13611071719440615</v>
      </c>
      <c r="J431">
        <v>0</v>
      </c>
      <c r="K431">
        <v>0.43679396987440156</v>
      </c>
      <c r="L431">
        <v>0.15851520278323419</v>
      </c>
      <c r="M431">
        <v>0.84148479721676583</v>
      </c>
      <c r="N431">
        <v>4.5596146767659322E-2</v>
      </c>
      <c r="O431" s="72">
        <v>0.99918124966130872</v>
      </c>
      <c r="P431">
        <v>0.99972287247485458</v>
      </c>
      <c r="Q431">
        <v>0.98311722344086783</v>
      </c>
      <c r="R431">
        <v>0.49834106657864641</v>
      </c>
      <c r="S431">
        <v>0.36719578663717845</v>
      </c>
      <c r="T431">
        <v>0.22564726623509945</v>
      </c>
      <c r="U431">
        <v>0.77433291948731386</v>
      </c>
      <c r="V431">
        <v>0.65424516405999877</v>
      </c>
      <c r="W431">
        <v>0.63150322336163478</v>
      </c>
      <c r="X431">
        <v>0.45298468943128334</v>
      </c>
      <c r="Y431">
        <v>0.50493642493432067</v>
      </c>
      <c r="Z431">
        <v>0.44342474361828038</v>
      </c>
      <c r="AA431">
        <v>0.75181540084409471</v>
      </c>
      <c r="AB431">
        <v>0.80034549431457258</v>
      </c>
      <c r="AC431">
        <v>0.71093359425116442</v>
      </c>
      <c r="AD431">
        <v>0.65098378018585767</v>
      </c>
      <c r="AE431">
        <v>218.51194681714011</v>
      </c>
      <c r="AF431">
        <v>1129.9892301031107</v>
      </c>
      <c r="AG431">
        <v>1778.5132190794213</v>
      </c>
      <c r="AH431">
        <v>18359.085357425673</v>
      </c>
      <c r="AI431">
        <v>15158.404685130969</v>
      </c>
      <c r="AJ431">
        <v>38893.882199141226</v>
      </c>
      <c r="AK431">
        <v>14736.360709065766</v>
      </c>
      <c r="AL431">
        <v>2413.1128446602766</v>
      </c>
      <c r="AM431">
        <v>350.76366209377295</v>
      </c>
      <c r="AO431">
        <v>43026.223376197573</v>
      </c>
      <c r="AP431">
        <v>13.151813717537493</v>
      </c>
      <c r="AQ431">
        <v>46052.224634181912</v>
      </c>
      <c r="AR431">
        <v>13.288087015004892</v>
      </c>
      <c r="AS431" s="2">
        <f t="shared" si="43"/>
        <v>3026.0012579843387</v>
      </c>
      <c r="AT431" s="2">
        <f t="shared" si="44"/>
        <v>0.13627329746739925</v>
      </c>
      <c r="AV431">
        <f t="shared" si="45"/>
        <v>1272155.1483775517</v>
      </c>
      <c r="AW431">
        <f t="shared" si="46"/>
        <v>1282756.4768663072</v>
      </c>
      <c r="AY431">
        <f t="shared" si="47"/>
        <v>0</v>
      </c>
      <c r="AZ431">
        <f t="shared" si="48"/>
        <v>1</v>
      </c>
    </row>
    <row r="432" spans="1:52" x14ac:dyDescent="0.2">
      <c r="A432">
        <f t="shared" si="42"/>
        <v>428</v>
      </c>
      <c r="B432">
        <v>2.2599393225577361E-2</v>
      </c>
      <c r="C432">
        <v>4.155863407619742E-2</v>
      </c>
      <c r="D432">
        <v>3.7421487433911896E-2</v>
      </c>
      <c r="E432">
        <v>5.2656151029334297E-2</v>
      </c>
      <c r="F432">
        <v>3.418191776242252E-3</v>
      </c>
      <c r="G432">
        <v>1.2274284155311177E-2</v>
      </c>
      <c r="H432">
        <v>2.4381504182984352E-2</v>
      </c>
      <c r="I432">
        <v>0.11842801865407473</v>
      </c>
      <c r="J432">
        <v>0</v>
      </c>
      <c r="K432">
        <v>0.39289976129097276</v>
      </c>
      <c r="L432">
        <v>0.20801258559345337</v>
      </c>
      <c r="M432">
        <v>0.79198741440654663</v>
      </c>
      <c r="N432">
        <v>5.3667566074904846E-2</v>
      </c>
      <c r="O432" s="72">
        <v>0.98960845133442954</v>
      </c>
      <c r="P432">
        <v>0.99995536787819939</v>
      </c>
      <c r="Q432">
        <v>0.98284783097115413</v>
      </c>
      <c r="R432">
        <v>0.45475764722920686</v>
      </c>
      <c r="S432">
        <v>0.35516636099950794</v>
      </c>
      <c r="T432">
        <v>0.17536798142203069</v>
      </c>
      <c r="U432">
        <v>0.7655372413559054</v>
      </c>
      <c r="V432">
        <v>0.71528776382799286</v>
      </c>
      <c r="W432">
        <v>0.59897588488028997</v>
      </c>
      <c r="X432">
        <v>0.44922998075990717</v>
      </c>
      <c r="Y432">
        <v>0.46588045285060076</v>
      </c>
      <c r="Z432">
        <v>0.46462616929466982</v>
      </c>
      <c r="AA432">
        <v>0.65303245123695164</v>
      </c>
      <c r="AB432">
        <v>0.81675854781458701</v>
      </c>
      <c r="AC432">
        <v>0.65670806888972233</v>
      </c>
      <c r="AD432">
        <v>0.56191732586768006</v>
      </c>
      <c r="AE432">
        <v>170.31356109688599</v>
      </c>
      <c r="AF432">
        <v>1172.3766702134287</v>
      </c>
      <c r="AG432">
        <v>1451.4574840074511</v>
      </c>
      <c r="AH432">
        <v>15574.540785829991</v>
      </c>
      <c r="AI432">
        <v>12660.313882966648</v>
      </c>
      <c r="AJ432">
        <v>34138.091287477997</v>
      </c>
      <c r="AK432">
        <v>15974.39460511892</v>
      </c>
      <c r="AL432">
        <v>1653.5687494182878</v>
      </c>
      <c r="AM432">
        <v>369.36039491757464</v>
      </c>
      <c r="AO432">
        <v>46210.542073130935</v>
      </c>
      <c r="AP432">
        <v>13.03939357692945</v>
      </c>
      <c r="AQ432">
        <v>46293.924751624661</v>
      </c>
      <c r="AR432">
        <v>13.294516529074816</v>
      </c>
      <c r="AS432" s="2">
        <f t="shared" si="43"/>
        <v>83.382678493726416</v>
      </c>
      <c r="AT432" s="2">
        <f t="shared" si="44"/>
        <v>0.25512295214536529</v>
      </c>
      <c r="AV432">
        <f t="shared" si="45"/>
        <v>1257728.8156198142</v>
      </c>
      <c r="AW432">
        <f t="shared" si="46"/>
        <v>1283157.728155857</v>
      </c>
      <c r="AY432">
        <f t="shared" si="47"/>
        <v>0</v>
      </c>
      <c r="AZ432">
        <f t="shared" si="48"/>
        <v>1</v>
      </c>
    </row>
    <row r="433" spans="1:52" x14ac:dyDescent="0.2">
      <c r="A433">
        <f t="shared" si="42"/>
        <v>429</v>
      </c>
      <c r="B433">
        <v>2.8321031514222161E-2</v>
      </c>
      <c r="C433">
        <v>4.218449688204462E-2</v>
      </c>
      <c r="D433">
        <v>3.0709623124603472E-2</v>
      </c>
      <c r="E433">
        <v>5.7506666705323561E-2</v>
      </c>
      <c r="F433">
        <v>3.3496619122322935E-3</v>
      </c>
      <c r="G433">
        <v>3.5981103398961965E-3</v>
      </c>
      <c r="H433">
        <v>4.498130856972693E-2</v>
      </c>
      <c r="I433">
        <v>0.1373987474769699</v>
      </c>
      <c r="J433">
        <v>0</v>
      </c>
      <c r="K433">
        <v>0.42378361182420199</v>
      </c>
      <c r="L433">
        <v>0.29100763433484889</v>
      </c>
      <c r="M433">
        <v>0.70899236566515111</v>
      </c>
      <c r="N433">
        <v>6.7455262523722581E-2</v>
      </c>
      <c r="O433" s="72">
        <v>0.99963845259267381</v>
      </c>
      <c r="P433">
        <v>0.99932140603443154</v>
      </c>
      <c r="Q433">
        <v>0.95351721710897075</v>
      </c>
      <c r="R433">
        <v>0.51578630358432731</v>
      </c>
      <c r="S433">
        <v>0.43933420425484604</v>
      </c>
      <c r="T433">
        <v>0.26329958366856054</v>
      </c>
      <c r="U433">
        <v>0.77360591988649752</v>
      </c>
      <c r="V433">
        <v>0.68665372765607535</v>
      </c>
      <c r="W433">
        <v>0.47553682142180298</v>
      </c>
      <c r="X433">
        <v>0.43037825842656036</v>
      </c>
      <c r="Y433">
        <v>0.42873602306168818</v>
      </c>
      <c r="Z433">
        <v>0.43657511196591431</v>
      </c>
      <c r="AA433">
        <v>0.63800712145718941</v>
      </c>
      <c r="AB433">
        <v>0.77620153379264456</v>
      </c>
      <c r="AC433">
        <v>0.67935939924014832</v>
      </c>
      <c r="AD433">
        <v>0.56020999171498942</v>
      </c>
      <c r="AE433">
        <v>208.37071827147014</v>
      </c>
      <c r="AF433">
        <v>1029.1460774712489</v>
      </c>
      <c r="AG433">
        <v>1853.5753995789896</v>
      </c>
      <c r="AH433">
        <v>12041.30358865738</v>
      </c>
      <c r="AI433">
        <v>9164.8403755948184</v>
      </c>
      <c r="AJ433">
        <v>40520.07785960917</v>
      </c>
      <c r="AK433">
        <v>11280.162207388412</v>
      </c>
      <c r="AL433">
        <v>1176.2603188005116</v>
      </c>
      <c r="AM433">
        <v>283.99988109222505</v>
      </c>
      <c r="AO433">
        <v>39053.517803110401</v>
      </c>
      <c r="AP433">
        <v>12.59205946971548</v>
      </c>
      <c r="AQ433">
        <v>44977.333924857594</v>
      </c>
      <c r="AR433">
        <v>12.767951546907037</v>
      </c>
      <c r="AS433" s="2">
        <f t="shared" si="43"/>
        <v>5923.8161217471934</v>
      </c>
      <c r="AT433" s="2">
        <f t="shared" si="44"/>
        <v>0.17589207719155731</v>
      </c>
      <c r="AV433">
        <f t="shared" si="45"/>
        <v>1220152.4291684376</v>
      </c>
      <c r="AW433">
        <f t="shared" si="46"/>
        <v>1231817.8207658459</v>
      </c>
      <c r="AY433">
        <f t="shared" si="47"/>
        <v>0</v>
      </c>
      <c r="AZ433">
        <f t="shared" si="48"/>
        <v>1</v>
      </c>
    </row>
    <row r="434" spans="1:52" x14ac:dyDescent="0.2">
      <c r="A434">
        <f t="shared" si="42"/>
        <v>430</v>
      </c>
      <c r="B434">
        <v>2.5339813699061686E-2</v>
      </c>
      <c r="C434">
        <v>3.6754811858881853E-2</v>
      </c>
      <c r="D434">
        <v>4.8938613725377222E-2</v>
      </c>
      <c r="E434">
        <v>1.9839686172604565E-2</v>
      </c>
      <c r="F434">
        <v>3.3546348854822661E-3</v>
      </c>
      <c r="G434">
        <v>2.9686385901081747E-2</v>
      </c>
      <c r="H434">
        <v>2.3205185605203616E-2</v>
      </c>
      <c r="I434">
        <v>0.12752968829954622</v>
      </c>
      <c r="J434">
        <v>0</v>
      </c>
      <c r="K434">
        <v>0.41843179890605947</v>
      </c>
      <c r="L434">
        <v>0.23774741159993085</v>
      </c>
      <c r="M434">
        <v>0.76225258840006915</v>
      </c>
      <c r="N434">
        <v>4.9520788644566556E-2</v>
      </c>
      <c r="O434" s="72">
        <v>0.97775464712398974</v>
      </c>
      <c r="P434">
        <v>0.99996709243531889</v>
      </c>
      <c r="Q434">
        <v>0.94690421867639818</v>
      </c>
      <c r="R434">
        <v>0.45617480729684756</v>
      </c>
      <c r="S434">
        <v>0.31046596267413662</v>
      </c>
      <c r="T434">
        <v>0.36328386218318176</v>
      </c>
      <c r="U434">
        <v>0.74416913796733841</v>
      </c>
      <c r="V434">
        <v>0.68225370665261031</v>
      </c>
      <c r="W434">
        <v>0.62218562424997415</v>
      </c>
      <c r="X434">
        <v>0.4611407008641889</v>
      </c>
      <c r="Y434">
        <v>0.4917451353223582</v>
      </c>
      <c r="Z434">
        <v>0.4850950561761892</v>
      </c>
      <c r="AA434">
        <v>0.75093481938970053</v>
      </c>
      <c r="AB434">
        <v>0.877036814790641</v>
      </c>
      <c r="AC434">
        <v>0.66139762046387129</v>
      </c>
      <c r="AD434">
        <v>0.61767584731443637</v>
      </c>
      <c r="AE434">
        <v>182.22917970189701</v>
      </c>
      <c r="AF434">
        <v>996.43728192593721</v>
      </c>
      <c r="AG434">
        <v>1241.1729394192255</v>
      </c>
      <c r="AH434">
        <v>13119.301948880473</v>
      </c>
      <c r="AI434">
        <v>9718.9195014434899</v>
      </c>
      <c r="AJ434">
        <v>41244.81845938044</v>
      </c>
      <c r="AK434">
        <v>11599.475881352799</v>
      </c>
      <c r="AL434">
        <v>1981.2373076717704</v>
      </c>
      <c r="AM434">
        <v>316.10543010112275</v>
      </c>
      <c r="AO434">
        <v>43114.672421043266</v>
      </c>
      <c r="AP434">
        <v>13.950925594213437</v>
      </c>
      <c r="AQ434">
        <v>45522.776880623394</v>
      </c>
      <c r="AR434">
        <v>14.213547831640202</v>
      </c>
      <c r="AS434" s="2">
        <f t="shared" si="43"/>
        <v>2408.1044595801286</v>
      </c>
      <c r="AT434" s="2">
        <f t="shared" si="44"/>
        <v>0.26262223742676483</v>
      </c>
      <c r="AV434">
        <f t="shared" si="45"/>
        <v>1351977.8870003005</v>
      </c>
      <c r="AW434">
        <f t="shared" si="46"/>
        <v>1375832.0062833969</v>
      </c>
      <c r="AY434">
        <f t="shared" si="47"/>
        <v>0</v>
      </c>
      <c r="AZ434">
        <f t="shared" si="48"/>
        <v>1</v>
      </c>
    </row>
    <row r="435" spans="1:52" x14ac:dyDescent="0.2">
      <c r="A435">
        <f t="shared" si="42"/>
        <v>431</v>
      </c>
      <c r="B435">
        <v>1.9527126605794112E-2</v>
      </c>
      <c r="C435">
        <v>2.1609977777691615E-2</v>
      </c>
      <c r="D435">
        <v>4.4184988794606639E-2</v>
      </c>
      <c r="E435">
        <v>1.4514226499807936E-2</v>
      </c>
      <c r="F435">
        <v>3.3094559300039465E-3</v>
      </c>
      <c r="G435">
        <v>9.6287614717476908E-3</v>
      </c>
      <c r="H435">
        <v>2.7744241125872485E-2</v>
      </c>
      <c r="I435">
        <v>0.12092800217098608</v>
      </c>
      <c r="J435">
        <v>0</v>
      </c>
      <c r="K435">
        <v>0.43054629416331258</v>
      </c>
      <c r="L435">
        <v>0.17687802436198982</v>
      </c>
      <c r="M435">
        <v>0.82312197563801015</v>
      </c>
      <c r="N435">
        <v>4.6378254520780114E-2</v>
      </c>
      <c r="O435" s="72">
        <v>0.99989485972553827</v>
      </c>
      <c r="P435">
        <v>0.93518711496531282</v>
      </c>
      <c r="Q435">
        <v>0.98139013491738059</v>
      </c>
      <c r="R435">
        <v>0.5664478122217248</v>
      </c>
      <c r="S435">
        <v>0.50073152127370857</v>
      </c>
      <c r="T435">
        <v>0.25297486555647231</v>
      </c>
      <c r="U435">
        <v>0.785148257477705</v>
      </c>
      <c r="V435">
        <v>0.66316222141027781</v>
      </c>
      <c r="W435">
        <v>0.63353295921875596</v>
      </c>
      <c r="X435">
        <v>0.40368980405356786</v>
      </c>
      <c r="Y435">
        <v>0.44483158050140126</v>
      </c>
      <c r="Z435">
        <v>0.4923228423776469</v>
      </c>
      <c r="AA435">
        <v>0.67526621391155639</v>
      </c>
      <c r="AB435">
        <v>0.8456551429799084</v>
      </c>
      <c r="AC435">
        <v>0.67434155140641794</v>
      </c>
      <c r="AD435">
        <v>0.60833139919867418</v>
      </c>
      <c r="AE435">
        <v>230.02778699040681</v>
      </c>
      <c r="AF435">
        <v>1062.2901137140589</v>
      </c>
      <c r="AG435">
        <v>1360.91281728531</v>
      </c>
      <c r="AH435">
        <v>10516.145265762114</v>
      </c>
      <c r="AI435">
        <v>12067.73488701301</v>
      </c>
      <c r="AJ435">
        <v>35289.865096394547</v>
      </c>
      <c r="AK435">
        <v>20326.069729190025</v>
      </c>
      <c r="AL435">
        <v>1098.9535639315318</v>
      </c>
      <c r="AM435">
        <v>402.44158892304552</v>
      </c>
      <c r="AO435">
        <v>38533.03202947192</v>
      </c>
      <c r="AP435">
        <v>13.644194456295406</v>
      </c>
      <c r="AQ435">
        <v>48813.176790919832</v>
      </c>
      <c r="AR435">
        <v>13.784509127651315</v>
      </c>
      <c r="AS435" s="2">
        <f t="shared" si="43"/>
        <v>10280.144761447911</v>
      </c>
      <c r="AT435" s="2">
        <f t="shared" si="44"/>
        <v>0.14031467135590958</v>
      </c>
      <c r="AV435">
        <f t="shared" si="45"/>
        <v>1325886.4136000688</v>
      </c>
      <c r="AW435">
        <f t="shared" si="46"/>
        <v>1329637.7359742117</v>
      </c>
      <c r="AY435">
        <f t="shared" si="47"/>
        <v>0</v>
      </c>
      <c r="AZ435">
        <f t="shared" si="48"/>
        <v>1</v>
      </c>
    </row>
    <row r="436" spans="1:52" x14ac:dyDescent="0.2">
      <c r="A436">
        <f t="shared" si="42"/>
        <v>432</v>
      </c>
      <c r="B436">
        <v>2.498805605323251E-2</v>
      </c>
      <c r="C436">
        <v>4.146014915229046E-2</v>
      </c>
      <c r="D436">
        <v>3.7173606362632151E-2</v>
      </c>
      <c r="E436">
        <v>1.3349296835557745E-2</v>
      </c>
      <c r="F436">
        <v>3.2891780289715732E-3</v>
      </c>
      <c r="G436">
        <v>3.5691033133153846E-3</v>
      </c>
      <c r="H436">
        <v>4.5682937179545746E-2</v>
      </c>
      <c r="I436">
        <v>0.12011480072388163</v>
      </c>
      <c r="J436">
        <v>0</v>
      </c>
      <c r="K436">
        <v>0.50860010487965601</v>
      </c>
      <c r="L436">
        <v>0.22805378249009589</v>
      </c>
      <c r="M436">
        <v>0.77194621750990411</v>
      </c>
      <c r="N436">
        <v>6.3563266330867063E-2</v>
      </c>
      <c r="O436" s="72">
        <v>0.99993950509650942</v>
      </c>
      <c r="P436">
        <v>0.99397328018566555</v>
      </c>
      <c r="Q436">
        <v>0.97835631254055311</v>
      </c>
      <c r="R436">
        <v>0.44729759981253081</v>
      </c>
      <c r="S436">
        <v>0.53333493931257392</v>
      </c>
      <c r="T436">
        <v>0.22824060084468956</v>
      </c>
      <c r="U436">
        <v>0.75856099540558963</v>
      </c>
      <c r="V436">
        <v>0.65392242819398327</v>
      </c>
      <c r="W436">
        <v>0.54174812436228603</v>
      </c>
      <c r="X436">
        <v>0.41077034257792167</v>
      </c>
      <c r="Y436">
        <v>0.48145063329446158</v>
      </c>
      <c r="Z436">
        <v>0.43566098295249328</v>
      </c>
      <c r="AA436">
        <v>0.73540164118257678</v>
      </c>
      <c r="AB436">
        <v>0.82154833793160031</v>
      </c>
      <c r="AC436">
        <v>0.71044097917841664</v>
      </c>
      <c r="AD436">
        <v>0.55782442508769881</v>
      </c>
      <c r="AE436">
        <v>209.79452439769491</v>
      </c>
      <c r="AF436">
        <v>1071.9177895801511</v>
      </c>
      <c r="AG436">
        <v>2114.205222392945</v>
      </c>
      <c r="AH436">
        <v>14305.367663150213</v>
      </c>
      <c r="AI436">
        <v>10160.211492417769</v>
      </c>
      <c r="AJ436">
        <v>41661.998511428217</v>
      </c>
      <c r="AK436">
        <v>12594.773639668971</v>
      </c>
      <c r="AL436">
        <v>1412.9811668003481</v>
      </c>
      <c r="AM436">
        <v>406.06806127166016</v>
      </c>
      <c r="AO436">
        <v>44736.389694831334</v>
      </c>
      <c r="AP436">
        <v>13.265447035368634</v>
      </c>
      <c r="AQ436">
        <v>47065.373195110886</v>
      </c>
      <c r="AR436">
        <v>13.453115092008099</v>
      </c>
      <c r="AS436" s="2">
        <f t="shared" si="43"/>
        <v>2328.9835002795517</v>
      </c>
      <c r="AT436" s="2">
        <f t="shared" si="44"/>
        <v>0.18766805663946506</v>
      </c>
      <c r="AV436">
        <f t="shared" si="45"/>
        <v>1281808.3138420321</v>
      </c>
      <c r="AW436">
        <f t="shared" si="46"/>
        <v>1298246.1360056992</v>
      </c>
      <c r="AY436">
        <f t="shared" si="47"/>
        <v>0</v>
      </c>
      <c r="AZ436">
        <f t="shared" si="48"/>
        <v>1</v>
      </c>
    </row>
    <row r="437" spans="1:52" x14ac:dyDescent="0.2">
      <c r="A437">
        <f t="shared" si="42"/>
        <v>433</v>
      </c>
      <c r="B437">
        <v>3.0656819511691746E-2</v>
      </c>
      <c r="C437">
        <v>4.7911056668858532E-2</v>
      </c>
      <c r="D437">
        <v>3.3862365379189185E-2</v>
      </c>
      <c r="E437">
        <v>7.9544402022681624E-3</v>
      </c>
      <c r="F437">
        <v>3.4228117035782768E-3</v>
      </c>
      <c r="G437">
        <v>1.806903227825829E-2</v>
      </c>
      <c r="H437">
        <v>2.4351506068868246E-2</v>
      </c>
      <c r="I437">
        <v>0.11249435942172231</v>
      </c>
      <c r="J437">
        <v>0</v>
      </c>
      <c r="K437">
        <v>0.41392150491304303</v>
      </c>
      <c r="L437">
        <v>0.11077416486682393</v>
      </c>
      <c r="M437">
        <v>0.8892258351331761</v>
      </c>
      <c r="N437">
        <v>4.8039444421491183E-2</v>
      </c>
      <c r="O437" s="72">
        <v>0.99987688977420186</v>
      </c>
      <c r="P437">
        <v>0.99257890108042102</v>
      </c>
      <c r="Q437">
        <v>0.98621099452742311</v>
      </c>
      <c r="R437">
        <v>0.48954050790316472</v>
      </c>
      <c r="S437">
        <v>0.44340347304939176</v>
      </c>
      <c r="T437">
        <v>0.28496736574952175</v>
      </c>
      <c r="U437">
        <v>0.78812253045000025</v>
      </c>
      <c r="V437">
        <v>0.70904846246787434</v>
      </c>
      <c r="W437">
        <v>0.5948177731413079</v>
      </c>
      <c r="X437">
        <v>0.44826570675713029</v>
      </c>
      <c r="Y437">
        <v>0.39595974687987651</v>
      </c>
      <c r="Z437">
        <v>0.43937460962880764</v>
      </c>
      <c r="AA437">
        <v>0.66599672126919685</v>
      </c>
      <c r="AB437">
        <v>0.73708627034679775</v>
      </c>
      <c r="AC437">
        <v>0.64342706839346064</v>
      </c>
      <c r="AD437">
        <v>0.58870638523464436</v>
      </c>
      <c r="AE437">
        <v>149.85039957422916</v>
      </c>
      <c r="AF437">
        <v>1038.7697503243553</v>
      </c>
      <c r="AG437">
        <v>1550.34217060265</v>
      </c>
      <c r="AH437">
        <v>11574.660546378545</v>
      </c>
      <c r="AI437">
        <v>8286.2158233210412</v>
      </c>
      <c r="AJ437">
        <v>40242.606087932923</v>
      </c>
      <c r="AK437">
        <v>10944.085686876022</v>
      </c>
      <c r="AL437">
        <v>2581.4850705126364</v>
      </c>
      <c r="AM437">
        <v>356.92109403136459</v>
      </c>
      <c r="AO437">
        <v>41276.815192688337</v>
      </c>
      <c r="AP437">
        <v>12.158297224406343</v>
      </c>
      <c r="AQ437">
        <v>46167.557255640721</v>
      </c>
      <c r="AR437">
        <v>12.203194629844873</v>
      </c>
      <c r="AS437" s="2">
        <f t="shared" si="43"/>
        <v>4890.742062952384</v>
      </c>
      <c r="AT437" s="2">
        <f t="shared" si="44"/>
        <v>4.4897405438529603E-2</v>
      </c>
      <c r="AV437">
        <f t="shared" si="45"/>
        <v>1174552.9072479461</v>
      </c>
      <c r="AW437">
        <f t="shared" si="46"/>
        <v>1174151.9057288468</v>
      </c>
      <c r="AY437">
        <f t="shared" si="47"/>
        <v>1</v>
      </c>
      <c r="AZ437">
        <f t="shared" si="48"/>
        <v>0</v>
      </c>
    </row>
    <row r="438" spans="1:52" x14ac:dyDescent="0.2">
      <c r="A438">
        <f t="shared" si="42"/>
        <v>434</v>
      </c>
      <c r="B438">
        <v>1.9851563414892019E-2</v>
      </c>
      <c r="C438">
        <v>4.1624228675672281E-2</v>
      </c>
      <c r="D438">
        <v>3.8570556398893507E-2</v>
      </c>
      <c r="E438">
        <v>3.3803546762078691E-3</v>
      </c>
      <c r="F438">
        <v>3.328990203873524E-3</v>
      </c>
      <c r="G438">
        <v>3.8393792779871684E-3</v>
      </c>
      <c r="H438">
        <v>3.1837660414848257E-2</v>
      </c>
      <c r="I438">
        <v>0.12764278009035071</v>
      </c>
      <c r="J438">
        <v>0</v>
      </c>
      <c r="K438">
        <v>0.44078385138712772</v>
      </c>
      <c r="L438">
        <v>0.35518266278466815</v>
      </c>
      <c r="M438">
        <v>0.64481733721533185</v>
      </c>
      <c r="N438">
        <v>5.3368273129342191E-2</v>
      </c>
      <c r="O438" s="72">
        <v>0.99533626788076845</v>
      </c>
      <c r="P438">
        <v>0.99995403827782636</v>
      </c>
      <c r="Q438">
        <v>0.99529241299668758</v>
      </c>
      <c r="R438">
        <v>0.50415527230812418</v>
      </c>
      <c r="S438">
        <v>0.4595772063966409</v>
      </c>
      <c r="T438">
        <v>0.13965274240643988</v>
      </c>
      <c r="U438">
        <v>0.78440979450521164</v>
      </c>
      <c r="V438">
        <v>0.70584477965685644</v>
      </c>
      <c r="W438">
        <v>0.58182827684420768</v>
      </c>
      <c r="X438">
        <v>0.44580313083594569</v>
      </c>
      <c r="Y438">
        <v>0.50267282660932744</v>
      </c>
      <c r="Z438">
        <v>0.43733921395436492</v>
      </c>
      <c r="AA438">
        <v>0.68891800030938877</v>
      </c>
      <c r="AB438">
        <v>0.85600978328695765</v>
      </c>
      <c r="AC438">
        <v>0.73418513023209075</v>
      </c>
      <c r="AD438">
        <v>0.67933530755896587</v>
      </c>
      <c r="AE438">
        <v>212.99087918382983</v>
      </c>
      <c r="AF438">
        <v>944.3537561873635</v>
      </c>
      <c r="AG438">
        <v>1955.472001648279</v>
      </c>
      <c r="AH438">
        <v>15910.270313830868</v>
      </c>
      <c r="AI438">
        <v>12166.382751577146</v>
      </c>
      <c r="AJ438">
        <v>39970.85017116856</v>
      </c>
      <c r="AK438">
        <v>17002.796527814979</v>
      </c>
      <c r="AL438">
        <v>2193.6215616545633</v>
      </c>
      <c r="AM438">
        <v>346.29997351041169</v>
      </c>
      <c r="AO438">
        <v>44326.926054857904</v>
      </c>
      <c r="AP438">
        <v>13.907139854408221</v>
      </c>
      <c r="AQ438">
        <v>45911.197990920293</v>
      </c>
      <c r="AR438">
        <v>14.140496604275297</v>
      </c>
      <c r="AS438" s="2">
        <f t="shared" si="43"/>
        <v>1584.2719360623887</v>
      </c>
      <c r="AT438" s="2">
        <f t="shared" si="44"/>
        <v>0.23335674986707566</v>
      </c>
      <c r="AV438">
        <f t="shared" si="45"/>
        <v>1346387.0593859642</v>
      </c>
      <c r="AW438">
        <f t="shared" si="46"/>
        <v>1368138.4624366092</v>
      </c>
      <c r="AY438">
        <f t="shared" si="47"/>
        <v>0</v>
      </c>
      <c r="AZ438">
        <f t="shared" si="48"/>
        <v>1</v>
      </c>
    </row>
    <row r="439" spans="1:52" x14ac:dyDescent="0.2">
      <c r="A439">
        <f t="shared" si="42"/>
        <v>435</v>
      </c>
      <c r="B439">
        <v>2.6014111869569811E-2</v>
      </c>
      <c r="C439">
        <v>2.9222461980570928E-2</v>
      </c>
      <c r="D439">
        <v>3.6733357043960399E-2</v>
      </c>
      <c r="E439">
        <v>1.212233532693674E-2</v>
      </c>
      <c r="F439">
        <v>3.4045381129197416E-3</v>
      </c>
      <c r="G439">
        <v>5.6084431342247453E-3</v>
      </c>
      <c r="H439">
        <v>2.9979004103626861E-2</v>
      </c>
      <c r="I439">
        <v>0.13227234006627431</v>
      </c>
      <c r="J439">
        <v>0</v>
      </c>
      <c r="K439">
        <v>0.4563515162063887</v>
      </c>
      <c r="L439">
        <v>0.17473142277990258</v>
      </c>
      <c r="M439">
        <v>0.82526857722009739</v>
      </c>
      <c r="N439">
        <v>5.7445332052009968E-2</v>
      </c>
      <c r="O439" s="72">
        <v>0.99969729913622751</v>
      </c>
      <c r="P439">
        <v>0.78005890281811263</v>
      </c>
      <c r="Q439">
        <v>0.95580431326212667</v>
      </c>
      <c r="R439">
        <v>0.4845149610035604</v>
      </c>
      <c r="S439">
        <v>0.40833711398862127</v>
      </c>
      <c r="T439">
        <v>0.12255815992017294</v>
      </c>
      <c r="U439">
        <v>0.74231415211132012</v>
      </c>
      <c r="V439">
        <v>0.71948531096715251</v>
      </c>
      <c r="W439">
        <v>0.56818405164140906</v>
      </c>
      <c r="X439">
        <v>0.44962363045873044</v>
      </c>
      <c r="Y439">
        <v>0.45324905938819848</v>
      </c>
      <c r="Z439">
        <v>0.45725365474735358</v>
      </c>
      <c r="AA439">
        <v>0.68568204905857155</v>
      </c>
      <c r="AB439">
        <v>0.86805224994535135</v>
      </c>
      <c r="AC439">
        <v>0.72380711686385557</v>
      </c>
      <c r="AD439">
        <v>0.62843358534140137</v>
      </c>
      <c r="AE439">
        <v>190.93404076624057</v>
      </c>
      <c r="AF439">
        <v>981.57662127306946</v>
      </c>
      <c r="AG439">
        <v>2037.8852975047794</v>
      </c>
      <c r="AH439">
        <v>14074.473585753783</v>
      </c>
      <c r="AI439">
        <v>10201.989865987767</v>
      </c>
      <c r="AJ439">
        <v>34676.024287132823</v>
      </c>
      <c r="AK439">
        <v>10213.530293593043</v>
      </c>
      <c r="AL439">
        <v>1989.4043698455848</v>
      </c>
      <c r="AM439">
        <v>396.54025828877531</v>
      </c>
      <c r="AO439">
        <v>46750.708225754039</v>
      </c>
      <c r="AP439">
        <v>13.914648896584579</v>
      </c>
      <c r="AQ439">
        <v>55314.211391866855</v>
      </c>
      <c r="AR439">
        <v>14.176625330451063</v>
      </c>
      <c r="AS439" s="2">
        <f t="shared" si="43"/>
        <v>8563.503166112816</v>
      </c>
      <c r="AT439" s="2">
        <f t="shared" si="44"/>
        <v>0.26197643386648473</v>
      </c>
      <c r="AV439">
        <f t="shared" si="45"/>
        <v>1344714.1814327037</v>
      </c>
      <c r="AW439">
        <f t="shared" si="46"/>
        <v>1362348.3216532394</v>
      </c>
      <c r="AY439">
        <f t="shared" si="47"/>
        <v>0</v>
      </c>
      <c r="AZ439">
        <f t="shared" si="48"/>
        <v>1</v>
      </c>
    </row>
    <row r="440" spans="1:52" x14ac:dyDescent="0.2">
      <c r="A440">
        <f t="shared" si="42"/>
        <v>436</v>
      </c>
      <c r="B440">
        <v>2.648300432342765E-2</v>
      </c>
      <c r="C440">
        <v>3.1238311869813615E-2</v>
      </c>
      <c r="D440">
        <v>3.4105061115919731E-2</v>
      </c>
      <c r="E440">
        <v>5.2144116812757255E-3</v>
      </c>
      <c r="F440">
        <v>3.3473797292244978E-3</v>
      </c>
      <c r="G440">
        <v>6.2312069152581874E-3</v>
      </c>
      <c r="H440">
        <v>3.8069072876346755E-2</v>
      </c>
      <c r="I440">
        <v>0.10749048421965098</v>
      </c>
      <c r="J440">
        <v>0</v>
      </c>
      <c r="K440">
        <v>0.4165394142286073</v>
      </c>
      <c r="L440">
        <v>0.19995229269291906</v>
      </c>
      <c r="M440">
        <v>0.80004770730708097</v>
      </c>
      <c r="N440">
        <v>5.2744242123658081E-2</v>
      </c>
      <c r="O440" s="72">
        <v>0.99982652891280477</v>
      </c>
      <c r="P440">
        <v>0.99995522815369042</v>
      </c>
      <c r="Q440">
        <v>0.94636702899075542</v>
      </c>
      <c r="R440">
        <v>0.52007615970220511</v>
      </c>
      <c r="S440">
        <v>0.44854688522881148</v>
      </c>
      <c r="T440">
        <v>0.26969132150221764</v>
      </c>
      <c r="U440">
        <v>0.74549649200148127</v>
      </c>
      <c r="V440">
        <v>0.59436508424236589</v>
      </c>
      <c r="W440">
        <v>0.60112434327450304</v>
      </c>
      <c r="X440">
        <v>0.44456937299312804</v>
      </c>
      <c r="Y440">
        <v>0.45042425244042605</v>
      </c>
      <c r="Z440">
        <v>0.38469009275970478</v>
      </c>
      <c r="AA440">
        <v>0.66795916661698151</v>
      </c>
      <c r="AB440">
        <v>0.85571891434762459</v>
      </c>
      <c r="AC440">
        <v>0.67915159427220595</v>
      </c>
      <c r="AD440">
        <v>0.6003622209022732</v>
      </c>
      <c r="AE440">
        <v>182.86189452955148</v>
      </c>
      <c r="AF440">
        <v>1136.0266946380041</v>
      </c>
      <c r="AG440">
        <v>2073.6143934655574</v>
      </c>
      <c r="AH440">
        <v>15809.805075667549</v>
      </c>
      <c r="AI440">
        <v>16886.71097344362</v>
      </c>
      <c r="AJ440">
        <v>35363.663468653511</v>
      </c>
      <c r="AK440">
        <v>12331.608977041002</v>
      </c>
      <c r="AL440">
        <v>1426.1609646177544</v>
      </c>
      <c r="AM440">
        <v>317.13775821414191</v>
      </c>
      <c r="AO440">
        <v>39910.944889620267</v>
      </c>
      <c r="AP440">
        <v>13.736623785752942</v>
      </c>
      <c r="AQ440">
        <v>45642.659656344716</v>
      </c>
      <c r="AR440">
        <v>13.929310025999564</v>
      </c>
      <c r="AS440" s="2">
        <f t="shared" si="43"/>
        <v>5731.7147667244499</v>
      </c>
      <c r="AT440" s="2">
        <f t="shared" si="44"/>
        <v>0.19268624024662273</v>
      </c>
      <c r="AV440">
        <f t="shared" si="45"/>
        <v>1333751.4336856741</v>
      </c>
      <c r="AW440">
        <f t="shared" si="46"/>
        <v>1347288.3429436118</v>
      </c>
      <c r="AY440">
        <f t="shared" si="47"/>
        <v>0</v>
      </c>
      <c r="AZ440">
        <f t="shared" si="48"/>
        <v>1</v>
      </c>
    </row>
    <row r="441" spans="1:52" x14ac:dyDescent="0.2">
      <c r="A441">
        <f t="shared" si="42"/>
        <v>437</v>
      </c>
      <c r="B441">
        <v>2.7734364001585132E-2</v>
      </c>
      <c r="C441">
        <v>4.3688920690775124E-2</v>
      </c>
      <c r="D441">
        <v>2.8341793385615658E-2</v>
      </c>
      <c r="E441">
        <v>2.7481421351569246E-3</v>
      </c>
      <c r="F441">
        <v>3.4005046652439974E-3</v>
      </c>
      <c r="G441">
        <v>4.311865061369069E-2</v>
      </c>
      <c r="H441">
        <v>2.3410176551420591E-2</v>
      </c>
      <c r="I441">
        <v>0.13260105662366117</v>
      </c>
      <c r="J441">
        <v>0</v>
      </c>
      <c r="K441">
        <v>0.47592395987603464</v>
      </c>
      <c r="L441">
        <v>0.18632299240514058</v>
      </c>
      <c r="M441">
        <v>0.81367700759485939</v>
      </c>
      <c r="N441">
        <v>6.1940415691498329E-2</v>
      </c>
      <c r="O441" s="72">
        <v>0.99807191384589034</v>
      </c>
      <c r="P441">
        <v>0.99677428584217898</v>
      </c>
      <c r="Q441">
        <v>0.97075790773703663</v>
      </c>
      <c r="R441">
        <v>0.54706502017714143</v>
      </c>
      <c r="S441">
        <v>0.4060946316908326</v>
      </c>
      <c r="T441">
        <v>0.16926226554668578</v>
      </c>
      <c r="U441">
        <v>0.78196065140309989</v>
      </c>
      <c r="V441">
        <v>0.69558245265649488</v>
      </c>
      <c r="W441">
        <v>0.57074722939041966</v>
      </c>
      <c r="X441">
        <v>0.42879589677700186</v>
      </c>
      <c r="Y441">
        <v>0.46247164871572133</v>
      </c>
      <c r="Z441">
        <v>0.45709638880292225</v>
      </c>
      <c r="AA441">
        <v>0.68168907130464806</v>
      </c>
      <c r="AB441">
        <v>0.82483600177872374</v>
      </c>
      <c r="AC441">
        <v>0.80829156990166962</v>
      </c>
      <c r="AD441">
        <v>0.63720667547595644</v>
      </c>
      <c r="AE441">
        <v>233.52493413443526</v>
      </c>
      <c r="AF441">
        <v>975.43766030514064</v>
      </c>
      <c r="AG441">
        <v>1867.4362195532128</v>
      </c>
      <c r="AH441">
        <v>13515.6844392897</v>
      </c>
      <c r="AI441">
        <v>8018.6577129952102</v>
      </c>
      <c r="AJ441">
        <v>38309.177245325525</v>
      </c>
      <c r="AK441">
        <v>13844.129350028641</v>
      </c>
      <c r="AL441">
        <v>2171.1099391864136</v>
      </c>
      <c r="AM441">
        <v>296.43779237308308</v>
      </c>
      <c r="AO441">
        <v>40983.799000598236</v>
      </c>
      <c r="AP441">
        <v>13.622209786349634</v>
      </c>
      <c r="AQ441">
        <v>45225.629284399853</v>
      </c>
      <c r="AR441">
        <v>13.781847071826023</v>
      </c>
      <c r="AS441" s="2">
        <f t="shared" si="43"/>
        <v>4241.830283801617</v>
      </c>
      <c r="AT441" s="2">
        <f t="shared" si="44"/>
        <v>0.15963728547638922</v>
      </c>
      <c r="AV441">
        <f t="shared" si="45"/>
        <v>1321237.1796343653</v>
      </c>
      <c r="AW441">
        <f t="shared" si="46"/>
        <v>1332959.0778982025</v>
      </c>
      <c r="AY441">
        <f t="shared" si="47"/>
        <v>0</v>
      </c>
      <c r="AZ441">
        <f t="shared" si="48"/>
        <v>1</v>
      </c>
    </row>
    <row r="442" spans="1:52" x14ac:dyDescent="0.2">
      <c r="A442">
        <f t="shared" si="42"/>
        <v>438</v>
      </c>
      <c r="B442">
        <v>1.8369027373396338E-2</v>
      </c>
      <c r="C442">
        <v>2.5880877386168535E-2</v>
      </c>
      <c r="D442">
        <v>3.0706878762349343E-2</v>
      </c>
      <c r="E442">
        <v>7.3387442753670169E-3</v>
      </c>
      <c r="F442">
        <v>3.3755927756465853E-3</v>
      </c>
      <c r="G442">
        <v>5.3350276103263494E-3</v>
      </c>
      <c r="H442">
        <v>3.5216773163213477E-2</v>
      </c>
      <c r="I442">
        <v>0.11663453153702119</v>
      </c>
      <c r="J442">
        <v>0</v>
      </c>
      <c r="K442">
        <v>0.42042080384174435</v>
      </c>
      <c r="L442">
        <v>0.19446572981759794</v>
      </c>
      <c r="M442">
        <v>0.80553427018240209</v>
      </c>
      <c r="N442">
        <v>5.9963334304859339E-2</v>
      </c>
      <c r="O442" s="72">
        <v>0.95722728913881283</v>
      </c>
      <c r="P442">
        <v>0.99891473635338912</v>
      </c>
      <c r="Q442">
        <v>0.94168888141708651</v>
      </c>
      <c r="R442">
        <v>0.50554003345752707</v>
      </c>
      <c r="S442">
        <v>0.4314950759234325</v>
      </c>
      <c r="T442">
        <v>0.2683822184340191</v>
      </c>
      <c r="U442">
        <v>0.81325495135365733</v>
      </c>
      <c r="V442">
        <v>0.62175468209229134</v>
      </c>
      <c r="W442">
        <v>0.5603496038120559</v>
      </c>
      <c r="X442">
        <v>0.47426909912004889</v>
      </c>
      <c r="Y442">
        <v>0.4096720713936523</v>
      </c>
      <c r="Z442">
        <v>0.45122183762906398</v>
      </c>
      <c r="AA442">
        <v>0.6002714329381279</v>
      </c>
      <c r="AB442">
        <v>0.84812801259639814</v>
      </c>
      <c r="AC442">
        <v>0.71422090786175674</v>
      </c>
      <c r="AD442">
        <v>0.50866432431256547</v>
      </c>
      <c r="AE442">
        <v>165.66236224814659</v>
      </c>
      <c r="AF442">
        <v>1133.7355547456075</v>
      </c>
      <c r="AG442">
        <v>1796.5069698627594</v>
      </c>
      <c r="AH442">
        <v>13079.276680266668</v>
      </c>
      <c r="AI442">
        <v>10284.221369386212</v>
      </c>
      <c r="AJ442">
        <v>39467.742158288165</v>
      </c>
      <c r="AK442">
        <v>9436.7854724773315</v>
      </c>
      <c r="AL442">
        <v>1811.3660511585379</v>
      </c>
      <c r="AM442">
        <v>289.78307941308191</v>
      </c>
      <c r="AO442">
        <v>39970.345860512047</v>
      </c>
      <c r="AP442">
        <v>13.652983053515012</v>
      </c>
      <c r="AQ442">
        <v>45336.313368692499</v>
      </c>
      <c r="AR442">
        <v>13.76110058806778</v>
      </c>
      <c r="AS442" s="2">
        <f t="shared" si="43"/>
        <v>5365.9675081804526</v>
      </c>
      <c r="AT442" s="2">
        <f t="shared" si="44"/>
        <v>0.10811753455276829</v>
      </c>
      <c r="AV442">
        <f t="shared" si="45"/>
        <v>1325327.9594909891</v>
      </c>
      <c r="AW442">
        <f t="shared" si="46"/>
        <v>1330773.7454380854</v>
      </c>
      <c r="AY442">
        <f t="shared" si="47"/>
        <v>0</v>
      </c>
      <c r="AZ442">
        <f t="shared" si="48"/>
        <v>1</v>
      </c>
    </row>
    <row r="443" spans="1:52" x14ac:dyDescent="0.2">
      <c r="A443">
        <f t="shared" si="42"/>
        <v>439</v>
      </c>
      <c r="B443">
        <v>2.8871629446532987E-2</v>
      </c>
      <c r="C443">
        <v>3.898109921480386E-2</v>
      </c>
      <c r="D443">
        <v>5.0528660151664573E-2</v>
      </c>
      <c r="E443">
        <v>1.1003285012524717E-2</v>
      </c>
      <c r="F443">
        <v>3.3675202922287539E-3</v>
      </c>
      <c r="G443">
        <v>1.6847466455788157E-3</v>
      </c>
      <c r="H443">
        <v>4.2568239497423277E-2</v>
      </c>
      <c r="I443">
        <v>0.13688790271558515</v>
      </c>
      <c r="J443">
        <v>0</v>
      </c>
      <c r="K443">
        <v>0.43591588574400297</v>
      </c>
      <c r="L443">
        <v>0.19834839282189443</v>
      </c>
      <c r="M443">
        <v>0.80165160717810557</v>
      </c>
      <c r="N443">
        <v>4.9025315140501055E-2</v>
      </c>
      <c r="O443" s="72">
        <v>0.99852279893647189</v>
      </c>
      <c r="P443">
        <v>0.9832407197584393</v>
      </c>
      <c r="Q443">
        <v>0.9697030068163629</v>
      </c>
      <c r="R443">
        <v>0.45923479574721493</v>
      </c>
      <c r="S443">
        <v>0.37609665874866294</v>
      </c>
      <c r="T443">
        <v>0.2184938628250509</v>
      </c>
      <c r="U443">
        <v>0.75244497531950882</v>
      </c>
      <c r="V443">
        <v>0.66583824562448979</v>
      </c>
      <c r="W443">
        <v>0.56473743498441742</v>
      </c>
      <c r="X443">
        <v>0.49450146504224379</v>
      </c>
      <c r="Y443">
        <v>0.47784785582314471</v>
      </c>
      <c r="Z443">
        <v>0.43457212460373257</v>
      </c>
      <c r="AA443">
        <v>0.71639258065041589</v>
      </c>
      <c r="AB443">
        <v>0.87262595992622638</v>
      </c>
      <c r="AC443">
        <v>0.76238384318431107</v>
      </c>
      <c r="AD443">
        <v>0.54946510970517093</v>
      </c>
      <c r="AE443">
        <v>222.00725867074016</v>
      </c>
      <c r="AF443">
        <v>982.78467229545015</v>
      </c>
      <c r="AG443">
        <v>1497.3965982727123</v>
      </c>
      <c r="AH443">
        <v>12062.958802813249</v>
      </c>
      <c r="AI443">
        <v>11755.505247903622</v>
      </c>
      <c r="AJ443">
        <v>40646.117030148387</v>
      </c>
      <c r="AK443">
        <v>15750.444035951967</v>
      </c>
      <c r="AL443">
        <v>1512.7632705658859</v>
      </c>
      <c r="AM443">
        <v>341.93570971179662</v>
      </c>
      <c r="AO443">
        <v>44581.000772163294</v>
      </c>
      <c r="AP443">
        <v>13.974963897362674</v>
      </c>
      <c r="AQ443">
        <v>46330.26059100133</v>
      </c>
      <c r="AR443">
        <v>14.242565482972843</v>
      </c>
      <c r="AS443" s="2">
        <f t="shared" si="43"/>
        <v>1749.2598188380362</v>
      </c>
      <c r="AT443" s="2">
        <f t="shared" si="44"/>
        <v>0.26760158561016922</v>
      </c>
      <c r="AV443">
        <f t="shared" si="45"/>
        <v>1352915.388964104</v>
      </c>
      <c r="AW443">
        <f t="shared" si="46"/>
        <v>1377926.2877062832</v>
      </c>
      <c r="AY443">
        <f t="shared" si="47"/>
        <v>0</v>
      </c>
      <c r="AZ443">
        <f t="shared" si="48"/>
        <v>1</v>
      </c>
    </row>
    <row r="444" spans="1:52" x14ac:dyDescent="0.2">
      <c r="A444">
        <f t="shared" si="42"/>
        <v>440</v>
      </c>
      <c r="B444">
        <v>1.6325930884839746E-2</v>
      </c>
      <c r="C444">
        <v>3.4293072125405971E-2</v>
      </c>
      <c r="D444">
        <v>4.6179176872657157E-2</v>
      </c>
      <c r="E444">
        <v>2.3566913614844975E-2</v>
      </c>
      <c r="F444">
        <v>3.3831925446359268E-3</v>
      </c>
      <c r="G444">
        <v>8.5492900975185013E-3</v>
      </c>
      <c r="H444">
        <v>1.5307134153003386E-2</v>
      </c>
      <c r="I444">
        <v>0.12157161024936187</v>
      </c>
      <c r="J444">
        <v>0</v>
      </c>
      <c r="K444">
        <v>0.44890606399339683</v>
      </c>
      <c r="L444">
        <v>0.20072577766068878</v>
      </c>
      <c r="M444">
        <v>0.79927422233931122</v>
      </c>
      <c r="N444">
        <v>3.394941021034277E-2</v>
      </c>
      <c r="O444" s="72">
        <v>0.98562129511073682</v>
      </c>
      <c r="P444">
        <v>0.99994468261314307</v>
      </c>
      <c r="Q444">
        <v>0.95012687851230115</v>
      </c>
      <c r="R444">
        <v>0.44529615873264039</v>
      </c>
      <c r="S444">
        <v>0.51520430745430101</v>
      </c>
      <c r="T444">
        <v>0.20825473081794821</v>
      </c>
      <c r="U444">
        <v>0.76876676362775642</v>
      </c>
      <c r="V444">
        <v>0.7093346880032334</v>
      </c>
      <c r="W444">
        <v>0.56697989066250942</v>
      </c>
      <c r="X444">
        <v>0.48707647661755549</v>
      </c>
      <c r="Y444">
        <v>0.47504050070023884</v>
      </c>
      <c r="Z444">
        <v>0.41899608200704697</v>
      </c>
      <c r="AA444">
        <v>0.53635908741454985</v>
      </c>
      <c r="AB444">
        <v>0.79370854044713479</v>
      </c>
      <c r="AC444">
        <v>0.67783056758230087</v>
      </c>
      <c r="AD444">
        <v>0.59115412016294333</v>
      </c>
      <c r="AE444">
        <v>194.19748226946587</v>
      </c>
      <c r="AF444">
        <v>1256.5941327657285</v>
      </c>
      <c r="AG444">
        <v>1516.8823211692272</v>
      </c>
      <c r="AH444">
        <v>10392.518793001869</v>
      </c>
      <c r="AI444">
        <v>7513.3278578344325</v>
      </c>
      <c r="AJ444">
        <v>39139.203229906067</v>
      </c>
      <c r="AK444">
        <v>11315.286497681635</v>
      </c>
      <c r="AL444">
        <v>2447.9795626932632</v>
      </c>
      <c r="AM444">
        <v>393.78263849816295</v>
      </c>
      <c r="AO444">
        <v>44637.599367022427</v>
      </c>
      <c r="AP444">
        <v>12.884899883404394</v>
      </c>
      <c r="AQ444">
        <v>46722.578000810085</v>
      </c>
      <c r="AR444">
        <v>13.052229646657873</v>
      </c>
      <c r="AS444" s="2">
        <f t="shared" si="43"/>
        <v>2084.9786337876576</v>
      </c>
      <c r="AT444" s="2">
        <f t="shared" si="44"/>
        <v>0.1673297632534787</v>
      </c>
      <c r="AV444">
        <f t="shared" si="45"/>
        <v>1243852.388973417</v>
      </c>
      <c r="AW444">
        <f t="shared" si="46"/>
        <v>1258500.3866649773</v>
      </c>
      <c r="AY444">
        <f t="shared" si="47"/>
        <v>0</v>
      </c>
      <c r="AZ444">
        <f t="shared" si="48"/>
        <v>1</v>
      </c>
    </row>
    <row r="445" spans="1:52" x14ac:dyDescent="0.2">
      <c r="A445">
        <f t="shared" si="42"/>
        <v>441</v>
      </c>
      <c r="B445">
        <v>2.2746914371844774E-2</v>
      </c>
      <c r="C445">
        <v>2.7712510729450343E-2</v>
      </c>
      <c r="D445">
        <v>3.0323456023830266E-2</v>
      </c>
      <c r="E445">
        <v>6.8209475141972889E-3</v>
      </c>
      <c r="F445">
        <v>3.337948330011158E-3</v>
      </c>
      <c r="G445">
        <v>2.3370164174821073E-2</v>
      </c>
      <c r="H445">
        <v>2.2869755121161111E-2</v>
      </c>
      <c r="I445">
        <v>0.11705461207857222</v>
      </c>
      <c r="J445">
        <v>0</v>
      </c>
      <c r="K445">
        <v>0.37053818112168291</v>
      </c>
      <c r="L445">
        <v>0.15080402507855836</v>
      </c>
      <c r="M445">
        <v>0.84919597492144161</v>
      </c>
      <c r="N445">
        <v>5.1669821190542441E-2</v>
      </c>
      <c r="O445" s="72">
        <v>0.9996704484619473</v>
      </c>
      <c r="P445">
        <v>0.99630026510951153</v>
      </c>
      <c r="Q445">
        <v>0.99588701496051013</v>
      </c>
      <c r="R445">
        <v>0.46945058236714587</v>
      </c>
      <c r="S445">
        <v>0.45975973659711522</v>
      </c>
      <c r="T445">
        <v>0.29357432390379357</v>
      </c>
      <c r="U445">
        <v>0.77599181173045206</v>
      </c>
      <c r="V445">
        <v>0.64778859657620824</v>
      </c>
      <c r="W445">
        <v>0.50228319743386585</v>
      </c>
      <c r="X445">
        <v>0.45624163483670166</v>
      </c>
      <c r="Y445">
        <v>0.43706501313664081</v>
      </c>
      <c r="Z445">
        <v>0.45960923948993548</v>
      </c>
      <c r="AA445">
        <v>0.63056532534414056</v>
      </c>
      <c r="AB445">
        <v>0.7660213986606067</v>
      </c>
      <c r="AC445">
        <v>0.69459443343770144</v>
      </c>
      <c r="AD445">
        <v>0.68259146787724956</v>
      </c>
      <c r="AE445">
        <v>153.11557909141598</v>
      </c>
      <c r="AF445">
        <v>1026.3569543754463</v>
      </c>
      <c r="AG445">
        <v>1781.4346598531904</v>
      </c>
      <c r="AH445">
        <v>13376.372091335883</v>
      </c>
      <c r="AI445">
        <v>9053.1183822067178</v>
      </c>
      <c r="AJ445">
        <v>41256.461088153148</v>
      </c>
      <c r="AK445">
        <v>14353.21996516816</v>
      </c>
      <c r="AL445">
        <v>2531.4618585209259</v>
      </c>
      <c r="AM445">
        <v>423.71110094322216</v>
      </c>
      <c r="AO445">
        <v>43038.09470938833</v>
      </c>
      <c r="AP445">
        <v>12.721907348402935</v>
      </c>
      <c r="AQ445">
        <v>47109.845859062152</v>
      </c>
      <c r="AR445">
        <v>12.825607704060339</v>
      </c>
      <c r="AS445" s="2">
        <f t="shared" si="43"/>
        <v>4071.7511496738225</v>
      </c>
      <c r="AT445" s="2">
        <f t="shared" si="44"/>
        <v>0.10370035565740388</v>
      </c>
      <c r="AV445">
        <f t="shared" si="45"/>
        <v>1229152.640130905</v>
      </c>
      <c r="AW445">
        <f t="shared" si="46"/>
        <v>1235450.9245469717</v>
      </c>
      <c r="AY445">
        <f t="shared" si="47"/>
        <v>0</v>
      </c>
      <c r="AZ445">
        <f t="shared" si="48"/>
        <v>1</v>
      </c>
    </row>
    <row r="446" spans="1:52" x14ac:dyDescent="0.2">
      <c r="A446">
        <f t="shared" si="42"/>
        <v>442</v>
      </c>
      <c r="B446">
        <v>2.23513467349606E-2</v>
      </c>
      <c r="C446">
        <v>3.7387625473231711E-2</v>
      </c>
      <c r="D446">
        <v>4.2413610637059063E-2</v>
      </c>
      <c r="E446">
        <v>2.0767496140269848E-2</v>
      </c>
      <c r="F446">
        <v>3.287232874959474E-3</v>
      </c>
      <c r="G446">
        <v>1.0514952071729852E-2</v>
      </c>
      <c r="H446">
        <v>1.1860414564547712E-2</v>
      </c>
      <c r="I446">
        <v>0.14045741696570768</v>
      </c>
      <c r="J446">
        <v>0</v>
      </c>
      <c r="K446">
        <v>0.40103940970058399</v>
      </c>
      <c r="L446">
        <v>0.22480521392445418</v>
      </c>
      <c r="M446">
        <v>0.77519478607554582</v>
      </c>
      <c r="N446">
        <v>4.4423050625275705E-2</v>
      </c>
      <c r="O446" s="72">
        <v>0.98560507273573628</v>
      </c>
      <c r="P446">
        <v>0.99674781884940922</v>
      </c>
      <c r="Q446">
        <v>0.98916262665312804</v>
      </c>
      <c r="R446">
        <v>0.46640665013141813</v>
      </c>
      <c r="S446">
        <v>0.39401823887922127</v>
      </c>
      <c r="T446">
        <v>0.19841155285460799</v>
      </c>
      <c r="U446">
        <v>0.76775802908890445</v>
      </c>
      <c r="V446">
        <v>0.65739137671702064</v>
      </c>
      <c r="W446">
        <v>0.53699228012423961</v>
      </c>
      <c r="X446">
        <v>0.48571416333410466</v>
      </c>
      <c r="Y446">
        <v>0.48967751072218668</v>
      </c>
      <c r="Z446">
        <v>0.46380981597715876</v>
      </c>
      <c r="AA446">
        <v>0.59939263899223483</v>
      </c>
      <c r="AB446">
        <v>0.85814833137776336</v>
      </c>
      <c r="AC446">
        <v>0.75914792041231038</v>
      </c>
      <c r="AD446">
        <v>0.67152682452295065</v>
      </c>
      <c r="AE446">
        <v>202.5484985106699</v>
      </c>
      <c r="AF446">
        <v>1063.7594868437168</v>
      </c>
      <c r="AG446">
        <v>2398.5802673336361</v>
      </c>
      <c r="AH446">
        <v>12486.915448519245</v>
      </c>
      <c r="AI446">
        <v>10962.363055880276</v>
      </c>
      <c r="AJ446">
        <v>38410.543927396262</v>
      </c>
      <c r="AK446">
        <v>12092.245409759877</v>
      </c>
      <c r="AL446">
        <v>2268.7176291574337</v>
      </c>
      <c r="AM446">
        <v>196.18075283916733</v>
      </c>
      <c r="AO446">
        <v>42363.516827574189</v>
      </c>
      <c r="AP446">
        <v>13.907920567438472</v>
      </c>
      <c r="AQ446">
        <v>43662.30543223938</v>
      </c>
      <c r="AR446">
        <v>14.203585917054497</v>
      </c>
      <c r="AS446" s="2">
        <f t="shared" si="43"/>
        <v>1298.7886046651911</v>
      </c>
      <c r="AT446" s="2">
        <f t="shared" si="44"/>
        <v>0.29566534961602464</v>
      </c>
      <c r="AV446">
        <f t="shared" si="45"/>
        <v>1348428.539916273</v>
      </c>
      <c r="AW446">
        <f t="shared" si="46"/>
        <v>1376696.2862732103</v>
      </c>
      <c r="AY446">
        <f t="shared" si="47"/>
        <v>0</v>
      </c>
      <c r="AZ446">
        <f t="shared" si="48"/>
        <v>1</v>
      </c>
    </row>
    <row r="447" spans="1:52" x14ac:dyDescent="0.2">
      <c r="A447">
        <f t="shared" si="42"/>
        <v>443</v>
      </c>
      <c r="B447">
        <v>2.240177730915063E-2</v>
      </c>
      <c r="C447">
        <v>4.0137290266912262E-2</v>
      </c>
      <c r="D447">
        <v>3.5788937960933742E-2</v>
      </c>
      <c r="E447">
        <v>1.6782439585809161E-2</v>
      </c>
      <c r="F447">
        <v>3.3079182817586277E-3</v>
      </c>
      <c r="G447">
        <v>3.8830831135109212E-2</v>
      </c>
      <c r="H447">
        <v>2.9251061174124127E-2</v>
      </c>
      <c r="I447">
        <v>0.13143558686877022</v>
      </c>
      <c r="J447">
        <v>0</v>
      </c>
      <c r="K447">
        <v>0.44641746399444582</v>
      </c>
      <c r="L447">
        <v>0.20813198901656693</v>
      </c>
      <c r="M447">
        <v>0.79186801098343307</v>
      </c>
      <c r="N447">
        <v>8.7828968325809331E-2</v>
      </c>
      <c r="O447" s="72">
        <v>0.99864209665130932</v>
      </c>
      <c r="P447">
        <v>0.96509729139557821</v>
      </c>
      <c r="Q447">
        <v>0.97792469698887852</v>
      </c>
      <c r="R447">
        <v>0.45826534774454353</v>
      </c>
      <c r="S447">
        <v>0.40212714860346432</v>
      </c>
      <c r="T447">
        <v>0.3304024897070631</v>
      </c>
      <c r="U447">
        <v>0.73901011854977305</v>
      </c>
      <c r="V447">
        <v>0.6924042843551842</v>
      </c>
      <c r="W447">
        <v>0.52283016796084492</v>
      </c>
      <c r="X447">
        <v>0.46313285692764272</v>
      </c>
      <c r="Y447">
        <v>0.45198781557767953</v>
      </c>
      <c r="Z447">
        <v>0.47146769582634573</v>
      </c>
      <c r="AA447">
        <v>0.68335234877579787</v>
      </c>
      <c r="AB447">
        <v>0.79388695337677662</v>
      </c>
      <c r="AC447">
        <v>0.75177921477897725</v>
      </c>
      <c r="AD447">
        <v>0.63630529090414201</v>
      </c>
      <c r="AE447">
        <v>249.14096703631168</v>
      </c>
      <c r="AF447">
        <v>1186.4936342242092</v>
      </c>
      <c r="AG447">
        <v>1239.600069296999</v>
      </c>
      <c r="AH447">
        <v>11365.846558976835</v>
      </c>
      <c r="AI447">
        <v>7787.5638403527328</v>
      </c>
      <c r="AJ447">
        <v>34930.200013728572</v>
      </c>
      <c r="AK447">
        <v>12003.298629768164</v>
      </c>
      <c r="AL447">
        <v>2214.5378387680807</v>
      </c>
      <c r="AM447">
        <v>418.11989001049409</v>
      </c>
      <c r="AO447">
        <v>43532.168581831662</v>
      </c>
      <c r="AP447">
        <v>13.087654509667273</v>
      </c>
      <c r="AQ447">
        <v>48056.575510089671</v>
      </c>
      <c r="AR447">
        <v>13.248411451012512</v>
      </c>
      <c r="AS447" s="2">
        <f t="shared" si="43"/>
        <v>4524.4069282580094</v>
      </c>
      <c r="AT447" s="2">
        <f t="shared" si="44"/>
        <v>0.16075694134523921</v>
      </c>
      <c r="AV447">
        <f t="shared" si="45"/>
        <v>1265233.2823848955</v>
      </c>
      <c r="AW447">
        <f t="shared" si="46"/>
        <v>1276784.5695911613</v>
      </c>
      <c r="AY447">
        <f t="shared" si="47"/>
        <v>0</v>
      </c>
      <c r="AZ447">
        <f t="shared" si="48"/>
        <v>1</v>
      </c>
    </row>
    <row r="448" spans="1:52" x14ac:dyDescent="0.2">
      <c r="A448">
        <f t="shared" ref="A448:A511" si="49">A447+1</f>
        <v>444</v>
      </c>
      <c r="B448">
        <v>2.5798281901627251E-2</v>
      </c>
      <c r="C448">
        <v>3.8793008314341293E-2</v>
      </c>
      <c r="D448">
        <v>3.9706863331159914E-2</v>
      </c>
      <c r="E448">
        <v>1.7769399676718201E-2</v>
      </c>
      <c r="F448">
        <v>3.2414064538096835E-3</v>
      </c>
      <c r="G448">
        <v>5.4189092418831485E-3</v>
      </c>
      <c r="H448">
        <v>4.7797609609684266E-2</v>
      </c>
      <c r="I448">
        <v>0.1204631795797886</v>
      </c>
      <c r="J448">
        <v>0</v>
      </c>
      <c r="K448">
        <v>0.42720452825335475</v>
      </c>
      <c r="L448">
        <v>0.20620852837712098</v>
      </c>
      <c r="M448">
        <v>0.793791471622879</v>
      </c>
      <c r="N448">
        <v>6.4801733173053266E-2</v>
      </c>
      <c r="O448" s="72">
        <v>0.99929306308688282</v>
      </c>
      <c r="P448">
        <v>0.99684956327884378</v>
      </c>
      <c r="Q448">
        <v>0.97870195913227709</v>
      </c>
      <c r="R448">
        <v>0.51710123551668286</v>
      </c>
      <c r="S448">
        <v>0.37901333334496556</v>
      </c>
      <c r="T448">
        <v>0.30478504599045608</v>
      </c>
      <c r="U448">
        <v>0.76640945112509318</v>
      </c>
      <c r="V448">
        <v>0.59633704798914566</v>
      </c>
      <c r="W448">
        <v>0.48838616996437306</v>
      </c>
      <c r="X448">
        <v>0.43025749969698673</v>
      </c>
      <c r="Y448">
        <v>0.44939008047755541</v>
      </c>
      <c r="Z448">
        <v>0.47384587977380643</v>
      </c>
      <c r="AA448">
        <v>0.65852567653591843</v>
      </c>
      <c r="AB448">
        <v>0.85548079762353357</v>
      </c>
      <c r="AC448">
        <v>0.74388927437850905</v>
      </c>
      <c r="AD448">
        <v>0.57619966676596801</v>
      </c>
      <c r="AE448">
        <v>176.14370606112061</v>
      </c>
      <c r="AF448">
        <v>1114.7696801816594</v>
      </c>
      <c r="AG448">
        <v>1348.1599709084792</v>
      </c>
      <c r="AH448">
        <v>14076.688476851565</v>
      </c>
      <c r="AI448">
        <v>10574.792089331355</v>
      </c>
      <c r="AJ448">
        <v>38383.644738461888</v>
      </c>
      <c r="AK448">
        <v>18114.878867759457</v>
      </c>
      <c r="AL448">
        <v>1230.3686810245983</v>
      </c>
      <c r="AM448">
        <v>350.1282765223815</v>
      </c>
      <c r="AO448">
        <v>40355.753089532489</v>
      </c>
      <c r="AP448">
        <v>13.791839524112977</v>
      </c>
      <c r="AQ448">
        <v>46001.998593068478</v>
      </c>
      <c r="AR448">
        <v>14.009661915387307</v>
      </c>
      <c r="AS448" s="2">
        <f t="shared" si="43"/>
        <v>5646.245503535989</v>
      </c>
      <c r="AT448" s="2">
        <f t="shared" si="44"/>
        <v>0.21782239127433023</v>
      </c>
      <c r="AV448">
        <f t="shared" si="45"/>
        <v>1338828.1993217652</v>
      </c>
      <c r="AW448">
        <f t="shared" si="46"/>
        <v>1354964.1929456622</v>
      </c>
      <c r="AY448">
        <f t="shared" si="47"/>
        <v>0</v>
      </c>
      <c r="AZ448">
        <f t="shared" si="48"/>
        <v>1</v>
      </c>
    </row>
    <row r="449" spans="1:52" x14ac:dyDescent="0.2">
      <c r="A449">
        <f t="shared" si="49"/>
        <v>445</v>
      </c>
      <c r="B449">
        <v>2.7734767556382267E-2</v>
      </c>
      <c r="C449">
        <v>3.4690943251448482E-2</v>
      </c>
      <c r="D449">
        <v>4.6923931103060368E-2</v>
      </c>
      <c r="E449">
        <v>9.1037416057047869E-3</v>
      </c>
      <c r="F449">
        <v>3.3416336803765434E-3</v>
      </c>
      <c r="G449">
        <v>1.5310529345343937E-2</v>
      </c>
      <c r="H449">
        <v>2.4200866895261099E-2</v>
      </c>
      <c r="I449">
        <v>0.13316735610759933</v>
      </c>
      <c r="J449">
        <v>0</v>
      </c>
      <c r="K449">
        <v>0.43947329458024786</v>
      </c>
      <c r="L449">
        <v>0.12990212310325347</v>
      </c>
      <c r="M449">
        <v>0.87009787689674656</v>
      </c>
      <c r="N449">
        <v>5.8888867164234138E-2</v>
      </c>
      <c r="O449" s="72">
        <v>0.99622633784956383</v>
      </c>
      <c r="P449">
        <v>0.99203517235755245</v>
      </c>
      <c r="Q449">
        <v>0.95981660524835566</v>
      </c>
      <c r="R449">
        <v>0.45157344563597124</v>
      </c>
      <c r="S449">
        <v>0.40275191282484046</v>
      </c>
      <c r="T449">
        <v>0.23952401617918662</v>
      </c>
      <c r="U449">
        <v>0.78638248971831204</v>
      </c>
      <c r="V449">
        <v>0.65525248498862043</v>
      </c>
      <c r="W449">
        <v>0.59414055265258736</v>
      </c>
      <c r="X449">
        <v>0.43020021786399987</v>
      </c>
      <c r="Y449">
        <v>0.46478916306807982</v>
      </c>
      <c r="Z449">
        <v>0.44760925657818262</v>
      </c>
      <c r="AA449">
        <v>0.64201147187402374</v>
      </c>
      <c r="AB449">
        <v>0.85881563526256022</v>
      </c>
      <c r="AC449">
        <v>0.56111862974952287</v>
      </c>
      <c r="AD449">
        <v>0.55298527633606176</v>
      </c>
      <c r="AE449">
        <v>211.15607034897457</v>
      </c>
      <c r="AF449">
        <v>1321.896853902733</v>
      </c>
      <c r="AG449">
        <v>1544.1725959820462</v>
      </c>
      <c r="AH449">
        <v>12488.992200803343</v>
      </c>
      <c r="AI449">
        <v>8673.3794466283762</v>
      </c>
      <c r="AJ449">
        <v>39944.07803342367</v>
      </c>
      <c r="AK449">
        <v>24262.672527390168</v>
      </c>
      <c r="AL449">
        <v>1286.994181137143</v>
      </c>
      <c r="AM449">
        <v>382.55748520462566</v>
      </c>
      <c r="AO449">
        <v>44936.588199148595</v>
      </c>
      <c r="AP449">
        <v>13.455376022008135</v>
      </c>
      <c r="AQ449">
        <v>46765.259906403982</v>
      </c>
      <c r="AR449">
        <v>13.690378199986288</v>
      </c>
      <c r="AS449" s="2">
        <f t="shared" si="43"/>
        <v>1828.6717072553874</v>
      </c>
      <c r="AT449" s="2">
        <f t="shared" si="44"/>
        <v>0.23500217797815282</v>
      </c>
      <c r="AV449">
        <f t="shared" si="45"/>
        <v>1300601.0140016649</v>
      </c>
      <c r="AW449">
        <f t="shared" si="46"/>
        <v>1322272.5600922247</v>
      </c>
      <c r="AY449">
        <f t="shared" si="47"/>
        <v>0</v>
      </c>
      <c r="AZ449">
        <f t="shared" si="48"/>
        <v>1</v>
      </c>
    </row>
    <row r="450" spans="1:52" x14ac:dyDescent="0.2">
      <c r="A450">
        <f t="shared" si="49"/>
        <v>446</v>
      </c>
      <c r="B450">
        <v>2.7025598602231415E-2</v>
      </c>
      <c r="C450">
        <v>2.8787549081899989E-2</v>
      </c>
      <c r="D450">
        <v>2.9621380288027552E-2</v>
      </c>
      <c r="E450">
        <v>1.9131404817984476E-2</v>
      </c>
      <c r="F450">
        <v>3.3166347421266381E-3</v>
      </c>
      <c r="G450">
        <v>1.8016643979240188E-2</v>
      </c>
      <c r="H450">
        <v>4.0007934817914537E-2</v>
      </c>
      <c r="I450">
        <v>0.11197135042014963</v>
      </c>
      <c r="J450">
        <v>0</v>
      </c>
      <c r="K450">
        <v>0.43324199305897038</v>
      </c>
      <c r="L450">
        <v>0.21335933053940126</v>
      </c>
      <c r="M450">
        <v>0.78664066946059874</v>
      </c>
      <c r="N450">
        <v>5.2190161450774139E-2</v>
      </c>
      <c r="O450" s="72">
        <v>0.99197886732683804</v>
      </c>
      <c r="P450">
        <v>0.99994621426677288</v>
      </c>
      <c r="Q450">
        <v>0.91357014513346591</v>
      </c>
      <c r="R450">
        <v>0.46205100328160098</v>
      </c>
      <c r="S450">
        <v>0.49034285160024982</v>
      </c>
      <c r="T450">
        <v>0.25626968563980157</v>
      </c>
      <c r="U450">
        <v>0.76462879040313603</v>
      </c>
      <c r="V450">
        <v>0.62624973542574547</v>
      </c>
      <c r="W450">
        <v>0.56389726544635876</v>
      </c>
      <c r="X450">
        <v>0.45773350626371168</v>
      </c>
      <c r="Y450">
        <v>0.43841579795950458</v>
      </c>
      <c r="Z450">
        <v>0.46872815966853321</v>
      </c>
      <c r="AA450">
        <v>0.69561272541401564</v>
      </c>
      <c r="AB450">
        <v>0.83564457704952877</v>
      </c>
      <c r="AC450">
        <v>0.77233648197479787</v>
      </c>
      <c r="AD450">
        <v>0.55193500779866012</v>
      </c>
      <c r="AE450">
        <v>108.32502029733236</v>
      </c>
      <c r="AF450">
        <v>1055.2169006973916</v>
      </c>
      <c r="AG450">
        <v>953.51096249008981</v>
      </c>
      <c r="AH450">
        <v>18156.628719031018</v>
      </c>
      <c r="AI450">
        <v>12217.421040808988</v>
      </c>
      <c r="AJ450">
        <v>43147.852771401842</v>
      </c>
      <c r="AK450">
        <v>16471.597646992872</v>
      </c>
      <c r="AL450">
        <v>2283.8405673180682</v>
      </c>
      <c r="AM450">
        <v>466.31942017236952</v>
      </c>
      <c r="AO450">
        <v>44238.142098495846</v>
      </c>
      <c r="AP450">
        <v>13.579131954592597</v>
      </c>
      <c r="AQ450">
        <v>48004.512869304592</v>
      </c>
      <c r="AR450">
        <v>13.751744828243082</v>
      </c>
      <c r="AS450" s="2">
        <f t="shared" si="43"/>
        <v>3766.3707708087459</v>
      </c>
      <c r="AT450" s="2">
        <f t="shared" si="44"/>
        <v>0.17261287365048439</v>
      </c>
      <c r="AV450">
        <f t="shared" si="45"/>
        <v>1313675.0533607639</v>
      </c>
      <c r="AW450">
        <f t="shared" si="46"/>
        <v>1327169.9699550036</v>
      </c>
      <c r="AY450">
        <f t="shared" si="47"/>
        <v>0</v>
      </c>
      <c r="AZ450">
        <f t="shared" si="48"/>
        <v>1</v>
      </c>
    </row>
    <row r="451" spans="1:52" x14ac:dyDescent="0.2">
      <c r="A451">
        <f t="shared" si="49"/>
        <v>447</v>
      </c>
      <c r="B451">
        <v>2.0640715883008778E-2</v>
      </c>
      <c r="C451">
        <v>3.3687365629596573E-2</v>
      </c>
      <c r="D451">
        <v>4.208950593811922E-2</v>
      </c>
      <c r="E451">
        <v>7.9259234047314546E-3</v>
      </c>
      <c r="F451">
        <v>3.3025050801847684E-3</v>
      </c>
      <c r="G451">
        <v>3.8841897707795114E-2</v>
      </c>
      <c r="H451">
        <v>4.2632346584773329E-2</v>
      </c>
      <c r="I451">
        <v>0.11684390442824599</v>
      </c>
      <c r="J451">
        <v>0</v>
      </c>
      <c r="K451">
        <v>0.39686565104169513</v>
      </c>
      <c r="L451">
        <v>0.16221093899513178</v>
      </c>
      <c r="M451">
        <v>0.83778906100486816</v>
      </c>
      <c r="N451">
        <v>6.2400247604163406E-2</v>
      </c>
      <c r="O451" s="72">
        <v>0.99998934938867645</v>
      </c>
      <c r="P451">
        <v>0.93756751868353538</v>
      </c>
      <c r="Q451">
        <v>0.92431091442701008</v>
      </c>
      <c r="R451">
        <v>0.50616517890581181</v>
      </c>
      <c r="S451">
        <v>0.37717063763221048</v>
      </c>
      <c r="T451">
        <v>0.17557336623417741</v>
      </c>
      <c r="U451">
        <v>0.7923454126053624</v>
      </c>
      <c r="V451">
        <v>0.74259686804018354</v>
      </c>
      <c r="W451">
        <v>0.41461070964206798</v>
      </c>
      <c r="X451">
        <v>0.49655495858691068</v>
      </c>
      <c r="Y451">
        <v>0.44206927736650442</v>
      </c>
      <c r="Z451">
        <v>0.45240709672771851</v>
      </c>
      <c r="AA451">
        <v>0.57438786522131058</v>
      </c>
      <c r="AB451">
        <v>0.79259575584253084</v>
      </c>
      <c r="AC451">
        <v>0.80234229249131561</v>
      </c>
      <c r="AD451">
        <v>0.63215823808010341</v>
      </c>
      <c r="AE451">
        <v>135.32633609312936</v>
      </c>
      <c r="AF451">
        <v>1030.8908483684463</v>
      </c>
      <c r="AG451">
        <v>1434.3026290283747</v>
      </c>
      <c r="AH451">
        <v>12444.440025451875</v>
      </c>
      <c r="AI451">
        <v>17514.730592900538</v>
      </c>
      <c r="AJ451">
        <v>31847.935039870186</v>
      </c>
      <c r="AK451">
        <v>12569.569144850801</v>
      </c>
      <c r="AL451">
        <v>2911.870984675234</v>
      </c>
      <c r="AM451">
        <v>474.20056194237372</v>
      </c>
      <c r="AO451">
        <v>45053.726772520553</v>
      </c>
      <c r="AP451">
        <v>13.134963154790366</v>
      </c>
      <c r="AQ451">
        <v>50015.788594059653</v>
      </c>
      <c r="AR451">
        <v>13.317257143169524</v>
      </c>
      <c r="AS451" s="2">
        <f t="shared" si="43"/>
        <v>4962.0618215391005</v>
      </c>
      <c r="AT451" s="2">
        <f t="shared" si="44"/>
        <v>0.18229398837915767</v>
      </c>
      <c r="AV451">
        <f t="shared" si="45"/>
        <v>1268442.5887065162</v>
      </c>
      <c r="AW451">
        <f t="shared" si="46"/>
        <v>1281709.9257228926</v>
      </c>
      <c r="AY451">
        <f t="shared" si="47"/>
        <v>0</v>
      </c>
      <c r="AZ451">
        <f t="shared" si="48"/>
        <v>1</v>
      </c>
    </row>
    <row r="452" spans="1:52" x14ac:dyDescent="0.2">
      <c r="A452">
        <f t="shared" si="49"/>
        <v>448</v>
      </c>
      <c r="B452">
        <v>2.7819985505136979E-2</v>
      </c>
      <c r="C452">
        <v>3.7317341779107505E-2</v>
      </c>
      <c r="D452">
        <v>2.0613696480624069E-2</v>
      </c>
      <c r="E452">
        <v>1.8887891401643815E-3</v>
      </c>
      <c r="F452">
        <v>3.4396260745169771E-3</v>
      </c>
      <c r="G452">
        <v>1.2514403158800813E-2</v>
      </c>
      <c r="H452">
        <v>4.4672053638715847E-2</v>
      </c>
      <c r="I452">
        <v>0.11787913928799566</v>
      </c>
      <c r="J452">
        <v>0</v>
      </c>
      <c r="K452">
        <v>0.36588680240762583</v>
      </c>
      <c r="L452">
        <v>0.26498414430017203</v>
      </c>
      <c r="M452">
        <v>0.73501585569982797</v>
      </c>
      <c r="N452">
        <v>5.5067181884852288E-2</v>
      </c>
      <c r="O452" s="72">
        <v>0.999970530157683</v>
      </c>
      <c r="P452">
        <v>0.9977501143873172</v>
      </c>
      <c r="Q452">
        <v>0.93464214231341514</v>
      </c>
      <c r="R452">
        <v>0.49528278699501793</v>
      </c>
      <c r="S452">
        <v>0.38740274955267373</v>
      </c>
      <c r="T452">
        <v>0.20499614763409779</v>
      </c>
      <c r="U452">
        <v>0.75940135529962227</v>
      </c>
      <c r="V452">
        <v>0.65136899591057207</v>
      </c>
      <c r="W452">
        <v>0.53304750307085358</v>
      </c>
      <c r="X452">
        <v>0.41378620315459286</v>
      </c>
      <c r="Y452">
        <v>0.48963483322230206</v>
      </c>
      <c r="Z452">
        <v>0.44301311568525137</v>
      </c>
      <c r="AA452">
        <v>0.69996531121656669</v>
      </c>
      <c r="AB452">
        <v>0.84824999189703432</v>
      </c>
      <c r="AC452">
        <v>0.81339085047969284</v>
      </c>
      <c r="AD452">
        <v>0.64995105387723862</v>
      </c>
      <c r="AE452">
        <v>175.62692131294466</v>
      </c>
      <c r="AF452">
        <v>1094.2323777692816</v>
      </c>
      <c r="AG452">
        <v>1636.1950290692855</v>
      </c>
      <c r="AH452">
        <v>12100.706782737176</v>
      </c>
      <c r="AI452">
        <v>8128.5328652030948</v>
      </c>
      <c r="AJ452">
        <v>35150.61407873693</v>
      </c>
      <c r="AK452">
        <v>13777.034089509183</v>
      </c>
      <c r="AL452">
        <v>2064.771844716789</v>
      </c>
      <c r="AM452">
        <v>386.42899095786868</v>
      </c>
      <c r="AO452">
        <v>43697.959838079609</v>
      </c>
      <c r="AP452">
        <v>13.937727983095773</v>
      </c>
      <c r="AQ452">
        <v>46694.007234131357</v>
      </c>
      <c r="AR452">
        <v>14.134030953203435</v>
      </c>
      <c r="AS452" s="2">
        <f t="shared" si="43"/>
        <v>2996.0473960517484</v>
      </c>
      <c r="AT452" s="2">
        <f t="shared" si="44"/>
        <v>0.19630297010766284</v>
      </c>
      <c r="AV452">
        <f t="shared" si="45"/>
        <v>1350074.8384714976</v>
      </c>
      <c r="AW452">
        <f t="shared" si="46"/>
        <v>1366709.0880862121</v>
      </c>
      <c r="AY452">
        <f t="shared" si="47"/>
        <v>0</v>
      </c>
      <c r="AZ452">
        <f t="shared" si="48"/>
        <v>1</v>
      </c>
    </row>
    <row r="453" spans="1:52" x14ac:dyDescent="0.2">
      <c r="A453">
        <f t="shared" si="49"/>
        <v>449</v>
      </c>
      <c r="B453">
        <v>2.8895947609668848E-2</v>
      </c>
      <c r="C453">
        <v>3.5910429816774302E-2</v>
      </c>
      <c r="D453">
        <v>2.4910290403755805E-2</v>
      </c>
      <c r="E453">
        <v>1.3237893384375421E-2</v>
      </c>
      <c r="F453">
        <v>3.3760986107187474E-3</v>
      </c>
      <c r="G453">
        <v>1.6154603063010531E-2</v>
      </c>
      <c r="H453">
        <v>3.5990687457724269E-2</v>
      </c>
      <c r="I453">
        <v>0.11882839256642505</v>
      </c>
      <c r="J453">
        <v>0</v>
      </c>
      <c r="K453">
        <v>0.48508403607074047</v>
      </c>
      <c r="L453">
        <v>0.24131024958126635</v>
      </c>
      <c r="M453">
        <v>0.75868975041873365</v>
      </c>
      <c r="N453">
        <v>6.0289208916301407E-2</v>
      </c>
      <c r="O453" s="72">
        <v>0.99925336536645826</v>
      </c>
      <c r="P453">
        <v>0.99998760177233026</v>
      </c>
      <c r="Q453">
        <v>0.99478176419696873</v>
      </c>
      <c r="R453">
        <v>0.47693414837497983</v>
      </c>
      <c r="S453">
        <v>0.39038457138822169</v>
      </c>
      <c r="T453">
        <v>0.22806668483625714</v>
      </c>
      <c r="U453">
        <v>0.78387127255139544</v>
      </c>
      <c r="V453">
        <v>0.64899349069009926</v>
      </c>
      <c r="W453">
        <v>0.46699654312287137</v>
      </c>
      <c r="X453">
        <v>0.40575857773115065</v>
      </c>
      <c r="Y453">
        <v>0.45555281242805601</v>
      </c>
      <c r="Z453">
        <v>0.4362867062747165</v>
      </c>
      <c r="AA453">
        <v>0.74321210297104756</v>
      </c>
      <c r="AB453">
        <v>0.80857296868382234</v>
      </c>
      <c r="AC453">
        <v>0.70570426426099608</v>
      </c>
      <c r="AD453">
        <v>0.60641013658947696</v>
      </c>
      <c r="AE453">
        <v>172.67851017020064</v>
      </c>
      <c r="AF453">
        <v>1144.822168406499</v>
      </c>
      <c r="AG453">
        <v>1562.1637958361946</v>
      </c>
      <c r="AH453">
        <v>15073.684115587883</v>
      </c>
      <c r="AI453">
        <v>12552.585030351875</v>
      </c>
      <c r="AJ453">
        <v>37609.617190668265</v>
      </c>
      <c r="AK453">
        <v>20713.30979903608</v>
      </c>
      <c r="AL453">
        <v>2268.3283413126305</v>
      </c>
      <c r="AM453">
        <v>366.46974242883374</v>
      </c>
      <c r="AO453">
        <v>43738.52459116494</v>
      </c>
      <c r="AP453">
        <v>13.153153848378986</v>
      </c>
      <c r="AQ453">
        <v>46156.769573942744</v>
      </c>
      <c r="AR453">
        <v>13.330845095003763</v>
      </c>
      <c r="AS453" s="2">
        <f t="shared" si="43"/>
        <v>2418.2449827778037</v>
      </c>
      <c r="AT453" s="2">
        <f t="shared" si="44"/>
        <v>0.17769124662477687</v>
      </c>
      <c r="AV453">
        <f t="shared" si="45"/>
        <v>1271576.8602467338</v>
      </c>
      <c r="AW453">
        <f t="shared" si="46"/>
        <v>1286927.7399264337</v>
      </c>
      <c r="AY453">
        <f t="shared" si="47"/>
        <v>0</v>
      </c>
      <c r="AZ453">
        <f t="shared" si="48"/>
        <v>1</v>
      </c>
    </row>
    <row r="454" spans="1:52" x14ac:dyDescent="0.2">
      <c r="A454">
        <f t="shared" si="49"/>
        <v>450</v>
      </c>
      <c r="B454">
        <v>2.4539581962063899E-2</v>
      </c>
      <c r="C454">
        <v>3.4255670551251748E-2</v>
      </c>
      <c r="D454">
        <v>4.1702391873690292E-2</v>
      </c>
      <c r="E454">
        <v>8.5536480239524308E-3</v>
      </c>
      <c r="F454">
        <v>3.2398490164392262E-3</v>
      </c>
      <c r="G454">
        <v>2.0846142861548511E-2</v>
      </c>
      <c r="H454">
        <v>4.6730698981253149E-2</v>
      </c>
      <c r="I454">
        <v>0.12752080519170472</v>
      </c>
      <c r="J454">
        <v>0</v>
      </c>
      <c r="K454">
        <v>0.45426124659796785</v>
      </c>
      <c r="L454">
        <v>0.25063681467035637</v>
      </c>
      <c r="M454">
        <v>0.74936318532964363</v>
      </c>
      <c r="N454">
        <v>9.2027759736241777E-2</v>
      </c>
      <c r="O454" s="72">
        <v>0.99713274270029006</v>
      </c>
      <c r="P454">
        <v>0.9963630606570546</v>
      </c>
      <c r="Q454">
        <v>0.88135873516790553</v>
      </c>
      <c r="R454">
        <v>0.48647042413671815</v>
      </c>
      <c r="S454">
        <v>0.4751407530581635</v>
      </c>
      <c r="T454">
        <v>0.21032968961446963</v>
      </c>
      <c r="U454">
        <v>0.75833815116054515</v>
      </c>
      <c r="V454">
        <v>0.72643816698455188</v>
      </c>
      <c r="W454">
        <v>0.56917624856336047</v>
      </c>
      <c r="X454">
        <v>0.51033743786290942</v>
      </c>
      <c r="Y454">
        <v>0.47073125404316318</v>
      </c>
      <c r="Z454">
        <v>0.43753549094747457</v>
      </c>
      <c r="AA454">
        <v>0.65089494553788829</v>
      </c>
      <c r="AB454">
        <v>0.81040881672277654</v>
      </c>
      <c r="AC454">
        <v>0.76750526951083431</v>
      </c>
      <c r="AD454">
        <v>0.66243640882287158</v>
      </c>
      <c r="AE454">
        <v>219.2565770933812</v>
      </c>
      <c r="AF454">
        <v>928.30385307501922</v>
      </c>
      <c r="AG454">
        <v>941.3050786209393</v>
      </c>
      <c r="AH454">
        <v>14996.318178633066</v>
      </c>
      <c r="AI454">
        <v>12593.881105721395</v>
      </c>
      <c r="AJ454">
        <v>46347.950236228047</v>
      </c>
      <c r="AK454">
        <v>14368.27471177096</v>
      </c>
      <c r="AL454">
        <v>1359.0359818822881</v>
      </c>
      <c r="AM454">
        <v>267.78847969880763</v>
      </c>
      <c r="AO454">
        <v>41116.153261796819</v>
      </c>
      <c r="AP454">
        <v>13.366676602348649</v>
      </c>
      <c r="AQ454">
        <v>45087.022565547057</v>
      </c>
      <c r="AR454">
        <v>13.541212630057659</v>
      </c>
      <c r="AS454" s="2">
        <f t="shared" ref="AS454:AS517" si="50">AQ454-AO454</f>
        <v>3970.869303750238</v>
      </c>
      <c r="AT454" s="2">
        <f t="shared" ref="AT454:AT517" si="51">AR454-AP454</f>
        <v>0.17453602770901</v>
      </c>
      <c r="AV454">
        <f t="shared" ref="AV454:AV517" si="52">$AW$1*AP454-AO454</f>
        <v>1295551.5069730682</v>
      </c>
      <c r="AW454">
        <f t="shared" ref="AW454:AW517" si="53">$AW$1*AR454-AQ454</f>
        <v>1309034.2404402187</v>
      </c>
      <c r="AY454">
        <f t="shared" ref="AY454:AY517" si="54">IF(AV454=MAX($AV454:$AW454),1,0)</f>
        <v>0</v>
      </c>
      <c r="AZ454">
        <f t="shared" ref="AZ454:AZ517" si="55">IF(AW454=MAX($AV454:$AW454),1,0)</f>
        <v>1</v>
      </c>
    </row>
    <row r="455" spans="1:52" x14ac:dyDescent="0.2">
      <c r="A455">
        <f t="shared" si="49"/>
        <v>451</v>
      </c>
      <c r="B455">
        <v>2.5315143855434208E-2</v>
      </c>
      <c r="C455">
        <v>3.6434193905049782E-2</v>
      </c>
      <c r="D455">
        <v>3.3966312581330982E-2</v>
      </c>
      <c r="E455">
        <v>3.660603410998069E-3</v>
      </c>
      <c r="F455">
        <v>3.2716767267555432E-3</v>
      </c>
      <c r="G455">
        <v>2.2823661441907062E-2</v>
      </c>
      <c r="H455">
        <v>4.8039687274103349E-2</v>
      </c>
      <c r="I455">
        <v>0.13546375503607144</v>
      </c>
      <c r="J455">
        <v>0</v>
      </c>
      <c r="K455">
        <v>0.46236436939839298</v>
      </c>
      <c r="L455">
        <v>0.17597421803975855</v>
      </c>
      <c r="M455">
        <v>0.82402578196024145</v>
      </c>
      <c r="N455">
        <v>4.321294221164592E-2</v>
      </c>
      <c r="O455" s="72">
        <v>0.99977150565137618</v>
      </c>
      <c r="P455">
        <v>0.99494982799303999</v>
      </c>
      <c r="Q455">
        <v>0.97339112011171158</v>
      </c>
      <c r="R455">
        <v>0.51715616993082381</v>
      </c>
      <c r="S455">
        <v>0.42536419087127109</v>
      </c>
      <c r="T455">
        <v>0.26840413115722084</v>
      </c>
      <c r="U455">
        <v>0.769192987547896</v>
      </c>
      <c r="V455">
        <v>0.69605947264737922</v>
      </c>
      <c r="W455">
        <v>0.54388765563236874</v>
      </c>
      <c r="X455">
        <v>0.45020667407551929</v>
      </c>
      <c r="Y455">
        <v>0.42328531894902049</v>
      </c>
      <c r="Z455">
        <v>0.42609846057226713</v>
      </c>
      <c r="AA455">
        <v>0.67760504891707551</v>
      </c>
      <c r="AB455">
        <v>0.82119032999231001</v>
      </c>
      <c r="AC455">
        <v>0.69810235219550365</v>
      </c>
      <c r="AD455">
        <v>0.64812252106577128</v>
      </c>
      <c r="AE455">
        <v>254.63722226958382</v>
      </c>
      <c r="AF455">
        <v>931.78062093651158</v>
      </c>
      <c r="AG455">
        <v>2245.9387233744928</v>
      </c>
      <c r="AH455">
        <v>14458.150961646143</v>
      </c>
      <c r="AI455">
        <v>11082.301033817748</v>
      </c>
      <c r="AJ455">
        <v>39107.225039936995</v>
      </c>
      <c r="AK455">
        <v>19996.704881821348</v>
      </c>
      <c r="AL455">
        <v>1699.4772080144976</v>
      </c>
      <c r="AM455">
        <v>326.27742419212046</v>
      </c>
      <c r="AO455">
        <v>40325.367449006997</v>
      </c>
      <c r="AP455">
        <v>13.400699468646829</v>
      </c>
      <c r="AQ455">
        <v>45806.433015426388</v>
      </c>
      <c r="AR455">
        <v>13.549354364122399</v>
      </c>
      <c r="AS455" s="2">
        <f t="shared" si="50"/>
        <v>5481.065566419391</v>
      </c>
      <c r="AT455" s="2">
        <f t="shared" si="51"/>
        <v>0.14865489547556976</v>
      </c>
      <c r="AV455">
        <f t="shared" si="52"/>
        <v>1299744.579415676</v>
      </c>
      <c r="AW455">
        <f t="shared" si="53"/>
        <v>1309129.0033968135</v>
      </c>
      <c r="AY455">
        <f t="shared" si="54"/>
        <v>0</v>
      </c>
      <c r="AZ455">
        <f t="shared" si="55"/>
        <v>1</v>
      </c>
    </row>
    <row r="456" spans="1:52" x14ac:dyDescent="0.2">
      <c r="A456">
        <f t="shared" si="49"/>
        <v>452</v>
      </c>
      <c r="B456">
        <v>2.2510652433207348E-2</v>
      </c>
      <c r="C456">
        <v>3.55652575565817E-2</v>
      </c>
      <c r="D456">
        <v>1.9640941587934953E-2</v>
      </c>
      <c r="E456">
        <v>2.1265748529266815E-3</v>
      </c>
      <c r="F456">
        <v>3.3097993866891212E-3</v>
      </c>
      <c r="G456">
        <v>4.781927909192526E-3</v>
      </c>
      <c r="H456">
        <v>1.6191579776286744E-2</v>
      </c>
      <c r="I456">
        <v>0.13423122743539573</v>
      </c>
      <c r="J456">
        <v>0</v>
      </c>
      <c r="K456">
        <v>0.42167861239033683</v>
      </c>
      <c r="L456">
        <v>0.17579443880406329</v>
      </c>
      <c r="M456">
        <v>0.82420556119593669</v>
      </c>
      <c r="N456">
        <v>6.5048546453703948E-2</v>
      </c>
      <c r="O456" s="72">
        <v>0.98404316859371255</v>
      </c>
      <c r="P456">
        <v>0.99453078097497893</v>
      </c>
      <c r="Q456">
        <v>0.89683088101833219</v>
      </c>
      <c r="R456">
        <v>0.47431362586714121</v>
      </c>
      <c r="S456">
        <v>0.42765453957000665</v>
      </c>
      <c r="T456">
        <v>0.22998457071163669</v>
      </c>
      <c r="U456">
        <v>0.77097360319836117</v>
      </c>
      <c r="V456">
        <v>0.62363298044844262</v>
      </c>
      <c r="W456">
        <v>0.54248475593661316</v>
      </c>
      <c r="X456">
        <v>0.48098362742045386</v>
      </c>
      <c r="Y456">
        <v>0.45712703571533564</v>
      </c>
      <c r="Z456">
        <v>0.45000435629206736</v>
      </c>
      <c r="AA456">
        <v>0.67803565921278097</v>
      </c>
      <c r="AB456">
        <v>0.69923744889718109</v>
      </c>
      <c r="AC456">
        <v>0.73882964308053556</v>
      </c>
      <c r="AD456">
        <v>0.54936481017784733</v>
      </c>
      <c r="AE456">
        <v>232.69157273595138</v>
      </c>
      <c r="AF456">
        <v>1186.1347909729616</v>
      </c>
      <c r="AG456">
        <v>1609.0688774130499</v>
      </c>
      <c r="AH456">
        <v>11424.891730875717</v>
      </c>
      <c r="AI456">
        <v>15049.608365108243</v>
      </c>
      <c r="AJ456">
        <v>47798.334764093554</v>
      </c>
      <c r="AK456">
        <v>14000.522291888901</v>
      </c>
      <c r="AL456">
        <v>2180.7116057230974</v>
      </c>
      <c r="AM456">
        <v>515.64599585520784</v>
      </c>
      <c r="AO456">
        <v>45601.936063195819</v>
      </c>
      <c r="AP456">
        <v>11.802280349028671</v>
      </c>
      <c r="AQ456">
        <v>49055.38154615221</v>
      </c>
      <c r="AR456">
        <v>11.796152707355136</v>
      </c>
      <c r="AS456" s="2">
        <f t="shared" si="50"/>
        <v>3453.4454829563911</v>
      </c>
      <c r="AT456" s="2">
        <f t="shared" si="51"/>
        <v>-6.127641673534967E-3</v>
      </c>
      <c r="AV456">
        <f t="shared" si="52"/>
        <v>1134626.0988396714</v>
      </c>
      <c r="AW456">
        <f t="shared" si="53"/>
        <v>1130559.8891893614</v>
      </c>
      <c r="AY456">
        <f t="shared" si="54"/>
        <v>1</v>
      </c>
      <c r="AZ456">
        <f t="shared" si="55"/>
        <v>0</v>
      </c>
    </row>
    <row r="457" spans="1:52" x14ac:dyDescent="0.2">
      <c r="A457">
        <f t="shared" si="49"/>
        <v>453</v>
      </c>
      <c r="B457">
        <v>2.2280664435333195E-2</v>
      </c>
      <c r="C457">
        <v>3.3789786234951276E-2</v>
      </c>
      <c r="D457">
        <v>4.0660533004745147E-2</v>
      </c>
      <c r="E457">
        <v>2.7927969925192642E-2</v>
      </c>
      <c r="F457">
        <v>3.3673982776667444E-3</v>
      </c>
      <c r="G457">
        <v>6.467098320363629E-3</v>
      </c>
      <c r="H457">
        <v>3.1763785011728163E-2</v>
      </c>
      <c r="I457">
        <v>0.14522163737126881</v>
      </c>
      <c r="J457">
        <v>0</v>
      </c>
      <c r="K457">
        <v>0.42317085529472165</v>
      </c>
      <c r="L457">
        <v>0.21543056819937334</v>
      </c>
      <c r="M457">
        <v>0.78456943180062666</v>
      </c>
      <c r="N457">
        <v>5.5618348907386449E-2</v>
      </c>
      <c r="O457" s="72">
        <v>0.99999415963999949</v>
      </c>
      <c r="P457">
        <v>0.9998138892447862</v>
      </c>
      <c r="Q457">
        <v>0.97245793434948424</v>
      </c>
      <c r="R457">
        <v>0.49693544874865725</v>
      </c>
      <c r="S457">
        <v>0.43881907251649732</v>
      </c>
      <c r="T457">
        <v>0.29489487406274606</v>
      </c>
      <c r="U457">
        <v>0.76187506898019031</v>
      </c>
      <c r="V457">
        <v>0.63602741321505851</v>
      </c>
      <c r="W457">
        <v>0.65121991268012303</v>
      </c>
      <c r="X457">
        <v>0.4315945284786516</v>
      </c>
      <c r="Y457">
        <v>0.40536652563428616</v>
      </c>
      <c r="Z457">
        <v>0.45873645356928716</v>
      </c>
      <c r="AA457">
        <v>0.68492769546014676</v>
      </c>
      <c r="AB457">
        <v>0.79562855161146806</v>
      </c>
      <c r="AC457">
        <v>0.7276197228661615</v>
      </c>
      <c r="AD457">
        <v>0.63796328459800267</v>
      </c>
      <c r="AE457">
        <v>287.6626735465569</v>
      </c>
      <c r="AF457">
        <v>1098.1955786649594</v>
      </c>
      <c r="AG457">
        <v>1219.0359293344111</v>
      </c>
      <c r="AH457">
        <v>13337.506895516111</v>
      </c>
      <c r="AI457">
        <v>22354.707240791959</v>
      </c>
      <c r="AJ457">
        <v>38837.06703400828</v>
      </c>
      <c r="AK457">
        <v>10199.120995673409</v>
      </c>
      <c r="AL457">
        <v>1349.3591553639124</v>
      </c>
      <c r="AM457">
        <v>284.05079966045889</v>
      </c>
      <c r="AO457">
        <v>39852.449806369135</v>
      </c>
      <c r="AP457">
        <v>13.078287939048167</v>
      </c>
      <c r="AQ457">
        <v>44936.733311083386</v>
      </c>
      <c r="AR457">
        <v>13.232474289005655</v>
      </c>
      <c r="AS457" s="2">
        <f t="shared" si="50"/>
        <v>5084.2835047142507</v>
      </c>
      <c r="AT457" s="2">
        <f t="shared" si="51"/>
        <v>0.15418634995748803</v>
      </c>
      <c r="AV457">
        <f t="shared" si="52"/>
        <v>1267976.3440984476</v>
      </c>
      <c r="AW457">
        <f t="shared" si="53"/>
        <v>1278310.6955894821</v>
      </c>
      <c r="AY457">
        <f t="shared" si="54"/>
        <v>0</v>
      </c>
      <c r="AZ457">
        <f t="shared" si="55"/>
        <v>1</v>
      </c>
    </row>
    <row r="458" spans="1:52" x14ac:dyDescent="0.2">
      <c r="A458">
        <f t="shared" si="49"/>
        <v>454</v>
      </c>
      <c r="B458">
        <v>1.9920819974311294E-2</v>
      </c>
      <c r="C458">
        <v>4.0069851858990702E-2</v>
      </c>
      <c r="D458">
        <v>5.9809123326894587E-2</v>
      </c>
      <c r="E458">
        <v>4.7603570599291717E-3</v>
      </c>
      <c r="F458">
        <v>3.3611852320206692E-3</v>
      </c>
      <c r="G458">
        <v>2.8492098748878369E-2</v>
      </c>
      <c r="H458">
        <v>1.4909315663512173E-2</v>
      </c>
      <c r="I458">
        <v>0.11742675137194335</v>
      </c>
      <c r="J458">
        <v>0</v>
      </c>
      <c r="K458">
        <v>0.49170514147037492</v>
      </c>
      <c r="L458">
        <v>0.27029710222802639</v>
      </c>
      <c r="M458">
        <v>0.72970289777197361</v>
      </c>
      <c r="N458">
        <v>6.0417597982894145E-2</v>
      </c>
      <c r="O458" s="72">
        <v>0.99977949402039212</v>
      </c>
      <c r="P458">
        <v>0.99806847915014019</v>
      </c>
      <c r="Q458">
        <v>0.99884076074986961</v>
      </c>
      <c r="R458">
        <v>0.54936155277658005</v>
      </c>
      <c r="S458">
        <v>0.38051590539685476</v>
      </c>
      <c r="T458">
        <v>0.281440233822423</v>
      </c>
      <c r="U458">
        <v>0.74512307159309443</v>
      </c>
      <c r="V458">
        <v>0.66214149249037924</v>
      </c>
      <c r="W458">
        <v>0.5799110693306897</v>
      </c>
      <c r="X458">
        <v>0.43139981456707116</v>
      </c>
      <c r="Y458">
        <v>0.38561777231494171</v>
      </c>
      <c r="Z458">
        <v>0.45979140563884913</v>
      </c>
      <c r="AA458">
        <v>0.69037200680205979</v>
      </c>
      <c r="AB458">
        <v>0.81957906462498709</v>
      </c>
      <c r="AC458">
        <v>0.66986444357230024</v>
      </c>
      <c r="AD458">
        <v>0.45928670614734624</v>
      </c>
      <c r="AE458">
        <v>199.43400926610113</v>
      </c>
      <c r="AF458">
        <v>1072.4323611175957</v>
      </c>
      <c r="AG458">
        <v>1781.8808838482896</v>
      </c>
      <c r="AH458">
        <v>13303.002714558481</v>
      </c>
      <c r="AI458">
        <v>12182.108639931052</v>
      </c>
      <c r="AJ458">
        <v>46156.955536302688</v>
      </c>
      <c r="AK458">
        <v>14959.346024308967</v>
      </c>
      <c r="AL458">
        <v>1457.5656177073424</v>
      </c>
      <c r="AM458">
        <v>259.35432305524739</v>
      </c>
      <c r="AO458">
        <v>38120.137471454109</v>
      </c>
      <c r="AP458">
        <v>13.08027000097575</v>
      </c>
      <c r="AQ458">
        <v>44504.927837996205</v>
      </c>
      <c r="AR458">
        <v>13.216622914445574</v>
      </c>
      <c r="AS458" s="2">
        <f t="shared" si="50"/>
        <v>6384.7903665420963</v>
      </c>
      <c r="AT458" s="2">
        <f t="shared" si="51"/>
        <v>0.1363529134698247</v>
      </c>
      <c r="AV458">
        <f t="shared" si="52"/>
        <v>1269906.8626261207</v>
      </c>
      <c r="AW458">
        <f t="shared" si="53"/>
        <v>1277157.3636065612</v>
      </c>
      <c r="AY458">
        <f t="shared" si="54"/>
        <v>0</v>
      </c>
      <c r="AZ458">
        <f t="shared" si="55"/>
        <v>1</v>
      </c>
    </row>
    <row r="459" spans="1:52" x14ac:dyDescent="0.2">
      <c r="A459">
        <f t="shared" si="49"/>
        <v>455</v>
      </c>
      <c r="B459">
        <v>2.8721808643719426E-2</v>
      </c>
      <c r="C459">
        <v>4.3466895982325227E-2</v>
      </c>
      <c r="D459">
        <v>3.0676856178233701E-2</v>
      </c>
      <c r="E459">
        <v>5.3001807083043187E-3</v>
      </c>
      <c r="F459">
        <v>3.3127929284233106E-3</v>
      </c>
      <c r="G459">
        <v>5.0583318154280386E-3</v>
      </c>
      <c r="H459">
        <v>4.7816779062308523E-2</v>
      </c>
      <c r="I459">
        <v>0.14309113258159656</v>
      </c>
      <c r="J459">
        <v>0</v>
      </c>
      <c r="K459">
        <v>0.42199987723382038</v>
      </c>
      <c r="L459">
        <v>0.21496431134258354</v>
      </c>
      <c r="M459">
        <v>0.78503568865741646</v>
      </c>
      <c r="N459">
        <v>4.6028780965216683E-2</v>
      </c>
      <c r="O459" s="72">
        <v>0.99841637396954808</v>
      </c>
      <c r="P459">
        <v>0.98582703326784193</v>
      </c>
      <c r="Q459">
        <v>0.9519026624132314</v>
      </c>
      <c r="R459">
        <v>0.49070849359479374</v>
      </c>
      <c r="S459">
        <v>0.4118454240623689</v>
      </c>
      <c r="T459">
        <v>0.21665483914288752</v>
      </c>
      <c r="U459">
        <v>0.75028983200789834</v>
      </c>
      <c r="V459">
        <v>0.70131177657742583</v>
      </c>
      <c r="W459">
        <v>0.55918358499878951</v>
      </c>
      <c r="X459">
        <v>0.47706748119950859</v>
      </c>
      <c r="Y459">
        <v>0.43624007787670682</v>
      </c>
      <c r="Z459">
        <v>0.37751441997743085</v>
      </c>
      <c r="AA459">
        <v>0.72077846867004514</v>
      </c>
      <c r="AB459">
        <v>0.83748946664287116</v>
      </c>
      <c r="AC459">
        <v>0.72645595483209213</v>
      </c>
      <c r="AD459">
        <v>0.66223290202013629</v>
      </c>
      <c r="AE459">
        <v>221.28660283940357</v>
      </c>
      <c r="AF459">
        <v>911.37529030031794</v>
      </c>
      <c r="AG459">
        <v>1228.7196983713836</v>
      </c>
      <c r="AH459">
        <v>15884.975121620979</v>
      </c>
      <c r="AI459">
        <v>8928.1069737818852</v>
      </c>
      <c r="AJ459">
        <v>39156.15515738984</v>
      </c>
      <c r="AK459">
        <v>13830.741913511771</v>
      </c>
      <c r="AL459">
        <v>1791.018829055874</v>
      </c>
      <c r="AM459">
        <v>436.1769886119925</v>
      </c>
      <c r="AO459">
        <v>44054.722399472448</v>
      </c>
      <c r="AP459">
        <v>13.63876258120454</v>
      </c>
      <c r="AQ459">
        <v>47812.057493873108</v>
      </c>
      <c r="AR459">
        <v>13.844491609186353</v>
      </c>
      <c r="AS459" s="2">
        <f t="shared" si="50"/>
        <v>3757.3350944006597</v>
      </c>
      <c r="AT459" s="2">
        <f t="shared" si="51"/>
        <v>0.20572902798181225</v>
      </c>
      <c r="AV459">
        <f t="shared" si="52"/>
        <v>1319821.5357209814</v>
      </c>
      <c r="AW459">
        <f t="shared" si="53"/>
        <v>1336637.1034247621</v>
      </c>
      <c r="AY459">
        <f t="shared" si="54"/>
        <v>0</v>
      </c>
      <c r="AZ459">
        <f t="shared" si="55"/>
        <v>1</v>
      </c>
    </row>
    <row r="460" spans="1:52" x14ac:dyDescent="0.2">
      <c r="A460">
        <f t="shared" si="49"/>
        <v>456</v>
      </c>
      <c r="B460">
        <v>2.2533310050409729E-2</v>
      </c>
      <c r="C460">
        <v>3.4708295518472862E-2</v>
      </c>
      <c r="D460">
        <v>4.9722591580138364E-2</v>
      </c>
      <c r="E460">
        <v>1.9512273169126071E-2</v>
      </c>
      <c r="F460">
        <v>3.236513636583145E-3</v>
      </c>
      <c r="G460">
        <v>1.0496363517579869E-2</v>
      </c>
      <c r="H460">
        <v>2.881526495307829E-2</v>
      </c>
      <c r="I460">
        <v>0.13365703292352027</v>
      </c>
      <c r="J460">
        <v>0</v>
      </c>
      <c r="K460">
        <v>0.44554613035556379</v>
      </c>
      <c r="L460">
        <v>0.13350239804872505</v>
      </c>
      <c r="M460">
        <v>0.8664976019512749</v>
      </c>
      <c r="N460">
        <v>4.8458901665951515E-2</v>
      </c>
      <c r="O460" s="72">
        <v>0.9998262272716576</v>
      </c>
      <c r="P460">
        <v>0.99914472938416365</v>
      </c>
      <c r="Q460">
        <v>0.97870341776778125</v>
      </c>
      <c r="R460">
        <v>0.52419555641344839</v>
      </c>
      <c r="S460">
        <v>0.45435803417945941</v>
      </c>
      <c r="T460">
        <v>0.30011992839168011</v>
      </c>
      <c r="U460">
        <v>0.77627439864543191</v>
      </c>
      <c r="V460">
        <v>0.73878522475240715</v>
      </c>
      <c r="W460">
        <v>0.53565446559255003</v>
      </c>
      <c r="X460">
        <v>0.45648307910955044</v>
      </c>
      <c r="Y460">
        <v>0.43920283723112996</v>
      </c>
      <c r="Z460">
        <v>0.42585162043442643</v>
      </c>
      <c r="AA460">
        <v>0.63709514992206207</v>
      </c>
      <c r="AB460">
        <v>0.87752097764405501</v>
      </c>
      <c r="AC460">
        <v>0.62889234274630978</v>
      </c>
      <c r="AD460">
        <v>0.52335505886588196</v>
      </c>
      <c r="AE460">
        <v>183.08858200712248</v>
      </c>
      <c r="AF460">
        <v>729.8787460488951</v>
      </c>
      <c r="AG460">
        <v>1186.2276465979699</v>
      </c>
      <c r="AH460">
        <v>10484.601977078088</v>
      </c>
      <c r="AI460">
        <v>12327.623578652578</v>
      </c>
      <c r="AJ460">
        <v>42213.498103756756</v>
      </c>
      <c r="AK460">
        <v>11907.605377312781</v>
      </c>
      <c r="AL460">
        <v>1421.6844563956754</v>
      </c>
      <c r="AM460">
        <v>357.14159495898502</v>
      </c>
      <c r="AO460">
        <v>39057.938277942521</v>
      </c>
      <c r="AP460">
        <v>13.845727927337196</v>
      </c>
      <c r="AQ460">
        <v>45900.21601760482</v>
      </c>
      <c r="AR460">
        <v>14.034761033736189</v>
      </c>
      <c r="AS460" s="2">
        <f t="shared" si="50"/>
        <v>6842.2777396622987</v>
      </c>
      <c r="AT460" s="2">
        <f t="shared" si="51"/>
        <v>0.18903310639899296</v>
      </c>
      <c r="AV460">
        <f t="shared" si="52"/>
        <v>1345514.854455777</v>
      </c>
      <c r="AW460">
        <f t="shared" si="53"/>
        <v>1357575.887356014</v>
      </c>
      <c r="AY460">
        <f t="shared" si="54"/>
        <v>0</v>
      </c>
      <c r="AZ460">
        <f t="shared" si="55"/>
        <v>1</v>
      </c>
    </row>
    <row r="461" spans="1:52" x14ac:dyDescent="0.2">
      <c r="A461">
        <f t="shared" si="49"/>
        <v>457</v>
      </c>
      <c r="B461">
        <v>2.1916562179826744E-2</v>
      </c>
      <c r="C461">
        <v>2.7616849926640145E-2</v>
      </c>
      <c r="D461">
        <v>2.8523335856358648E-2</v>
      </c>
      <c r="E461">
        <v>6.3818989130112911E-3</v>
      </c>
      <c r="F461">
        <v>3.3395788494858802E-3</v>
      </c>
      <c r="G461">
        <v>1.7872081254248884E-2</v>
      </c>
      <c r="H461">
        <v>2.7599664396475824E-2</v>
      </c>
      <c r="I461">
        <v>0.16094473684042032</v>
      </c>
      <c r="J461">
        <v>0</v>
      </c>
      <c r="K461">
        <v>0.39003556852284826</v>
      </c>
      <c r="L461">
        <v>0.27908200321804477</v>
      </c>
      <c r="M461">
        <v>0.72091799678195523</v>
      </c>
      <c r="N461">
        <v>7.6757528487885973E-2</v>
      </c>
      <c r="O461" s="72">
        <v>0.99984346421763592</v>
      </c>
      <c r="P461">
        <v>0.96774756082093971</v>
      </c>
      <c r="Q461">
        <v>0.97668859561047949</v>
      </c>
      <c r="R461">
        <v>0.49374032656434652</v>
      </c>
      <c r="S461">
        <v>0.46762666244550311</v>
      </c>
      <c r="T461">
        <v>0.17558224838837877</v>
      </c>
      <c r="U461">
        <v>0.77699729906177206</v>
      </c>
      <c r="V461">
        <v>0.62482065241758722</v>
      </c>
      <c r="W461">
        <v>0.59008446843610018</v>
      </c>
      <c r="X461">
        <v>0.45713987728605643</v>
      </c>
      <c r="Y461">
        <v>0.4319862960853475</v>
      </c>
      <c r="Z461">
        <v>0.43418698260962202</v>
      </c>
      <c r="AA461">
        <v>0.68215476146361187</v>
      </c>
      <c r="AB461">
        <v>0.72987828584816361</v>
      </c>
      <c r="AC461">
        <v>0.80242701039596909</v>
      </c>
      <c r="AD461">
        <v>0.5868499796980825</v>
      </c>
      <c r="AE461">
        <v>218.99593389859268</v>
      </c>
      <c r="AF461">
        <v>950.03511864178677</v>
      </c>
      <c r="AG461">
        <v>1072.4847580459057</v>
      </c>
      <c r="AH461">
        <v>13784.951098768404</v>
      </c>
      <c r="AI461">
        <v>11339.847891257301</v>
      </c>
      <c r="AJ461">
        <v>36841.126671160375</v>
      </c>
      <c r="AK461">
        <v>13669.081543975642</v>
      </c>
      <c r="AL461">
        <v>1493.4379453895137</v>
      </c>
      <c r="AM461">
        <v>354.95627821708268</v>
      </c>
      <c r="AO461">
        <v>42841.461775621778</v>
      </c>
      <c r="AP461">
        <v>12.338294233813581</v>
      </c>
      <c r="AQ461">
        <v>46950.123088290282</v>
      </c>
      <c r="AR461">
        <v>12.387979635085797</v>
      </c>
      <c r="AS461" s="2">
        <f t="shared" si="50"/>
        <v>4108.6613126685043</v>
      </c>
      <c r="AT461" s="2">
        <f t="shared" si="51"/>
        <v>4.9685401272215657E-2</v>
      </c>
      <c r="AV461">
        <f t="shared" si="52"/>
        <v>1190987.9616057363</v>
      </c>
      <c r="AW461">
        <f t="shared" si="53"/>
        <v>1191847.8404202894</v>
      </c>
      <c r="AY461">
        <f t="shared" si="54"/>
        <v>0</v>
      </c>
      <c r="AZ461">
        <f t="shared" si="55"/>
        <v>1</v>
      </c>
    </row>
    <row r="462" spans="1:52" x14ac:dyDescent="0.2">
      <c r="A462">
        <f t="shared" si="49"/>
        <v>458</v>
      </c>
      <c r="B462">
        <v>2.3356983388331785E-2</v>
      </c>
      <c r="C462">
        <v>3.4769569438804292E-2</v>
      </c>
      <c r="D462">
        <v>4.0033318317905353E-2</v>
      </c>
      <c r="E462">
        <v>4.8078358110599769E-3</v>
      </c>
      <c r="F462">
        <v>3.360023313031979E-3</v>
      </c>
      <c r="G462">
        <v>1.8673753362587919E-2</v>
      </c>
      <c r="H462">
        <v>1.9445538061201979E-2</v>
      </c>
      <c r="I462">
        <v>0.13896461980832531</v>
      </c>
      <c r="J462">
        <v>0</v>
      </c>
      <c r="K462">
        <v>0.45273207297619289</v>
      </c>
      <c r="L462">
        <v>0.13042022491067851</v>
      </c>
      <c r="M462">
        <v>0.86957977508932149</v>
      </c>
      <c r="N462">
        <v>7.98447186258886E-2</v>
      </c>
      <c r="O462" s="72">
        <v>0.96713262693207647</v>
      </c>
      <c r="P462">
        <v>0.99993116099820101</v>
      </c>
      <c r="Q462">
        <v>0.95087355002066754</v>
      </c>
      <c r="R462">
        <v>0.44595624129683176</v>
      </c>
      <c r="S462">
        <v>0.38891543986879362</v>
      </c>
      <c r="T462">
        <v>0.12878398215906417</v>
      </c>
      <c r="U462">
        <v>0.78418494717007725</v>
      </c>
      <c r="V462">
        <v>0.62910055583667746</v>
      </c>
      <c r="W462">
        <v>0.5940233516970248</v>
      </c>
      <c r="X462">
        <v>0.4661585071958656</v>
      </c>
      <c r="Y462">
        <v>0.47473557168023162</v>
      </c>
      <c r="Z462">
        <v>0.41147245740472305</v>
      </c>
      <c r="AA462">
        <v>0.70866514760232824</v>
      </c>
      <c r="AB462">
        <v>0.8294167272148335</v>
      </c>
      <c r="AC462">
        <v>0.77039284718938494</v>
      </c>
      <c r="AD462">
        <v>0.54240609486256908</v>
      </c>
      <c r="AE462">
        <v>195.24209076075539</v>
      </c>
      <c r="AF462">
        <v>874.33460748687094</v>
      </c>
      <c r="AG462">
        <v>1671.9516268661696</v>
      </c>
      <c r="AH462">
        <v>16195.713661027854</v>
      </c>
      <c r="AI462">
        <v>15279.152346251074</v>
      </c>
      <c r="AJ462">
        <v>35048.709787513661</v>
      </c>
      <c r="AK462">
        <v>10414.715050109311</v>
      </c>
      <c r="AL462">
        <v>2511.6805114441113</v>
      </c>
      <c r="AM462">
        <v>391.47260057821939</v>
      </c>
      <c r="AO462">
        <v>48899.498671624839</v>
      </c>
      <c r="AP462">
        <v>13.462537153534194</v>
      </c>
      <c r="AQ462">
        <v>46832.046067224532</v>
      </c>
      <c r="AR462">
        <v>13.647279198103698</v>
      </c>
      <c r="AS462" s="2">
        <f t="shared" si="50"/>
        <v>-2067.4526044003069</v>
      </c>
      <c r="AT462" s="2">
        <f t="shared" si="51"/>
        <v>0.18474204456950361</v>
      </c>
      <c r="AV462">
        <f t="shared" si="52"/>
        <v>1297354.2166817947</v>
      </c>
      <c r="AW462">
        <f t="shared" si="53"/>
        <v>1317895.8737431453</v>
      </c>
      <c r="AY462">
        <f t="shared" si="54"/>
        <v>0</v>
      </c>
      <c r="AZ462">
        <f t="shared" si="55"/>
        <v>1</v>
      </c>
    </row>
    <row r="463" spans="1:52" x14ac:dyDescent="0.2">
      <c r="A463">
        <f t="shared" si="49"/>
        <v>459</v>
      </c>
      <c r="B463">
        <v>3.2090846733713096E-2</v>
      </c>
      <c r="C463">
        <v>3.4415393746781764E-2</v>
      </c>
      <c r="D463">
        <v>2.8857465948884383E-2</v>
      </c>
      <c r="E463">
        <v>1.5568896330962256E-2</v>
      </c>
      <c r="F463">
        <v>3.2864111188341937E-3</v>
      </c>
      <c r="G463">
        <v>2.5645514861048152E-3</v>
      </c>
      <c r="H463">
        <v>2.0218336588347194E-2</v>
      </c>
      <c r="I463">
        <v>0.13445861869452347</v>
      </c>
      <c r="J463">
        <v>0</v>
      </c>
      <c r="K463">
        <v>0.41834199592634308</v>
      </c>
      <c r="L463">
        <v>0.2215955321501436</v>
      </c>
      <c r="M463">
        <v>0.7784044678498564</v>
      </c>
      <c r="N463">
        <v>6.973568529148011E-2</v>
      </c>
      <c r="O463" s="72">
        <v>0.99999017944464241</v>
      </c>
      <c r="P463">
        <v>0.99998474320150066</v>
      </c>
      <c r="Q463">
        <v>0.96289680493580332</v>
      </c>
      <c r="R463">
        <v>0.52295713555467638</v>
      </c>
      <c r="S463">
        <v>0.37712804689405544</v>
      </c>
      <c r="T463">
        <v>0.17675856895191111</v>
      </c>
      <c r="U463">
        <v>0.81217851696645416</v>
      </c>
      <c r="V463">
        <v>0.67073674733591149</v>
      </c>
      <c r="W463">
        <v>0.597433990785049</v>
      </c>
      <c r="X463">
        <v>0.44661701598194747</v>
      </c>
      <c r="Y463">
        <v>0.46474424172014939</v>
      </c>
      <c r="Z463">
        <v>0.48431414677866835</v>
      </c>
      <c r="AA463">
        <v>0.575243491756396</v>
      </c>
      <c r="AB463">
        <v>0.81615216733459139</v>
      </c>
      <c r="AC463">
        <v>0.75389397885046949</v>
      </c>
      <c r="AD463">
        <v>0.58741423864114117</v>
      </c>
      <c r="AE463">
        <v>192.12477902631085</v>
      </c>
      <c r="AF463">
        <v>1070.9336978424883</v>
      </c>
      <c r="AG463">
        <v>2371.4103640816752</v>
      </c>
      <c r="AH463">
        <v>15318.867283305482</v>
      </c>
      <c r="AI463">
        <v>10161.076372762845</v>
      </c>
      <c r="AJ463">
        <v>36850.807868360978</v>
      </c>
      <c r="AK463">
        <v>13965.631707044915</v>
      </c>
      <c r="AL463">
        <v>1836.6226897677227</v>
      </c>
      <c r="AM463">
        <v>426.50047388661937</v>
      </c>
      <c r="AO463">
        <v>44139.9831712167</v>
      </c>
      <c r="AP463">
        <v>13.350869815965918</v>
      </c>
      <c r="AQ463">
        <v>47267.898105456021</v>
      </c>
      <c r="AR463">
        <v>13.496399551429905</v>
      </c>
      <c r="AS463" s="2">
        <f t="shared" si="50"/>
        <v>3127.9149342393212</v>
      </c>
      <c r="AT463" s="2">
        <f t="shared" si="51"/>
        <v>0.1455297354639864</v>
      </c>
      <c r="AV463">
        <f t="shared" si="52"/>
        <v>1290946.9984253752</v>
      </c>
      <c r="AW463">
        <f t="shared" si="53"/>
        <v>1302372.0570375344</v>
      </c>
      <c r="AY463">
        <f t="shared" si="54"/>
        <v>0</v>
      </c>
      <c r="AZ463">
        <f t="shared" si="55"/>
        <v>1</v>
      </c>
    </row>
    <row r="464" spans="1:52" x14ac:dyDescent="0.2">
      <c r="A464">
        <f t="shared" si="49"/>
        <v>460</v>
      </c>
      <c r="B464">
        <v>3.0170052119507407E-2</v>
      </c>
      <c r="C464">
        <v>3.0536861008427743E-2</v>
      </c>
      <c r="D464">
        <v>3.8966029022219795E-2</v>
      </c>
      <c r="E464">
        <v>1.4551902630304259E-2</v>
      </c>
      <c r="F464">
        <v>3.3794443389701945E-3</v>
      </c>
      <c r="G464">
        <v>8.8389397308045216E-3</v>
      </c>
      <c r="H464">
        <v>2.9793816008016005E-2</v>
      </c>
      <c r="I464">
        <v>0.12810401004491168</v>
      </c>
      <c r="J464">
        <v>0</v>
      </c>
      <c r="K464">
        <v>0.45109330765753075</v>
      </c>
      <c r="L464">
        <v>0.18803845076638456</v>
      </c>
      <c r="M464">
        <v>0.81196154923361541</v>
      </c>
      <c r="N464">
        <v>5.3797264414261567E-2</v>
      </c>
      <c r="O464" s="72">
        <v>0.98794653556391632</v>
      </c>
      <c r="P464">
        <v>0.99960446135413772</v>
      </c>
      <c r="Q464">
        <v>0.99383027457270323</v>
      </c>
      <c r="R464">
        <v>0.52530828509706085</v>
      </c>
      <c r="S464">
        <v>0.36560957344776046</v>
      </c>
      <c r="T464">
        <v>0.23527408850960296</v>
      </c>
      <c r="U464">
        <v>0.79216087848671923</v>
      </c>
      <c r="V464">
        <v>0.66559977219754041</v>
      </c>
      <c r="W464">
        <v>0.52511966195240012</v>
      </c>
      <c r="X464">
        <v>0.44966591739462014</v>
      </c>
      <c r="Y464">
        <v>0.48179827026224231</v>
      </c>
      <c r="Z464">
        <v>0.45847207908880605</v>
      </c>
      <c r="AA464">
        <v>0.74850779297771697</v>
      </c>
      <c r="AB464">
        <v>0.78473972393110925</v>
      </c>
      <c r="AC464">
        <v>0.69717967282626525</v>
      </c>
      <c r="AD464">
        <v>0.53397429578383804</v>
      </c>
      <c r="AE464">
        <v>219.6850944497796</v>
      </c>
      <c r="AF464">
        <v>1025.5806518783204</v>
      </c>
      <c r="AG464">
        <v>2082.4024221684999</v>
      </c>
      <c r="AH464">
        <v>9428.6451763828263</v>
      </c>
      <c r="AI464">
        <v>14883.99558911347</v>
      </c>
      <c r="AJ464">
        <v>46839.070216207358</v>
      </c>
      <c r="AK464">
        <v>12282.779553985434</v>
      </c>
      <c r="AL464">
        <v>1852.3691497924249</v>
      </c>
      <c r="AM464">
        <v>386.65954231035414</v>
      </c>
      <c r="AO464">
        <v>41826.53884604809</v>
      </c>
      <c r="AP464">
        <v>12.76834254196811</v>
      </c>
      <c r="AQ464">
        <v>46482.938223163532</v>
      </c>
      <c r="AR464">
        <v>12.886405812013237</v>
      </c>
      <c r="AS464" s="2">
        <f t="shared" si="50"/>
        <v>4656.3993771154419</v>
      </c>
      <c r="AT464" s="2">
        <f t="shared" si="51"/>
        <v>0.11806327004512696</v>
      </c>
      <c r="AV464">
        <f t="shared" si="52"/>
        <v>1235007.7153507629</v>
      </c>
      <c r="AW464">
        <f t="shared" si="53"/>
        <v>1242157.6429781602</v>
      </c>
      <c r="AY464">
        <f t="shared" si="54"/>
        <v>0</v>
      </c>
      <c r="AZ464">
        <f t="shared" si="55"/>
        <v>1</v>
      </c>
    </row>
    <row r="465" spans="1:52" x14ac:dyDescent="0.2">
      <c r="A465">
        <f t="shared" si="49"/>
        <v>461</v>
      </c>
      <c r="B465">
        <v>2.3215990555252235E-2</v>
      </c>
      <c r="C465">
        <v>3.7656402747108575E-2</v>
      </c>
      <c r="D465">
        <v>4.037458765130586E-2</v>
      </c>
      <c r="E465">
        <v>4.9534021236953734E-3</v>
      </c>
      <c r="F465">
        <v>3.2496181212500522E-3</v>
      </c>
      <c r="G465">
        <v>1.7896105058271772E-2</v>
      </c>
      <c r="H465">
        <v>2.7407921520357426E-2</v>
      </c>
      <c r="I465">
        <v>0.11948417370188132</v>
      </c>
      <c r="J465">
        <v>0</v>
      </c>
      <c r="K465">
        <v>0.43677867246251512</v>
      </c>
      <c r="L465">
        <v>0.24480435682733981</v>
      </c>
      <c r="M465">
        <v>0.75519564317266019</v>
      </c>
      <c r="N465">
        <v>7.152473204866705E-2</v>
      </c>
      <c r="O465" s="72">
        <v>0.98403257798697097</v>
      </c>
      <c r="P465">
        <v>0.99999970140029171</v>
      </c>
      <c r="Q465">
        <v>0.96288203719578835</v>
      </c>
      <c r="R465">
        <v>0.50191903518943182</v>
      </c>
      <c r="S465">
        <v>0.43874321408855221</v>
      </c>
      <c r="T465">
        <v>0.24494600549844814</v>
      </c>
      <c r="U465">
        <v>0.78881258283516931</v>
      </c>
      <c r="V465">
        <v>0.62215640909818615</v>
      </c>
      <c r="W465">
        <v>0.58069617231840187</v>
      </c>
      <c r="X465">
        <v>0.43294118986616514</v>
      </c>
      <c r="Y465">
        <v>0.47936816465034615</v>
      </c>
      <c r="Z465">
        <v>0.44478705695192694</v>
      </c>
      <c r="AA465">
        <v>0.67278660697733106</v>
      </c>
      <c r="AB465">
        <v>0.82540814074794999</v>
      </c>
      <c r="AC465">
        <v>0.72224074435826491</v>
      </c>
      <c r="AD465">
        <v>0.64880971453753022</v>
      </c>
      <c r="AE465">
        <v>140.35173666400496</v>
      </c>
      <c r="AF465">
        <v>1096.2167267279974</v>
      </c>
      <c r="AG465">
        <v>1381.4237063236606</v>
      </c>
      <c r="AH465">
        <v>19129.579436032636</v>
      </c>
      <c r="AI465">
        <v>9023.5339588350216</v>
      </c>
      <c r="AJ465">
        <v>39042.072332796735</v>
      </c>
      <c r="AK465">
        <v>18775.012849838025</v>
      </c>
      <c r="AL465">
        <v>1376.9646811366056</v>
      </c>
      <c r="AM465">
        <v>373.68110332239797</v>
      </c>
      <c r="AO465">
        <v>41964.030972116918</v>
      </c>
      <c r="AP465">
        <v>13.489238498615624</v>
      </c>
      <c r="AQ465">
        <v>46463.914761150343</v>
      </c>
      <c r="AR465">
        <v>13.651576402333948</v>
      </c>
      <c r="AS465" s="2">
        <f t="shared" si="50"/>
        <v>4499.8837890334253</v>
      </c>
      <c r="AT465" s="2">
        <f t="shared" si="51"/>
        <v>0.16233790371832413</v>
      </c>
      <c r="AV465">
        <f t="shared" si="52"/>
        <v>1306959.8188894456</v>
      </c>
      <c r="AW465">
        <f t="shared" si="53"/>
        <v>1318693.7254722444</v>
      </c>
      <c r="AY465">
        <f t="shared" si="54"/>
        <v>0</v>
      </c>
      <c r="AZ465">
        <f t="shared" si="55"/>
        <v>1</v>
      </c>
    </row>
    <row r="466" spans="1:52" x14ac:dyDescent="0.2">
      <c r="A466">
        <f t="shared" si="49"/>
        <v>462</v>
      </c>
      <c r="B466">
        <v>2.5767530227257307E-2</v>
      </c>
      <c r="C466">
        <v>4.2967099726654134E-2</v>
      </c>
      <c r="D466">
        <v>3.8547702621269386E-2</v>
      </c>
      <c r="E466">
        <v>1.3017878401005878E-2</v>
      </c>
      <c r="F466">
        <v>3.3616109052775345E-3</v>
      </c>
      <c r="G466">
        <v>1.9910779816361801E-2</v>
      </c>
      <c r="H466">
        <v>2.6974710044198772E-2</v>
      </c>
      <c r="I466">
        <v>0.13861054313308041</v>
      </c>
      <c r="J466">
        <v>0</v>
      </c>
      <c r="K466">
        <v>0.44603092615790907</v>
      </c>
      <c r="L466">
        <v>0.21372079387379161</v>
      </c>
      <c r="M466">
        <v>0.78627920612620839</v>
      </c>
      <c r="N466">
        <v>4.5724641062074002E-2</v>
      </c>
      <c r="O466" s="72">
        <v>0.99807141513196829</v>
      </c>
      <c r="P466">
        <v>0.99973456473662192</v>
      </c>
      <c r="Q466">
        <v>0.98572956111906185</v>
      </c>
      <c r="R466">
        <v>0.49370399030893863</v>
      </c>
      <c r="S466">
        <v>0.46191433070258747</v>
      </c>
      <c r="T466">
        <v>0.28020621512021482</v>
      </c>
      <c r="U466">
        <v>0.75324373909311459</v>
      </c>
      <c r="V466">
        <v>0.61511881696345028</v>
      </c>
      <c r="W466">
        <v>0.48692253552603648</v>
      </c>
      <c r="X466">
        <v>0.38611450364810346</v>
      </c>
      <c r="Y466">
        <v>0.46185716649575381</v>
      </c>
      <c r="Z466">
        <v>0.41143064207318286</v>
      </c>
      <c r="AA466">
        <v>0.60468844980838821</v>
      </c>
      <c r="AB466">
        <v>0.80734528083251678</v>
      </c>
      <c r="AC466">
        <v>0.7057373429227296</v>
      </c>
      <c r="AD466">
        <v>0.55340791499610797</v>
      </c>
      <c r="AE466">
        <v>273.05889976295344</v>
      </c>
      <c r="AF466">
        <v>1267.0442112740629</v>
      </c>
      <c r="AG466">
        <v>1513.2448381456002</v>
      </c>
      <c r="AH466">
        <v>15412.990254398461</v>
      </c>
      <c r="AI466">
        <v>9080.1292108476373</v>
      </c>
      <c r="AJ466">
        <v>39011.140012486983</v>
      </c>
      <c r="AK466">
        <v>6896.2836876402289</v>
      </c>
      <c r="AL466">
        <v>1277.4008629204432</v>
      </c>
      <c r="AM466">
        <v>478.73935446825283</v>
      </c>
      <c r="AO466">
        <v>43015.50364721752</v>
      </c>
      <c r="AP466">
        <v>13.064334135528952</v>
      </c>
      <c r="AQ466">
        <v>48015.17241238783</v>
      </c>
      <c r="AR466">
        <v>13.239261293610639</v>
      </c>
      <c r="AS466" s="2">
        <f t="shared" si="50"/>
        <v>4999.6687651703105</v>
      </c>
      <c r="AT466" s="2">
        <f t="shared" si="51"/>
        <v>0.17492715808168668</v>
      </c>
      <c r="AV466">
        <f t="shared" si="52"/>
        <v>1263417.9099056777</v>
      </c>
      <c r="AW466">
        <f t="shared" si="53"/>
        <v>1275910.9569486761</v>
      </c>
      <c r="AY466">
        <f t="shared" si="54"/>
        <v>0</v>
      </c>
      <c r="AZ466">
        <f t="shared" si="55"/>
        <v>1</v>
      </c>
    </row>
    <row r="467" spans="1:52" x14ac:dyDescent="0.2">
      <c r="A467">
        <f t="shared" si="49"/>
        <v>463</v>
      </c>
      <c r="B467">
        <v>3.0422399568103331E-2</v>
      </c>
      <c r="C467">
        <v>3.9049410697279074E-2</v>
      </c>
      <c r="D467">
        <v>4.4472437890990757E-2</v>
      </c>
      <c r="E467">
        <v>2.3570361445014898E-2</v>
      </c>
      <c r="F467">
        <v>3.2007474077361793E-3</v>
      </c>
      <c r="G467">
        <v>6.2198729706606703E-3</v>
      </c>
      <c r="H467">
        <v>4.7001427706922505E-2</v>
      </c>
      <c r="I467">
        <v>0.14190249225671248</v>
      </c>
      <c r="J467">
        <v>0</v>
      </c>
      <c r="K467">
        <v>0.46903271524346379</v>
      </c>
      <c r="L467">
        <v>0.19400709282155598</v>
      </c>
      <c r="M467">
        <v>0.80599290717844396</v>
      </c>
      <c r="N467">
        <v>6.3644976652724505E-2</v>
      </c>
      <c r="O467" s="72">
        <v>0.99999992027830986</v>
      </c>
      <c r="P467">
        <v>0.99999994776511414</v>
      </c>
      <c r="Q467">
        <v>0.94223235705300634</v>
      </c>
      <c r="R467">
        <v>0.53400427890445523</v>
      </c>
      <c r="S467">
        <v>0.37673000895337883</v>
      </c>
      <c r="T467">
        <v>0.17646340759385626</v>
      </c>
      <c r="U467">
        <v>0.7764593634855641</v>
      </c>
      <c r="V467">
        <v>0.59974645356909073</v>
      </c>
      <c r="W467">
        <v>0.45439354871811161</v>
      </c>
      <c r="X467">
        <v>0.42110575127248046</v>
      </c>
      <c r="Y467">
        <v>0.49993799663427041</v>
      </c>
      <c r="Z467">
        <v>0.4534271708697214</v>
      </c>
      <c r="AA467">
        <v>0.73001601787196857</v>
      </c>
      <c r="AB467">
        <v>0.85214486065796702</v>
      </c>
      <c r="AC467">
        <v>0.59399084207588293</v>
      </c>
      <c r="AD467">
        <v>0.56777519615184446</v>
      </c>
      <c r="AE467">
        <v>195.45602323764669</v>
      </c>
      <c r="AF467">
        <v>772.00391441166084</v>
      </c>
      <c r="AG467">
        <v>2610.215642404833</v>
      </c>
      <c r="AH467">
        <v>12164.335456200362</v>
      </c>
      <c r="AI467">
        <v>13873.288145193845</v>
      </c>
      <c r="AJ467">
        <v>40234.99538861811</v>
      </c>
      <c r="AK467">
        <v>11398.358683066164</v>
      </c>
      <c r="AL467">
        <v>2778.272234914371</v>
      </c>
      <c r="AM467">
        <v>279.68625371788977</v>
      </c>
      <c r="AO467">
        <v>41134.642813072365</v>
      </c>
      <c r="AP467">
        <v>13.389709303083242</v>
      </c>
      <c r="AQ467">
        <v>44955.676496988795</v>
      </c>
      <c r="AR467">
        <v>13.678449954858138</v>
      </c>
      <c r="AS467" s="2">
        <f t="shared" si="50"/>
        <v>3821.0336839164302</v>
      </c>
      <c r="AT467" s="2">
        <f t="shared" si="51"/>
        <v>0.28874065177489605</v>
      </c>
      <c r="AV467">
        <f t="shared" si="52"/>
        <v>1297836.287495252</v>
      </c>
      <c r="AW467">
        <f t="shared" si="53"/>
        <v>1322889.318988825</v>
      </c>
      <c r="AY467">
        <f t="shared" si="54"/>
        <v>0</v>
      </c>
      <c r="AZ467">
        <f t="shared" si="55"/>
        <v>1</v>
      </c>
    </row>
    <row r="468" spans="1:52" x14ac:dyDescent="0.2">
      <c r="A468">
        <f t="shared" si="49"/>
        <v>464</v>
      </c>
      <c r="B468">
        <v>2.3050339706741006E-2</v>
      </c>
      <c r="C468">
        <v>3.9550833149720965E-2</v>
      </c>
      <c r="D468">
        <v>3.9909863758938346E-2</v>
      </c>
      <c r="E468">
        <v>9.1121207281188565E-3</v>
      </c>
      <c r="F468">
        <v>3.35263829717658E-3</v>
      </c>
      <c r="G468">
        <v>1.2685733008680145E-2</v>
      </c>
      <c r="H468">
        <v>3.4177889554500074E-2</v>
      </c>
      <c r="I468">
        <v>0.12536374746607903</v>
      </c>
      <c r="J468">
        <v>0</v>
      </c>
      <c r="K468">
        <v>0.43828010118022975</v>
      </c>
      <c r="L468">
        <v>0.27751988790072435</v>
      </c>
      <c r="M468">
        <v>0.72248011209927565</v>
      </c>
      <c r="N468">
        <v>5.6571603339364951E-2</v>
      </c>
      <c r="O468" s="72">
        <v>0.9999334741905983</v>
      </c>
      <c r="P468">
        <v>0.65055501261366055</v>
      </c>
      <c r="Q468">
        <v>0.98690833928992094</v>
      </c>
      <c r="R468">
        <v>0.49214674875409992</v>
      </c>
      <c r="S468">
        <v>0.42687901991766186</v>
      </c>
      <c r="T468">
        <v>0.34532399339904341</v>
      </c>
      <c r="U468">
        <v>0.79239235969736155</v>
      </c>
      <c r="V468">
        <v>0.6159506127952229</v>
      </c>
      <c r="W468">
        <v>0.57549575154330013</v>
      </c>
      <c r="X468">
        <v>0.50421014668816067</v>
      </c>
      <c r="Y468">
        <v>0.46626722462435721</v>
      </c>
      <c r="Z468">
        <v>0.49313294986434864</v>
      </c>
      <c r="AA468">
        <v>0.59419625678825416</v>
      </c>
      <c r="AB468">
        <v>0.86166572740697367</v>
      </c>
      <c r="AC468">
        <v>0.73793326247604463</v>
      </c>
      <c r="AD468">
        <v>0.73214833071839414</v>
      </c>
      <c r="AE468">
        <v>225.76877690991509</v>
      </c>
      <c r="AF468">
        <v>1275.0785807347011</v>
      </c>
      <c r="AG468">
        <v>1983.0952518221382</v>
      </c>
      <c r="AH468">
        <v>12917.129255207159</v>
      </c>
      <c r="AI468">
        <v>9150.0693467242982</v>
      </c>
      <c r="AJ468">
        <v>39774.040722237121</v>
      </c>
      <c r="AK468">
        <v>9331.3124761070085</v>
      </c>
      <c r="AL468">
        <v>2501.4115592245121</v>
      </c>
      <c r="AM468">
        <v>367.93581780147491</v>
      </c>
      <c r="AO468">
        <v>40977.428240252091</v>
      </c>
      <c r="AP468">
        <v>14.106803482612682</v>
      </c>
      <c r="AQ468">
        <v>62322.951830547529</v>
      </c>
      <c r="AR468">
        <v>14.249543321077704</v>
      </c>
      <c r="AS468" s="2">
        <f t="shared" si="50"/>
        <v>21345.523590295437</v>
      </c>
      <c r="AT468" s="2">
        <f t="shared" si="51"/>
        <v>0.14273983846502247</v>
      </c>
      <c r="AV468">
        <f t="shared" si="52"/>
        <v>1369702.9200210159</v>
      </c>
      <c r="AW468">
        <f t="shared" si="53"/>
        <v>1362631.380277223</v>
      </c>
      <c r="AY468">
        <f t="shared" si="54"/>
        <v>1</v>
      </c>
      <c r="AZ468">
        <f t="shared" si="55"/>
        <v>0</v>
      </c>
    </row>
    <row r="469" spans="1:52" x14ac:dyDescent="0.2">
      <c r="A469">
        <f t="shared" si="49"/>
        <v>465</v>
      </c>
      <c r="B469">
        <v>2.230008998196116E-2</v>
      </c>
      <c r="C469">
        <v>3.9738540449411386E-2</v>
      </c>
      <c r="D469">
        <v>3.6433506461996432E-2</v>
      </c>
      <c r="E469">
        <v>1.1605575767131634E-2</v>
      </c>
      <c r="F469">
        <v>3.4678948375027607E-3</v>
      </c>
      <c r="G469">
        <v>2.966683069867975E-3</v>
      </c>
      <c r="H469">
        <v>4.5656939713488942E-2</v>
      </c>
      <c r="I469">
        <v>0.13225418082633755</v>
      </c>
      <c r="J469">
        <v>0</v>
      </c>
      <c r="K469">
        <v>0.4255843671103875</v>
      </c>
      <c r="L469">
        <v>0.1789545247319736</v>
      </c>
      <c r="M469">
        <v>0.8210454752680264</v>
      </c>
      <c r="N469">
        <v>4.5278809088246136E-2</v>
      </c>
      <c r="O469" s="72">
        <v>0.97404384768467922</v>
      </c>
      <c r="P469">
        <v>0.94556412371352105</v>
      </c>
      <c r="Q469">
        <v>0.88567331045137343</v>
      </c>
      <c r="R469">
        <v>0.46274668218975779</v>
      </c>
      <c r="S469">
        <v>0.34560948619878462</v>
      </c>
      <c r="T469">
        <v>0.24141428278105004</v>
      </c>
      <c r="U469">
        <v>0.75699391068850241</v>
      </c>
      <c r="V469">
        <v>0.63864246900263999</v>
      </c>
      <c r="W469">
        <v>0.45400360351305713</v>
      </c>
      <c r="X469">
        <v>0.48369020999937706</v>
      </c>
      <c r="Y469">
        <v>0.46014781837960761</v>
      </c>
      <c r="Z469">
        <v>0.45095214807184836</v>
      </c>
      <c r="AA469">
        <v>0.71100902965795632</v>
      </c>
      <c r="AB469">
        <v>0.84360975694249074</v>
      </c>
      <c r="AC469">
        <v>0.71917841692609619</v>
      </c>
      <c r="AD469">
        <v>0.65399947755330201</v>
      </c>
      <c r="AE469">
        <v>215.66842489367474</v>
      </c>
      <c r="AF469">
        <v>1055.8677688430071</v>
      </c>
      <c r="AG469">
        <v>1748.9914789872596</v>
      </c>
      <c r="AH469">
        <v>12939.631332563022</v>
      </c>
      <c r="AI469">
        <v>15865.975262106182</v>
      </c>
      <c r="AJ469">
        <v>28524.223198291988</v>
      </c>
      <c r="AK469">
        <v>23070.25527396056</v>
      </c>
      <c r="AL469">
        <v>2594.2631380730272</v>
      </c>
      <c r="AM469">
        <v>366.59679007693427</v>
      </c>
      <c r="AO469">
        <v>44847.504983356892</v>
      </c>
      <c r="AP469">
        <v>13.648756819158322</v>
      </c>
      <c r="AQ469">
        <v>48451.583713940847</v>
      </c>
      <c r="AR469">
        <v>13.895743639925373</v>
      </c>
      <c r="AS469" s="2">
        <f t="shared" si="50"/>
        <v>3604.0787305839549</v>
      </c>
      <c r="AT469" s="2">
        <f t="shared" si="51"/>
        <v>0.24698682076705047</v>
      </c>
      <c r="AV469">
        <f t="shared" si="52"/>
        <v>1320028.1769324753</v>
      </c>
      <c r="AW469">
        <f t="shared" si="53"/>
        <v>1341122.7802785966</v>
      </c>
      <c r="AY469">
        <f t="shared" si="54"/>
        <v>0</v>
      </c>
      <c r="AZ469">
        <f t="shared" si="55"/>
        <v>1</v>
      </c>
    </row>
    <row r="470" spans="1:52" x14ac:dyDescent="0.2">
      <c r="A470">
        <f t="shared" si="49"/>
        <v>466</v>
      </c>
      <c r="B470">
        <v>2.3466420282036257E-2</v>
      </c>
      <c r="C470">
        <v>2.2677615573886301E-2</v>
      </c>
      <c r="D470">
        <v>5.9540568845685926E-2</v>
      </c>
      <c r="E470">
        <v>8.4666533134969413E-3</v>
      </c>
      <c r="F470">
        <v>3.2429978750288485E-3</v>
      </c>
      <c r="G470">
        <v>6.6865860066056071E-3</v>
      </c>
      <c r="H470">
        <v>8.0789327250988426E-3</v>
      </c>
      <c r="I470">
        <v>0.13753798810447471</v>
      </c>
      <c r="J470">
        <v>0</v>
      </c>
      <c r="K470">
        <v>0.44229077385834115</v>
      </c>
      <c r="L470">
        <v>0.20676520148983499</v>
      </c>
      <c r="M470">
        <v>0.79323479851016498</v>
      </c>
      <c r="N470">
        <v>5.6987244681519389E-2</v>
      </c>
      <c r="O470" s="72">
        <v>0.99999999993302768</v>
      </c>
      <c r="P470">
        <v>0.99939325517200384</v>
      </c>
      <c r="Q470">
        <v>0.97094719254167705</v>
      </c>
      <c r="R470">
        <v>0.42831478880528373</v>
      </c>
      <c r="S470">
        <v>0.47569563702968332</v>
      </c>
      <c r="T470">
        <v>0.21470979206994723</v>
      </c>
      <c r="U470">
        <v>0.77187348738451445</v>
      </c>
      <c r="V470">
        <v>0.64792538363393415</v>
      </c>
      <c r="W470">
        <v>0.56927592346596945</v>
      </c>
      <c r="X470">
        <v>0.41233278553794395</v>
      </c>
      <c r="Y470">
        <v>0.47018833167856799</v>
      </c>
      <c r="Z470">
        <v>0.45127446102658264</v>
      </c>
      <c r="AA470">
        <v>0.64140665113797313</v>
      </c>
      <c r="AB470">
        <v>0.80456845649685538</v>
      </c>
      <c r="AC470">
        <v>0.70432857564873919</v>
      </c>
      <c r="AD470">
        <v>0.66530968226265386</v>
      </c>
      <c r="AE470">
        <v>189.49058016535733</v>
      </c>
      <c r="AF470">
        <v>971.59996575457933</v>
      </c>
      <c r="AG470">
        <v>1912.7255652070785</v>
      </c>
      <c r="AH470">
        <v>12652.494405370442</v>
      </c>
      <c r="AI470">
        <v>8423.8089267068754</v>
      </c>
      <c r="AJ470">
        <v>44737.907433615117</v>
      </c>
      <c r="AK470">
        <v>12787.970521667383</v>
      </c>
      <c r="AL470">
        <v>2743.3832488209746</v>
      </c>
      <c r="AM470">
        <v>334.88926688877291</v>
      </c>
      <c r="AO470">
        <v>45261.679226639142</v>
      </c>
      <c r="AP470">
        <v>13.12878241286097</v>
      </c>
      <c r="AQ470">
        <v>45705.026342768062</v>
      </c>
      <c r="AR470">
        <v>13.351238251217268</v>
      </c>
      <c r="AS470" s="2">
        <f t="shared" si="50"/>
        <v>443.34711612891988</v>
      </c>
      <c r="AT470" s="2">
        <f t="shared" si="51"/>
        <v>0.22245583835629823</v>
      </c>
      <c r="AV470">
        <f t="shared" si="52"/>
        <v>1267616.5620594576</v>
      </c>
      <c r="AW470">
        <f t="shared" si="53"/>
        <v>1289418.7987789589</v>
      </c>
      <c r="AY470">
        <f t="shared" si="54"/>
        <v>0</v>
      </c>
      <c r="AZ470">
        <f t="shared" si="55"/>
        <v>1</v>
      </c>
    </row>
    <row r="471" spans="1:52" x14ac:dyDescent="0.2">
      <c r="A471">
        <f t="shared" si="49"/>
        <v>467</v>
      </c>
      <c r="B471">
        <v>2.5538665905317615E-2</v>
      </c>
      <c r="C471">
        <v>5.1753554012877623E-2</v>
      </c>
      <c r="D471">
        <v>3.0233050156984142E-2</v>
      </c>
      <c r="E471">
        <v>1.7187948946844722E-2</v>
      </c>
      <c r="F471">
        <v>3.3274518181197897E-3</v>
      </c>
      <c r="G471">
        <v>8.9587054087456753E-3</v>
      </c>
      <c r="H471">
        <v>2.8287294071126051E-2</v>
      </c>
      <c r="I471">
        <v>0.14472890458979715</v>
      </c>
      <c r="J471">
        <v>0</v>
      </c>
      <c r="K471">
        <v>0.42036237076844829</v>
      </c>
      <c r="L471">
        <v>0.18256852805398549</v>
      </c>
      <c r="M471">
        <v>0.81743147194601451</v>
      </c>
      <c r="N471">
        <v>5.9772509870469448E-2</v>
      </c>
      <c r="O471" s="72">
        <v>0.99988777470077073</v>
      </c>
      <c r="P471">
        <v>0.99970992391704139</v>
      </c>
      <c r="Q471">
        <v>0.89617744358609475</v>
      </c>
      <c r="R471">
        <v>0.42387994024135767</v>
      </c>
      <c r="S471">
        <v>0.32238931928910086</v>
      </c>
      <c r="T471">
        <v>0.19814361907447642</v>
      </c>
      <c r="U471">
        <v>0.76680547775841423</v>
      </c>
      <c r="V471">
        <v>0.65261171012013075</v>
      </c>
      <c r="W471">
        <v>0.5320121175108049</v>
      </c>
      <c r="X471">
        <v>0.47067895553075934</v>
      </c>
      <c r="Y471">
        <v>0.47659695893497867</v>
      </c>
      <c r="Z471">
        <v>0.49084402385153847</v>
      </c>
      <c r="AA471">
        <v>0.68671692644324378</v>
      </c>
      <c r="AB471">
        <v>0.79070637315345993</v>
      </c>
      <c r="AC471">
        <v>0.68257635082291246</v>
      </c>
      <c r="AD471">
        <v>0.67072911299627336</v>
      </c>
      <c r="AE471">
        <v>173.68388182237481</v>
      </c>
      <c r="AF471">
        <v>1036.6435086713468</v>
      </c>
      <c r="AG471">
        <v>1665.7387300739028</v>
      </c>
      <c r="AH471">
        <v>9378.0716208946269</v>
      </c>
      <c r="AI471">
        <v>14241.715264141561</v>
      </c>
      <c r="AJ471">
        <v>42435.499211953836</v>
      </c>
      <c r="AK471">
        <v>14174.458103076282</v>
      </c>
      <c r="AL471">
        <v>1886.7366624240303</v>
      </c>
      <c r="AM471">
        <v>464.23843782457146</v>
      </c>
      <c r="AO471">
        <v>49516.400199044278</v>
      </c>
      <c r="AP471">
        <v>12.904905165740239</v>
      </c>
      <c r="AQ471">
        <v>47912.189696608941</v>
      </c>
      <c r="AR471">
        <v>13.124788541738873</v>
      </c>
      <c r="AS471" s="2">
        <f t="shared" si="50"/>
        <v>-1604.2105024353368</v>
      </c>
      <c r="AT471" s="2">
        <f t="shared" si="51"/>
        <v>0.21988337599863428</v>
      </c>
      <c r="AV471">
        <f t="shared" si="52"/>
        <v>1240974.1163749795</v>
      </c>
      <c r="AW471">
        <f t="shared" si="53"/>
        <v>1264566.6644772782</v>
      </c>
      <c r="AY471">
        <f t="shared" si="54"/>
        <v>0</v>
      </c>
      <c r="AZ471">
        <f t="shared" si="55"/>
        <v>1</v>
      </c>
    </row>
    <row r="472" spans="1:52" x14ac:dyDescent="0.2">
      <c r="A472">
        <f t="shared" si="49"/>
        <v>468</v>
      </c>
      <c r="B472">
        <v>3.0555695275781058E-2</v>
      </c>
      <c r="C472">
        <v>3.3419367975617585E-2</v>
      </c>
      <c r="D472">
        <v>4.5091484619496636E-2</v>
      </c>
      <c r="E472">
        <v>1.3632132032233124E-2</v>
      </c>
      <c r="F472">
        <v>3.4717489586156836E-3</v>
      </c>
      <c r="G472">
        <v>2.7090490935336553E-2</v>
      </c>
      <c r="H472">
        <v>2.785253479192137E-2</v>
      </c>
      <c r="I472">
        <v>0.15203969327177058</v>
      </c>
      <c r="J472">
        <v>0</v>
      </c>
      <c r="K472">
        <v>0.45034337070430308</v>
      </c>
      <c r="L472">
        <v>0.17586023801976178</v>
      </c>
      <c r="M472">
        <v>0.82413976198023819</v>
      </c>
      <c r="N472">
        <v>4.3596897286508479E-2</v>
      </c>
      <c r="O472" s="72">
        <v>0.9879211259958145</v>
      </c>
      <c r="P472">
        <v>0.99242036366205399</v>
      </c>
      <c r="Q472">
        <v>0.96501765762549518</v>
      </c>
      <c r="R472">
        <v>0.50611786165876205</v>
      </c>
      <c r="S472">
        <v>0.38041671960934953</v>
      </c>
      <c r="T472">
        <v>0.31084947578622579</v>
      </c>
      <c r="U472">
        <v>0.77655291647347102</v>
      </c>
      <c r="V472">
        <v>0.59077163430673607</v>
      </c>
      <c r="W472">
        <v>0.47174778516425236</v>
      </c>
      <c r="X472">
        <v>0.46398847802319865</v>
      </c>
      <c r="Y472">
        <v>0.44991347829552664</v>
      </c>
      <c r="Z472">
        <v>0.48244026371025661</v>
      </c>
      <c r="AA472">
        <v>0.64666680164447699</v>
      </c>
      <c r="AB472">
        <v>0.82766463497884912</v>
      </c>
      <c r="AC472">
        <v>0.722305574971985</v>
      </c>
      <c r="AD472">
        <v>0.5112691673700579</v>
      </c>
      <c r="AE472">
        <v>211.7898468773555</v>
      </c>
      <c r="AF472">
        <v>988.37922538308544</v>
      </c>
      <c r="AG472">
        <v>1174.7982566102462</v>
      </c>
      <c r="AH472">
        <v>14664.882146322794</v>
      </c>
      <c r="AI472">
        <v>15080.189337855987</v>
      </c>
      <c r="AJ472">
        <v>44272.763738360918</v>
      </c>
      <c r="AK472">
        <v>11581.339052926718</v>
      </c>
      <c r="AL472">
        <v>2107.8663473514407</v>
      </c>
      <c r="AM472">
        <v>368.47173617321818</v>
      </c>
      <c r="AO472">
        <v>41013.495200245859</v>
      </c>
      <c r="AP472">
        <v>13.310101397515364</v>
      </c>
      <c r="AQ472">
        <v>46507.645258154342</v>
      </c>
      <c r="AR472">
        <v>13.492303944961545</v>
      </c>
      <c r="AS472" s="2">
        <f t="shared" si="50"/>
        <v>5494.1500579084823</v>
      </c>
      <c r="AT472" s="2">
        <f t="shared" si="51"/>
        <v>0.18220254744618103</v>
      </c>
      <c r="AV472">
        <f t="shared" si="52"/>
        <v>1289996.6445512904</v>
      </c>
      <c r="AW472">
        <f t="shared" si="53"/>
        <v>1302722.7492380003</v>
      </c>
      <c r="AY472">
        <f t="shared" si="54"/>
        <v>0</v>
      </c>
      <c r="AZ472">
        <f t="shared" si="55"/>
        <v>1</v>
      </c>
    </row>
    <row r="473" spans="1:52" x14ac:dyDescent="0.2">
      <c r="A473">
        <f t="shared" si="49"/>
        <v>469</v>
      </c>
      <c r="B473">
        <v>2.2183840795677319E-2</v>
      </c>
      <c r="C473">
        <v>4.9289836578301438E-2</v>
      </c>
      <c r="D473">
        <v>4.7024535907288834E-2</v>
      </c>
      <c r="E473">
        <v>3.274482515039101E-2</v>
      </c>
      <c r="F473">
        <v>3.3830350328831749E-3</v>
      </c>
      <c r="G473">
        <v>4.7284732268778829E-2</v>
      </c>
      <c r="H473">
        <v>4.7319119628135509E-2</v>
      </c>
      <c r="I473">
        <v>0.14143792010088263</v>
      </c>
      <c r="J473">
        <v>0</v>
      </c>
      <c r="K473">
        <v>0.47360273983249401</v>
      </c>
      <c r="L473">
        <v>0.1949499573684598</v>
      </c>
      <c r="M473">
        <v>0.80505004263154023</v>
      </c>
      <c r="N473">
        <v>4.9721201488538834E-2</v>
      </c>
      <c r="O473" s="72">
        <v>0.9894764273109331</v>
      </c>
      <c r="P473">
        <v>0.99999291326104545</v>
      </c>
      <c r="Q473">
        <v>0.99749524237120879</v>
      </c>
      <c r="R473">
        <v>0.48322780159736201</v>
      </c>
      <c r="S473">
        <v>0.36722498996645414</v>
      </c>
      <c r="T473">
        <v>0.28410371709553961</v>
      </c>
      <c r="U473">
        <v>0.75035899524683614</v>
      </c>
      <c r="V473">
        <v>0.68701301233694578</v>
      </c>
      <c r="W473">
        <v>0.60760136299064804</v>
      </c>
      <c r="X473">
        <v>0.46228343251147797</v>
      </c>
      <c r="Y473">
        <v>0.46902201798245102</v>
      </c>
      <c r="Z473">
        <v>0.44493478205491566</v>
      </c>
      <c r="AA473">
        <v>0.66483272744820965</v>
      </c>
      <c r="AB473">
        <v>0.76863949931126496</v>
      </c>
      <c r="AC473">
        <v>0.73382679199221568</v>
      </c>
      <c r="AD473">
        <v>0.69732665644544145</v>
      </c>
      <c r="AE473">
        <v>308.09541611634234</v>
      </c>
      <c r="AF473">
        <v>929.27299804264089</v>
      </c>
      <c r="AG473">
        <v>2264.709251664734</v>
      </c>
      <c r="AH473">
        <v>10071.99971224822</v>
      </c>
      <c r="AI473">
        <v>12205.568352536147</v>
      </c>
      <c r="AJ473">
        <v>42336.234670323094</v>
      </c>
      <c r="AK473">
        <v>15378.99840823199</v>
      </c>
      <c r="AL473">
        <v>2034.3477281548815</v>
      </c>
      <c r="AM473">
        <v>485.06766436398254</v>
      </c>
      <c r="AO473">
        <v>44348.791486724753</v>
      </c>
      <c r="AP473">
        <v>12.770009708425919</v>
      </c>
      <c r="AQ473">
        <v>48058.642212116305</v>
      </c>
      <c r="AR473">
        <v>12.951860498633799</v>
      </c>
      <c r="AS473" s="2">
        <f t="shared" si="50"/>
        <v>3709.8507253915523</v>
      </c>
      <c r="AT473" s="2">
        <f t="shared" si="51"/>
        <v>0.18185079020788031</v>
      </c>
      <c r="AV473">
        <f t="shared" si="52"/>
        <v>1232652.1793558672</v>
      </c>
      <c r="AW473">
        <f t="shared" si="53"/>
        <v>1247127.4076512635</v>
      </c>
      <c r="AY473">
        <f t="shared" si="54"/>
        <v>0</v>
      </c>
      <c r="AZ473">
        <f t="shared" si="55"/>
        <v>1</v>
      </c>
    </row>
    <row r="474" spans="1:52" x14ac:dyDescent="0.2">
      <c r="A474">
        <f t="shared" si="49"/>
        <v>470</v>
      </c>
      <c r="B474">
        <v>2.4470086292899138E-2</v>
      </c>
      <c r="C474">
        <v>3.9942521625860095E-2</v>
      </c>
      <c r="D474">
        <v>4.9166293984920784E-2</v>
      </c>
      <c r="E474">
        <v>1.2495600384932692E-2</v>
      </c>
      <c r="F474">
        <v>3.2729393131224927E-3</v>
      </c>
      <c r="G474">
        <v>8.8017834148540874E-3</v>
      </c>
      <c r="H474">
        <v>2.0860090321779351E-2</v>
      </c>
      <c r="I474">
        <v>0.12844276355673204</v>
      </c>
      <c r="J474">
        <v>0</v>
      </c>
      <c r="K474">
        <v>0.42214133755283578</v>
      </c>
      <c r="L474">
        <v>0.1929786034230421</v>
      </c>
      <c r="M474">
        <v>0.80702139657695793</v>
      </c>
      <c r="N474">
        <v>7.9200669269872459E-2</v>
      </c>
      <c r="O474" s="72">
        <v>0.99936188507019741</v>
      </c>
      <c r="P474">
        <v>0.99993449470678653</v>
      </c>
      <c r="Q474">
        <v>0.98950443934798848</v>
      </c>
      <c r="R474">
        <v>0.4498474675779639</v>
      </c>
      <c r="S474">
        <v>0.45972668107751113</v>
      </c>
      <c r="T474">
        <v>0.25907212627390686</v>
      </c>
      <c r="U474">
        <v>0.77314532236577049</v>
      </c>
      <c r="V474">
        <v>0.65128202796173729</v>
      </c>
      <c r="W474">
        <v>0.59323069635785175</v>
      </c>
      <c r="X474">
        <v>0.43989341155822087</v>
      </c>
      <c r="Y474">
        <v>0.4274978394542247</v>
      </c>
      <c r="Z474">
        <v>0.47985518742902311</v>
      </c>
      <c r="AA474">
        <v>0.69086239820394635</v>
      </c>
      <c r="AB474">
        <v>0.90869534722146428</v>
      </c>
      <c r="AC474">
        <v>0.64650339875758789</v>
      </c>
      <c r="AD474">
        <v>0.59338453119674017</v>
      </c>
      <c r="AE474">
        <v>170.40990720760897</v>
      </c>
      <c r="AF474">
        <v>1110.6411079957466</v>
      </c>
      <c r="AG474">
        <v>1714.0354836347483</v>
      </c>
      <c r="AH474">
        <v>14067.962354090752</v>
      </c>
      <c r="AI474">
        <v>11606.4337683957</v>
      </c>
      <c r="AJ474">
        <v>39667.225417589041</v>
      </c>
      <c r="AK474">
        <v>10502.404402270087</v>
      </c>
      <c r="AL474">
        <v>2857.0065100217284</v>
      </c>
      <c r="AM474">
        <v>368.33217055658946</v>
      </c>
      <c r="AO474">
        <v>43935.891791213726</v>
      </c>
      <c r="AP474">
        <v>14.29108389317334</v>
      </c>
      <c r="AQ474">
        <v>46174.128909258878</v>
      </c>
      <c r="AR474">
        <v>14.594576503458063</v>
      </c>
      <c r="AS474" s="2">
        <f t="shared" si="50"/>
        <v>2238.2371180451519</v>
      </c>
      <c r="AT474" s="2">
        <f t="shared" si="51"/>
        <v>0.30349261028472263</v>
      </c>
      <c r="AV474">
        <f t="shared" si="52"/>
        <v>1385172.4975261202</v>
      </c>
      <c r="AW474">
        <f t="shared" si="53"/>
        <v>1413283.5214365474</v>
      </c>
      <c r="AY474">
        <f t="shared" si="54"/>
        <v>0</v>
      </c>
      <c r="AZ474">
        <f t="shared" si="55"/>
        <v>1</v>
      </c>
    </row>
    <row r="475" spans="1:52" x14ac:dyDescent="0.2">
      <c r="A475">
        <f t="shared" si="49"/>
        <v>471</v>
      </c>
      <c r="B475">
        <v>2.2414456632581549E-2</v>
      </c>
      <c r="C475">
        <v>3.0914789137750431E-2</v>
      </c>
      <c r="D475">
        <v>4.0116010457846074E-2</v>
      </c>
      <c r="E475">
        <v>7.8247326860415595E-3</v>
      </c>
      <c r="F475">
        <v>3.4087873658630308E-3</v>
      </c>
      <c r="G475">
        <v>2.077019627919563E-2</v>
      </c>
      <c r="H475">
        <v>1.5454254183308076E-2</v>
      </c>
      <c r="I475">
        <v>0.13080552262126366</v>
      </c>
      <c r="J475">
        <v>0</v>
      </c>
      <c r="K475">
        <v>0.42031514126622155</v>
      </c>
      <c r="L475">
        <v>0.23390367159284586</v>
      </c>
      <c r="M475">
        <v>0.76609632840715414</v>
      </c>
      <c r="N475">
        <v>6.9016663603591266E-2</v>
      </c>
      <c r="O475" s="72">
        <v>0.99911892946525016</v>
      </c>
      <c r="P475">
        <v>0.9954199761030339</v>
      </c>
      <c r="Q475">
        <v>0.98828046620768628</v>
      </c>
      <c r="R475">
        <v>0.49005911014253367</v>
      </c>
      <c r="S475">
        <v>0.44559756906302583</v>
      </c>
      <c r="T475">
        <v>0.23170588089630695</v>
      </c>
      <c r="U475">
        <v>0.80113508638052267</v>
      </c>
      <c r="V475">
        <v>0.58605514040805651</v>
      </c>
      <c r="W475">
        <v>0.60053290129358183</v>
      </c>
      <c r="X475">
        <v>0.43835049089009726</v>
      </c>
      <c r="Y475">
        <v>0.48734716188886029</v>
      </c>
      <c r="Z475">
        <v>0.46366344741642174</v>
      </c>
      <c r="AA475">
        <v>0.78479886521380626</v>
      </c>
      <c r="AB475">
        <v>0.7885249078856571</v>
      </c>
      <c r="AC475">
        <v>0.78273449703843889</v>
      </c>
      <c r="AD475">
        <v>0.65236364368441302</v>
      </c>
      <c r="AE475">
        <v>149.2641438134338</v>
      </c>
      <c r="AF475">
        <v>947.23938642836163</v>
      </c>
      <c r="AG475">
        <v>1173.4672458059824</v>
      </c>
      <c r="AH475">
        <v>13915.15357197995</v>
      </c>
      <c r="AI475">
        <v>8603.9186366236154</v>
      </c>
      <c r="AJ475">
        <v>30187.454586816009</v>
      </c>
      <c r="AK475">
        <v>15368.225798223822</v>
      </c>
      <c r="AL475">
        <v>2108.1123116343165</v>
      </c>
      <c r="AM475">
        <v>371.87858134391143</v>
      </c>
      <c r="AO475">
        <v>42176.719403823387</v>
      </c>
      <c r="AP475">
        <v>13.1310013292342</v>
      </c>
      <c r="AQ475">
        <v>46285.1352139269</v>
      </c>
      <c r="AR475">
        <v>13.253843782914727</v>
      </c>
      <c r="AS475" s="2">
        <f t="shared" si="50"/>
        <v>4108.4158101035136</v>
      </c>
      <c r="AT475" s="2">
        <f t="shared" si="51"/>
        <v>0.12284245368052638</v>
      </c>
      <c r="AV475">
        <f t="shared" si="52"/>
        <v>1270923.4135195967</v>
      </c>
      <c r="AW475">
        <f t="shared" si="53"/>
        <v>1279099.2430775457</v>
      </c>
      <c r="AY475">
        <f t="shared" si="54"/>
        <v>0</v>
      </c>
      <c r="AZ475">
        <f t="shared" si="55"/>
        <v>1</v>
      </c>
    </row>
    <row r="476" spans="1:52" x14ac:dyDescent="0.2">
      <c r="A476">
        <f t="shared" si="49"/>
        <v>472</v>
      </c>
      <c r="B476">
        <v>2.0082169023261633E-2</v>
      </c>
      <c r="C476">
        <v>4.0580862640840043E-2</v>
      </c>
      <c r="D476">
        <v>6.7558584705976754E-2</v>
      </c>
      <c r="E476">
        <v>1.5430711441165701E-2</v>
      </c>
      <c r="F476">
        <v>3.3466323719614222E-3</v>
      </c>
      <c r="G476">
        <v>2.0094420053881734E-2</v>
      </c>
      <c r="H476">
        <v>2.2269151660793317E-2</v>
      </c>
      <c r="I476">
        <v>0.12346061333512073</v>
      </c>
      <c r="J476">
        <v>0</v>
      </c>
      <c r="K476">
        <v>0.40408802598196059</v>
      </c>
      <c r="L476">
        <v>0.24771572611876236</v>
      </c>
      <c r="M476">
        <v>0.75228427388123764</v>
      </c>
      <c r="N476">
        <v>6.9820604965548316E-2</v>
      </c>
      <c r="O476" s="72">
        <v>0.99999854731990812</v>
      </c>
      <c r="P476">
        <v>0.85265088058323024</v>
      </c>
      <c r="Q476">
        <v>0.97944867986236783</v>
      </c>
      <c r="R476">
        <v>0.46458076989328334</v>
      </c>
      <c r="S476">
        <v>0.38773008147169652</v>
      </c>
      <c r="T476">
        <v>0.28604942466857319</v>
      </c>
      <c r="U476">
        <v>0.77918813334770964</v>
      </c>
      <c r="V476">
        <v>0.67381377336949566</v>
      </c>
      <c r="W476">
        <v>0.59347606589670288</v>
      </c>
      <c r="X476">
        <v>0.44657001068356139</v>
      </c>
      <c r="Y476">
        <v>0.4496651124998074</v>
      </c>
      <c r="Z476">
        <v>0.49762021402597767</v>
      </c>
      <c r="AA476">
        <v>0.70192307765491435</v>
      </c>
      <c r="AB476">
        <v>0.88758930685452198</v>
      </c>
      <c r="AC476">
        <v>0.76503573419405735</v>
      </c>
      <c r="AD476">
        <v>0.58968333345728297</v>
      </c>
      <c r="AE476">
        <v>186.00933790429653</v>
      </c>
      <c r="AF476">
        <v>1000.739298670639</v>
      </c>
      <c r="AG476">
        <v>2046.9499895929705</v>
      </c>
      <c r="AH476">
        <v>14230.848765906678</v>
      </c>
      <c r="AI476">
        <v>8166.8844935921134</v>
      </c>
      <c r="AJ476">
        <v>43969.582760752128</v>
      </c>
      <c r="AK476">
        <v>8687.8380362729822</v>
      </c>
      <c r="AL476">
        <v>1607.0102700886498</v>
      </c>
      <c r="AM476">
        <v>500.81820027298284</v>
      </c>
      <c r="AO476">
        <v>45461.739219273099</v>
      </c>
      <c r="AP476">
        <v>14.251430256448847</v>
      </c>
      <c r="AQ476">
        <v>53577.899556600169</v>
      </c>
      <c r="AR476">
        <v>14.490109982038913</v>
      </c>
      <c r="AS476" s="2">
        <f t="shared" si="50"/>
        <v>8116.16033732707</v>
      </c>
      <c r="AT476" s="2">
        <f t="shared" si="51"/>
        <v>0.23867972559006567</v>
      </c>
      <c r="AV476">
        <f t="shared" si="52"/>
        <v>1379681.2864256115</v>
      </c>
      <c r="AW476">
        <f t="shared" si="53"/>
        <v>1395433.0986472911</v>
      </c>
      <c r="AY476">
        <f t="shared" si="54"/>
        <v>0</v>
      </c>
      <c r="AZ476">
        <f t="shared" si="55"/>
        <v>1</v>
      </c>
    </row>
    <row r="477" spans="1:52" x14ac:dyDescent="0.2">
      <c r="A477">
        <f t="shared" si="49"/>
        <v>473</v>
      </c>
      <c r="B477">
        <v>2.9449626226574988E-2</v>
      </c>
      <c r="C477">
        <v>5.2230558472804667E-2</v>
      </c>
      <c r="D477">
        <v>3.2302101892554579E-2</v>
      </c>
      <c r="E477">
        <v>4.6572242222662541E-2</v>
      </c>
      <c r="F477">
        <v>3.3287975574993033E-3</v>
      </c>
      <c r="G477">
        <v>1.7154544867685639E-2</v>
      </c>
      <c r="H477">
        <v>3.5939884176450221E-2</v>
      </c>
      <c r="I477">
        <v>0.10818339390751865</v>
      </c>
      <c r="J477">
        <v>0</v>
      </c>
      <c r="K477">
        <v>0.39052157717845404</v>
      </c>
      <c r="L477">
        <v>0.19407065604087997</v>
      </c>
      <c r="M477">
        <v>0.80592934395911997</v>
      </c>
      <c r="N477">
        <v>7.1715326301534321E-2</v>
      </c>
      <c r="O477" s="72">
        <v>0.99916009135689154</v>
      </c>
      <c r="P477">
        <v>0.9991520826758542</v>
      </c>
      <c r="Q477">
        <v>0.93893715726195126</v>
      </c>
      <c r="R477">
        <v>0.48789768073027728</v>
      </c>
      <c r="S477">
        <v>0.41207526146855855</v>
      </c>
      <c r="T477">
        <v>0.25842704034336939</v>
      </c>
      <c r="U477">
        <v>0.76455291798501324</v>
      </c>
      <c r="V477">
        <v>0.69680128841611477</v>
      </c>
      <c r="W477">
        <v>0.38376530845514056</v>
      </c>
      <c r="X477">
        <v>0.45765669084944083</v>
      </c>
      <c r="Y477">
        <v>0.46120752018133571</v>
      </c>
      <c r="Z477">
        <v>0.40929284663075094</v>
      </c>
      <c r="AA477">
        <v>0.77073828352735752</v>
      </c>
      <c r="AB477">
        <v>0.82417337869905571</v>
      </c>
      <c r="AC477">
        <v>0.74006470530105117</v>
      </c>
      <c r="AD477">
        <v>0.54852418965335159</v>
      </c>
      <c r="AE477">
        <v>127.47707136757037</v>
      </c>
      <c r="AF477">
        <v>1034.7059677888508</v>
      </c>
      <c r="AG477">
        <v>1264.503678900563</v>
      </c>
      <c r="AH477">
        <v>13936.930143716845</v>
      </c>
      <c r="AI477">
        <v>10324.17805901602</v>
      </c>
      <c r="AJ477">
        <v>41682.32455581423</v>
      </c>
      <c r="AK477">
        <v>22039.437403604221</v>
      </c>
      <c r="AL477">
        <v>1972.0864994357967</v>
      </c>
      <c r="AM477">
        <v>320.36360908456572</v>
      </c>
      <c r="AO477">
        <v>41313.2593133068</v>
      </c>
      <c r="AP477">
        <v>13.28664758019347</v>
      </c>
      <c r="AQ477">
        <v>45571.696093871637</v>
      </c>
      <c r="AR477">
        <v>13.528481640531954</v>
      </c>
      <c r="AS477" s="2">
        <f t="shared" si="50"/>
        <v>4258.4367805648362</v>
      </c>
      <c r="AT477" s="2">
        <f t="shared" si="51"/>
        <v>0.24183406033848343</v>
      </c>
      <c r="AV477">
        <f t="shared" si="52"/>
        <v>1287351.4987060402</v>
      </c>
      <c r="AW477">
        <f t="shared" si="53"/>
        <v>1307276.4679593237</v>
      </c>
      <c r="AY477">
        <f t="shared" si="54"/>
        <v>0</v>
      </c>
      <c r="AZ477">
        <f t="shared" si="55"/>
        <v>1</v>
      </c>
    </row>
    <row r="478" spans="1:52" x14ac:dyDescent="0.2">
      <c r="A478">
        <f t="shared" si="49"/>
        <v>474</v>
      </c>
      <c r="B478">
        <v>2.475432137198931E-2</v>
      </c>
      <c r="C478">
        <v>3.0646485832780436E-2</v>
      </c>
      <c r="D478">
        <v>3.0436776646966375E-2</v>
      </c>
      <c r="E478">
        <v>1.2580845908330196E-2</v>
      </c>
      <c r="F478">
        <v>3.4189529186041678E-3</v>
      </c>
      <c r="G478">
        <v>2.6227799106977256E-2</v>
      </c>
      <c r="H478">
        <v>3.4212117753328442E-2</v>
      </c>
      <c r="I478">
        <v>0.13900132107765995</v>
      </c>
      <c r="J478">
        <v>0</v>
      </c>
      <c r="K478">
        <v>0.39201238919510217</v>
      </c>
      <c r="L478">
        <v>0.22912413582529323</v>
      </c>
      <c r="M478">
        <v>0.77087586417470677</v>
      </c>
      <c r="N478">
        <v>6.38588340562396E-2</v>
      </c>
      <c r="O478" s="72">
        <v>0.99897487527890583</v>
      </c>
      <c r="P478">
        <v>0.99988270775829746</v>
      </c>
      <c r="Q478">
        <v>0.90097593090332717</v>
      </c>
      <c r="R478">
        <v>0.49067249898396281</v>
      </c>
      <c r="S478">
        <v>0.30524262407013236</v>
      </c>
      <c r="T478">
        <v>0.40643327095115278</v>
      </c>
      <c r="U478">
        <v>0.77049404254852039</v>
      </c>
      <c r="V478">
        <v>0.69534197514153728</v>
      </c>
      <c r="W478">
        <v>0.50919122026414798</v>
      </c>
      <c r="X478">
        <v>0.47570041425856391</v>
      </c>
      <c r="Y478">
        <v>0.43819484823385452</v>
      </c>
      <c r="Z478">
        <v>0.41874509019091793</v>
      </c>
      <c r="AA478">
        <v>0.70497832045771203</v>
      </c>
      <c r="AB478">
        <v>0.7902904692076913</v>
      </c>
      <c r="AC478">
        <v>0.63916780712398558</v>
      </c>
      <c r="AD478">
        <v>0.5903077411920975</v>
      </c>
      <c r="AE478">
        <v>211.02011020980484</v>
      </c>
      <c r="AF478">
        <v>1108.0630439911845</v>
      </c>
      <c r="AG478">
        <v>1426.0652382597282</v>
      </c>
      <c r="AH478">
        <v>10778.973606307387</v>
      </c>
      <c r="AI478">
        <v>11023.545601540329</v>
      </c>
      <c r="AJ478">
        <v>39746.035471561372</v>
      </c>
      <c r="AK478">
        <v>17348.4515343081</v>
      </c>
      <c r="AL478">
        <v>1951.2928202950336</v>
      </c>
      <c r="AM478">
        <v>450.39691245296603</v>
      </c>
      <c r="AO478">
        <v>42964.280185770796</v>
      </c>
      <c r="AP478">
        <v>12.833524834353936</v>
      </c>
      <c r="AQ478">
        <v>47722.064574840144</v>
      </c>
      <c r="AR478">
        <v>12.931447900362492</v>
      </c>
      <c r="AS478" s="2">
        <f t="shared" si="50"/>
        <v>4757.7843890693475</v>
      </c>
      <c r="AT478" s="2">
        <f t="shared" si="51"/>
        <v>9.7923066008556603E-2</v>
      </c>
      <c r="AV478">
        <f t="shared" si="52"/>
        <v>1240388.2032496228</v>
      </c>
      <c r="AW478">
        <f t="shared" si="53"/>
        <v>1245422.725461409</v>
      </c>
      <c r="AY478">
        <f t="shared" si="54"/>
        <v>0</v>
      </c>
      <c r="AZ478">
        <f t="shared" si="55"/>
        <v>1</v>
      </c>
    </row>
    <row r="479" spans="1:52" x14ac:dyDescent="0.2">
      <c r="A479">
        <f t="shared" si="49"/>
        <v>475</v>
      </c>
      <c r="B479">
        <v>2.130261048464618E-2</v>
      </c>
      <c r="C479">
        <v>2.958823272482786E-2</v>
      </c>
      <c r="D479">
        <v>5.8383852096359878E-2</v>
      </c>
      <c r="E479">
        <v>1.3642104728816551E-2</v>
      </c>
      <c r="F479">
        <v>3.3551622623592126E-3</v>
      </c>
      <c r="G479">
        <v>7.9327694004530554E-3</v>
      </c>
      <c r="H479">
        <v>2.9051372510829232E-2</v>
      </c>
      <c r="I479">
        <v>0.14997328965092049</v>
      </c>
      <c r="J479">
        <v>0</v>
      </c>
      <c r="K479">
        <v>0.42205482623236373</v>
      </c>
      <c r="L479">
        <v>0.3220851945073685</v>
      </c>
      <c r="M479">
        <v>0.6779148054926315</v>
      </c>
      <c r="N479">
        <v>5.7405515109172023E-2</v>
      </c>
      <c r="O479" s="72">
        <v>0.99961927931253336</v>
      </c>
      <c r="P479">
        <v>0.99941385549688588</v>
      </c>
      <c r="Q479">
        <v>0.95716446138822442</v>
      </c>
      <c r="R479">
        <v>0.44406941587768123</v>
      </c>
      <c r="S479">
        <v>0.37696102660521913</v>
      </c>
      <c r="T479">
        <v>0.20624991911399515</v>
      </c>
      <c r="U479">
        <v>0.76368978006557742</v>
      </c>
      <c r="V479">
        <v>0.67637878022305142</v>
      </c>
      <c r="W479">
        <v>0.52557937779251029</v>
      </c>
      <c r="X479">
        <v>0.43570998311260073</v>
      </c>
      <c r="Y479">
        <v>0.43313688275082995</v>
      </c>
      <c r="Z479">
        <v>0.48326504409897297</v>
      </c>
      <c r="AA479">
        <v>0.74470487941315033</v>
      </c>
      <c r="AB479">
        <v>0.73757670723106006</v>
      </c>
      <c r="AC479">
        <v>0.6876006715241082</v>
      </c>
      <c r="AD479">
        <v>0.68214376521423237</v>
      </c>
      <c r="AE479">
        <v>195.57621465953929</v>
      </c>
      <c r="AF479">
        <v>1101.2464445997573</v>
      </c>
      <c r="AG479">
        <v>2357.6184636800517</v>
      </c>
      <c r="AH479">
        <v>10893.064082917052</v>
      </c>
      <c r="AI479">
        <v>15198.532180066188</v>
      </c>
      <c r="AJ479">
        <v>38012.974454092226</v>
      </c>
      <c r="AK479">
        <v>14084.302196385512</v>
      </c>
      <c r="AL479">
        <v>2110.1124416237185</v>
      </c>
      <c r="AM479">
        <v>391.25032119762466</v>
      </c>
      <c r="AO479">
        <v>46361.741320902911</v>
      </c>
      <c r="AP479">
        <v>12.243948686239563</v>
      </c>
      <c r="AQ479">
        <v>46656.387673346493</v>
      </c>
      <c r="AR479">
        <v>12.41365904008692</v>
      </c>
      <c r="AS479" s="2">
        <f t="shared" si="50"/>
        <v>294.64635244358215</v>
      </c>
      <c r="AT479" s="2">
        <f t="shared" si="51"/>
        <v>0.169710353847357</v>
      </c>
      <c r="AV479">
        <f t="shared" si="52"/>
        <v>1178033.1273030534</v>
      </c>
      <c r="AW479">
        <f t="shared" si="53"/>
        <v>1194709.5163353453</v>
      </c>
      <c r="AY479">
        <f t="shared" si="54"/>
        <v>0</v>
      </c>
      <c r="AZ479">
        <f t="shared" si="55"/>
        <v>1</v>
      </c>
    </row>
    <row r="480" spans="1:52" x14ac:dyDescent="0.2">
      <c r="A480">
        <f t="shared" si="49"/>
        <v>476</v>
      </c>
      <c r="B480">
        <v>3.1298916206137672E-2</v>
      </c>
      <c r="C480">
        <v>2.7438225133147521E-2</v>
      </c>
      <c r="D480">
        <v>2.2318959539727724E-2</v>
      </c>
      <c r="E480">
        <v>1.4098729566117241E-2</v>
      </c>
      <c r="F480">
        <v>3.2603550906119402E-3</v>
      </c>
      <c r="G480">
        <v>1.44720732861916E-2</v>
      </c>
      <c r="H480">
        <v>4.8877039119840537E-2</v>
      </c>
      <c r="I480">
        <v>0.1110756565527049</v>
      </c>
      <c r="J480">
        <v>0</v>
      </c>
      <c r="K480">
        <v>0.47952278161071815</v>
      </c>
      <c r="L480">
        <v>0.27445662148212802</v>
      </c>
      <c r="M480">
        <v>0.72554337851787198</v>
      </c>
      <c r="N480">
        <v>5.2142574529256587E-2</v>
      </c>
      <c r="O480" s="72">
        <v>0.9950510820341637</v>
      </c>
      <c r="P480">
        <v>0.99951399483279868</v>
      </c>
      <c r="Q480">
        <v>0.99301640672515645</v>
      </c>
      <c r="R480">
        <v>0.48190654620987738</v>
      </c>
      <c r="S480">
        <v>0.45946433108437801</v>
      </c>
      <c r="T480">
        <v>0.15972806491238067</v>
      </c>
      <c r="U480">
        <v>0.75668623776290544</v>
      </c>
      <c r="V480">
        <v>0.67537331562595104</v>
      </c>
      <c r="W480">
        <v>0.54851941017477912</v>
      </c>
      <c r="X480">
        <v>0.46381692056762702</v>
      </c>
      <c r="Y480">
        <v>0.40861792171925121</v>
      </c>
      <c r="Z480">
        <v>0.4338573989963645</v>
      </c>
      <c r="AA480">
        <v>0.67731995844206017</v>
      </c>
      <c r="AB480">
        <v>0.83936573153190797</v>
      </c>
      <c r="AC480">
        <v>0.70252531710027033</v>
      </c>
      <c r="AD480">
        <v>0.67950036282353343</v>
      </c>
      <c r="AE480">
        <v>216.4438117237566</v>
      </c>
      <c r="AF480">
        <v>1206.453368161257</v>
      </c>
      <c r="AG480">
        <v>1126.2133231730156</v>
      </c>
      <c r="AH480">
        <v>15098.645281070885</v>
      </c>
      <c r="AI480">
        <v>10232.218868823033</v>
      </c>
      <c r="AJ480">
        <v>40984.356862874149</v>
      </c>
      <c r="AK480">
        <v>9152.1950045475332</v>
      </c>
      <c r="AL480">
        <v>1755.6894167866517</v>
      </c>
      <c r="AM480">
        <v>456.21539911393506</v>
      </c>
      <c r="AO480">
        <v>45654.029073175021</v>
      </c>
      <c r="AP480">
        <v>13.596074508653595</v>
      </c>
      <c r="AQ480">
        <v>47596.357191018447</v>
      </c>
      <c r="AR480">
        <v>13.854452820557352</v>
      </c>
      <c r="AS480" s="2">
        <f t="shared" si="50"/>
        <v>1942.3281178434263</v>
      </c>
      <c r="AT480" s="2">
        <f t="shared" si="51"/>
        <v>0.2583783119037566</v>
      </c>
      <c r="AV480">
        <f t="shared" si="52"/>
        <v>1313953.4217921845</v>
      </c>
      <c r="AW480">
        <f t="shared" si="53"/>
        <v>1337848.9248647166</v>
      </c>
      <c r="AY480">
        <f t="shared" si="54"/>
        <v>0</v>
      </c>
      <c r="AZ480">
        <f t="shared" si="55"/>
        <v>1</v>
      </c>
    </row>
    <row r="481" spans="1:52" x14ac:dyDescent="0.2">
      <c r="A481">
        <f t="shared" si="49"/>
        <v>477</v>
      </c>
      <c r="B481">
        <v>2.7978242451569657E-2</v>
      </c>
      <c r="C481">
        <v>3.5125365430309329E-2</v>
      </c>
      <c r="D481">
        <v>5.7616746634853611E-2</v>
      </c>
      <c r="E481">
        <v>7.498922509808912E-3</v>
      </c>
      <c r="F481">
        <v>3.3497232556718437E-3</v>
      </c>
      <c r="G481">
        <v>1.2831327704366569E-2</v>
      </c>
      <c r="H481">
        <v>1.7629860964292879E-2</v>
      </c>
      <c r="I481">
        <v>0.12212251080580135</v>
      </c>
      <c r="J481">
        <v>0</v>
      </c>
      <c r="K481">
        <v>0.44603541195159357</v>
      </c>
      <c r="L481">
        <v>0.14994167642389697</v>
      </c>
      <c r="M481">
        <v>0.850058323576103</v>
      </c>
      <c r="N481">
        <v>3.385110946833618E-2</v>
      </c>
      <c r="O481" s="72">
        <v>0.99909955927946315</v>
      </c>
      <c r="P481">
        <v>0.99206191524208531</v>
      </c>
      <c r="Q481">
        <v>0.98913757259095292</v>
      </c>
      <c r="R481">
        <v>0.42114075499611892</v>
      </c>
      <c r="S481">
        <v>0.53554610638108724</v>
      </c>
      <c r="T481">
        <v>0.25177473340282408</v>
      </c>
      <c r="U481">
        <v>0.7871270437170792</v>
      </c>
      <c r="V481">
        <v>0.67087184761717378</v>
      </c>
      <c r="W481">
        <v>0.53785491707733601</v>
      </c>
      <c r="X481">
        <v>0.4396641086281442</v>
      </c>
      <c r="Y481">
        <v>0.50243870214076103</v>
      </c>
      <c r="Z481">
        <v>0.43679248444852203</v>
      </c>
      <c r="AA481">
        <v>0.63994083502688415</v>
      </c>
      <c r="AB481">
        <v>0.81985498165008697</v>
      </c>
      <c r="AC481">
        <v>0.75084251194204454</v>
      </c>
      <c r="AD481">
        <v>0.60738538796673658</v>
      </c>
      <c r="AE481">
        <v>177.91317313773351</v>
      </c>
      <c r="AF481">
        <v>1018.6055202694881</v>
      </c>
      <c r="AG481">
        <v>2053.5838996989523</v>
      </c>
      <c r="AH481">
        <v>15122.466560760236</v>
      </c>
      <c r="AI481">
        <v>15546.070515497811</v>
      </c>
      <c r="AJ481">
        <v>38228.310249646223</v>
      </c>
      <c r="AK481">
        <v>18334.738768977841</v>
      </c>
      <c r="AL481">
        <v>1691.8771177563115</v>
      </c>
      <c r="AM481">
        <v>345.26210643045721</v>
      </c>
      <c r="AO481">
        <v>45054.553062082341</v>
      </c>
      <c r="AP481">
        <v>13.387940184214735</v>
      </c>
      <c r="AQ481">
        <v>46125.089923264473</v>
      </c>
      <c r="AR481">
        <v>13.569904665167305</v>
      </c>
      <c r="AS481" s="2">
        <f t="shared" si="50"/>
        <v>1070.5368611821323</v>
      </c>
      <c r="AT481" s="2">
        <f t="shared" si="51"/>
        <v>0.1819644809525709</v>
      </c>
      <c r="AV481">
        <f t="shared" si="52"/>
        <v>1293739.4653593912</v>
      </c>
      <c r="AW481">
        <f t="shared" si="53"/>
        <v>1310865.3765934661</v>
      </c>
      <c r="AY481">
        <f t="shared" si="54"/>
        <v>0</v>
      </c>
      <c r="AZ481">
        <f t="shared" si="55"/>
        <v>1</v>
      </c>
    </row>
    <row r="482" spans="1:52" x14ac:dyDescent="0.2">
      <c r="A482">
        <f t="shared" si="49"/>
        <v>478</v>
      </c>
      <c r="B482">
        <v>2.5803520043208961E-2</v>
      </c>
      <c r="C482">
        <v>3.8934817216541129E-2</v>
      </c>
      <c r="D482">
        <v>4.9111368872338135E-2</v>
      </c>
      <c r="E482">
        <v>2.1434380542504128E-2</v>
      </c>
      <c r="F482">
        <v>3.4081747591157008E-3</v>
      </c>
      <c r="G482">
        <v>1.3612563139308143E-2</v>
      </c>
      <c r="H482">
        <v>2.8822859451481442E-2</v>
      </c>
      <c r="I482">
        <v>0.13913585268919459</v>
      </c>
      <c r="J482">
        <v>0</v>
      </c>
      <c r="K482">
        <v>0.39812111003913148</v>
      </c>
      <c r="L482">
        <v>0.27609569392557265</v>
      </c>
      <c r="M482">
        <v>0.72390430607442735</v>
      </c>
      <c r="N482">
        <v>5.3594657839433096E-2</v>
      </c>
      <c r="O482" s="72">
        <v>0.99998910327272461</v>
      </c>
      <c r="P482">
        <v>0.99902882743131849</v>
      </c>
      <c r="Q482">
        <v>0.9758793766556807</v>
      </c>
      <c r="R482">
        <v>0.47963932537317011</v>
      </c>
      <c r="S482">
        <v>0.42864085120071427</v>
      </c>
      <c r="T482">
        <v>0.18274620188956792</v>
      </c>
      <c r="U482">
        <v>0.78704568681899079</v>
      </c>
      <c r="V482">
        <v>0.69553204873129015</v>
      </c>
      <c r="W482">
        <v>0.55490020103268689</v>
      </c>
      <c r="X482">
        <v>0.45749767958892007</v>
      </c>
      <c r="Y482">
        <v>0.45771411148157193</v>
      </c>
      <c r="Z482">
        <v>0.41235854516768727</v>
      </c>
      <c r="AA482">
        <v>0.73416984347120262</v>
      </c>
      <c r="AB482">
        <v>0.83509147578555898</v>
      </c>
      <c r="AC482">
        <v>0.69933259865944786</v>
      </c>
      <c r="AD482">
        <v>0.60289497760759725</v>
      </c>
      <c r="AE482">
        <v>174.71797458055872</v>
      </c>
      <c r="AF482">
        <v>1114.7036984992467</v>
      </c>
      <c r="AG482">
        <v>1690.1861022308628</v>
      </c>
      <c r="AH482">
        <v>12152.810670936375</v>
      </c>
      <c r="AI482">
        <v>10270.877036515343</v>
      </c>
      <c r="AJ482">
        <v>37465.662994024773</v>
      </c>
      <c r="AK482">
        <v>8833.2105278153667</v>
      </c>
      <c r="AL482">
        <v>1422.8724648544801</v>
      </c>
      <c r="AM482">
        <v>286.76959398668077</v>
      </c>
      <c r="AO482">
        <v>42656.956119747592</v>
      </c>
      <c r="AP482">
        <v>13.442800747405487</v>
      </c>
      <c r="AQ482">
        <v>44918.361710498539</v>
      </c>
      <c r="AR482">
        <v>13.680915754181155</v>
      </c>
      <c r="AS482" s="2">
        <f t="shared" si="50"/>
        <v>2261.4055907509464</v>
      </c>
      <c r="AT482" s="2">
        <f t="shared" si="51"/>
        <v>0.23811500677566855</v>
      </c>
      <c r="AV482">
        <f t="shared" si="52"/>
        <v>1301623.118620801</v>
      </c>
      <c r="AW482">
        <f t="shared" si="53"/>
        <v>1323173.213707617</v>
      </c>
      <c r="AY482">
        <f t="shared" si="54"/>
        <v>0</v>
      </c>
      <c r="AZ482">
        <f t="shared" si="55"/>
        <v>1</v>
      </c>
    </row>
    <row r="483" spans="1:52" x14ac:dyDescent="0.2">
      <c r="A483">
        <f t="shared" si="49"/>
        <v>479</v>
      </c>
      <c r="B483">
        <v>2.3283829858215078E-2</v>
      </c>
      <c r="C483">
        <v>3.0074489374471058E-2</v>
      </c>
      <c r="D483">
        <v>4.8996548831527487E-2</v>
      </c>
      <c r="E483">
        <v>4.881277494968154E-3</v>
      </c>
      <c r="F483">
        <v>3.3956594032883425E-3</v>
      </c>
      <c r="G483">
        <v>6.9575839918861208E-3</v>
      </c>
      <c r="H483">
        <v>3.6713627619710532E-2</v>
      </c>
      <c r="I483">
        <v>0.14347018432647918</v>
      </c>
      <c r="J483">
        <v>0</v>
      </c>
      <c r="K483">
        <v>0.4453250969672623</v>
      </c>
      <c r="L483">
        <v>0.17301304139822279</v>
      </c>
      <c r="M483">
        <v>0.82698695860177718</v>
      </c>
      <c r="N483">
        <v>5.8467362343692986E-2</v>
      </c>
      <c r="O483" s="72">
        <v>0.98663082231541666</v>
      </c>
      <c r="P483">
        <v>0.99921609643993636</v>
      </c>
      <c r="Q483">
        <v>0.97709295450963185</v>
      </c>
      <c r="R483">
        <v>0.47109678685156042</v>
      </c>
      <c r="S483">
        <v>0.4266246613755289</v>
      </c>
      <c r="T483">
        <v>0.24950185333151298</v>
      </c>
      <c r="U483">
        <v>0.79806634099413409</v>
      </c>
      <c r="V483">
        <v>0.66815398426211858</v>
      </c>
      <c r="W483">
        <v>0.54289643424239009</v>
      </c>
      <c r="X483">
        <v>0.45145276863379313</v>
      </c>
      <c r="Y483">
        <v>0.51605357780665917</v>
      </c>
      <c r="Z483">
        <v>0.41465833772044941</v>
      </c>
      <c r="AA483">
        <v>0.67825780885611398</v>
      </c>
      <c r="AB483">
        <v>0.85537574415682971</v>
      </c>
      <c r="AC483">
        <v>0.76418249854678866</v>
      </c>
      <c r="AD483">
        <v>0.58544174958430617</v>
      </c>
      <c r="AE483">
        <v>248.25673823884614</v>
      </c>
      <c r="AF483">
        <v>1042.8750424921457</v>
      </c>
      <c r="AG483">
        <v>1523.9785325396308</v>
      </c>
      <c r="AH483">
        <v>15283.682375286742</v>
      </c>
      <c r="AI483">
        <v>10584.12061175638</v>
      </c>
      <c r="AJ483">
        <v>39137.789961238428</v>
      </c>
      <c r="AK483">
        <v>11347.523671607156</v>
      </c>
      <c r="AL483">
        <v>2880.8172216699099</v>
      </c>
      <c r="AM483">
        <v>469.94718753819376</v>
      </c>
      <c r="AO483">
        <v>44853.218054211728</v>
      </c>
      <c r="AP483">
        <v>13.873396946817806</v>
      </c>
      <c r="AQ483">
        <v>47942.951664164313</v>
      </c>
      <c r="AR483">
        <v>14.056074857753677</v>
      </c>
      <c r="AS483" s="2">
        <f t="shared" si="50"/>
        <v>3089.7336099525855</v>
      </c>
      <c r="AT483" s="2">
        <f t="shared" si="51"/>
        <v>0.18267791093587071</v>
      </c>
      <c r="AV483">
        <f t="shared" si="52"/>
        <v>1342486.4766275689</v>
      </c>
      <c r="AW483">
        <f t="shared" si="53"/>
        <v>1357664.5341112032</v>
      </c>
      <c r="AY483">
        <f t="shared" si="54"/>
        <v>0</v>
      </c>
      <c r="AZ483">
        <f t="shared" si="55"/>
        <v>1</v>
      </c>
    </row>
    <row r="484" spans="1:52" x14ac:dyDescent="0.2">
      <c r="A484">
        <f t="shared" si="49"/>
        <v>480</v>
      </c>
      <c r="B484">
        <v>2.6741536892997853E-2</v>
      </c>
      <c r="C484">
        <v>3.0762080179127332E-2</v>
      </c>
      <c r="D484">
        <v>5.6721427048296191E-2</v>
      </c>
      <c r="E484">
        <v>7.1295294071670439E-3</v>
      </c>
      <c r="F484">
        <v>3.4198013987366549E-3</v>
      </c>
      <c r="G484">
        <v>2.9141076286689716E-2</v>
      </c>
      <c r="H484">
        <v>2.2495681387145756E-2</v>
      </c>
      <c r="I484">
        <v>0.1279055382614159</v>
      </c>
      <c r="J484">
        <v>0</v>
      </c>
      <c r="K484">
        <v>0.39884552418178493</v>
      </c>
      <c r="L484">
        <v>0.1525558249603273</v>
      </c>
      <c r="M484">
        <v>0.84744417503967273</v>
      </c>
      <c r="N484">
        <v>7.0495359870923924E-2</v>
      </c>
      <c r="O484" s="72">
        <v>0.99866666946150018</v>
      </c>
      <c r="P484">
        <v>0.99260333625931407</v>
      </c>
      <c r="Q484">
        <v>0.96167151872075973</v>
      </c>
      <c r="R484">
        <v>0.55363104964592647</v>
      </c>
      <c r="S484">
        <v>0.41073523536269374</v>
      </c>
      <c r="T484">
        <v>0.17092528918691996</v>
      </c>
      <c r="U484">
        <v>0.78933367719808734</v>
      </c>
      <c r="V484">
        <v>0.71946269656026729</v>
      </c>
      <c r="W484">
        <v>0.48549012913605971</v>
      </c>
      <c r="X484">
        <v>0.46546936702374164</v>
      </c>
      <c r="Y484">
        <v>0.45160252525703548</v>
      </c>
      <c r="Z484">
        <v>0.45516910589711279</v>
      </c>
      <c r="AA484">
        <v>0.69596543923717591</v>
      </c>
      <c r="AB484">
        <v>0.85114955517267954</v>
      </c>
      <c r="AC484">
        <v>0.81770248061037654</v>
      </c>
      <c r="AD484">
        <v>0.61624562091827517</v>
      </c>
      <c r="AE484">
        <v>176.44078825743003</v>
      </c>
      <c r="AF484">
        <v>827.9222688273361</v>
      </c>
      <c r="AG484">
        <v>1534.0841883155456</v>
      </c>
      <c r="AH484">
        <v>13467.123325802082</v>
      </c>
      <c r="AI484">
        <v>9874.4021531728849</v>
      </c>
      <c r="AJ484">
        <v>40262.458314612501</v>
      </c>
      <c r="AK484">
        <v>20653.565690522009</v>
      </c>
      <c r="AL484">
        <v>3722.825098968543</v>
      </c>
      <c r="AM484">
        <v>347.69891851674555</v>
      </c>
      <c r="AO484">
        <v>40950.544135343356</v>
      </c>
      <c r="AP484">
        <v>13.901488252145501</v>
      </c>
      <c r="AQ484">
        <v>46131.045985023331</v>
      </c>
      <c r="AR484">
        <v>14.134821564966867</v>
      </c>
      <c r="AS484" s="2">
        <f t="shared" si="50"/>
        <v>5180.5018496799748</v>
      </c>
      <c r="AT484" s="2">
        <f t="shared" si="51"/>
        <v>0.23333331282136527</v>
      </c>
      <c r="AV484">
        <f t="shared" si="52"/>
        <v>1349198.2810792068</v>
      </c>
      <c r="AW484">
        <f t="shared" si="53"/>
        <v>1367351.1105116634</v>
      </c>
      <c r="AY484">
        <f t="shared" si="54"/>
        <v>0</v>
      </c>
      <c r="AZ484">
        <f t="shared" si="55"/>
        <v>1</v>
      </c>
    </row>
    <row r="485" spans="1:52" x14ac:dyDescent="0.2">
      <c r="A485">
        <f t="shared" si="49"/>
        <v>481</v>
      </c>
      <c r="B485">
        <v>2.2870782535169054E-2</v>
      </c>
      <c r="C485">
        <v>4.1794497845615841E-2</v>
      </c>
      <c r="D485">
        <v>3.9793044281360546E-2</v>
      </c>
      <c r="E485">
        <v>3.9058625517333014E-3</v>
      </c>
      <c r="F485">
        <v>3.4149358441623034E-3</v>
      </c>
      <c r="G485">
        <v>1.8001340957325529E-2</v>
      </c>
      <c r="H485">
        <v>6.0073193261649394E-2</v>
      </c>
      <c r="I485">
        <v>0.13315975812538172</v>
      </c>
      <c r="J485">
        <v>0</v>
      </c>
      <c r="K485">
        <v>0.42959226228953928</v>
      </c>
      <c r="L485">
        <v>0.25636131912100935</v>
      </c>
      <c r="M485">
        <v>0.74363868087899065</v>
      </c>
      <c r="N485">
        <v>5.8121968853995676E-2</v>
      </c>
      <c r="O485" s="72">
        <v>0.99546920245757686</v>
      </c>
      <c r="P485">
        <v>0.99989809725728773</v>
      </c>
      <c r="Q485">
        <v>0.96743089283168404</v>
      </c>
      <c r="R485">
        <v>0.50485910087005159</v>
      </c>
      <c r="S485">
        <v>0.52775748622721763</v>
      </c>
      <c r="T485">
        <v>0.21726564254601732</v>
      </c>
      <c r="U485">
        <v>0.7676281235557979</v>
      </c>
      <c r="V485">
        <v>0.66895701823913944</v>
      </c>
      <c r="W485">
        <v>0.61483610853162529</v>
      </c>
      <c r="X485">
        <v>0.47999371870906171</v>
      </c>
      <c r="Y485">
        <v>0.40797295264316902</v>
      </c>
      <c r="Z485">
        <v>0.47349151637182096</v>
      </c>
      <c r="AA485">
        <v>0.68989136384794048</v>
      </c>
      <c r="AB485">
        <v>0.73835812474711393</v>
      </c>
      <c r="AC485">
        <v>0.66957629252027828</v>
      </c>
      <c r="AD485">
        <v>0.65205809964361583</v>
      </c>
      <c r="AE485">
        <v>194.58985944949774</v>
      </c>
      <c r="AF485">
        <v>878.49355687726074</v>
      </c>
      <c r="AG485">
        <v>2131.0544392863471</v>
      </c>
      <c r="AH485">
        <v>15333.979123565079</v>
      </c>
      <c r="AI485">
        <v>9164.7236575920579</v>
      </c>
      <c r="AJ485">
        <v>44666.511264940971</v>
      </c>
      <c r="AK485">
        <v>13242.922734565822</v>
      </c>
      <c r="AL485">
        <v>1953.1769135365259</v>
      </c>
      <c r="AM485">
        <v>472.05695959988054</v>
      </c>
      <c r="AO485">
        <v>43099.674641254642</v>
      </c>
      <c r="AP485">
        <v>12.273514226130077</v>
      </c>
      <c r="AQ485">
        <v>47947.117454543506</v>
      </c>
      <c r="AR485">
        <v>12.354305071023173</v>
      </c>
      <c r="AS485" s="2">
        <f t="shared" si="50"/>
        <v>4847.4428132888643</v>
      </c>
      <c r="AT485" s="2">
        <f t="shared" si="51"/>
        <v>8.0790844893096292E-2</v>
      </c>
      <c r="AV485">
        <f t="shared" si="52"/>
        <v>1184251.7479717531</v>
      </c>
      <c r="AW485">
        <f t="shared" si="53"/>
        <v>1187483.3896477739</v>
      </c>
      <c r="AY485">
        <f t="shared" si="54"/>
        <v>0</v>
      </c>
      <c r="AZ485">
        <f t="shared" si="55"/>
        <v>1</v>
      </c>
    </row>
    <row r="486" spans="1:52" x14ac:dyDescent="0.2">
      <c r="A486">
        <f t="shared" si="49"/>
        <v>482</v>
      </c>
      <c r="B486">
        <v>2.4699797101898822E-2</v>
      </c>
      <c r="C486">
        <v>4.0137071170259553E-2</v>
      </c>
      <c r="D486">
        <v>4.2538251171941988E-2</v>
      </c>
      <c r="E486">
        <v>1.5990600233101171E-2</v>
      </c>
      <c r="F486">
        <v>3.4073798013242174E-3</v>
      </c>
      <c r="G486">
        <v>3.672370386193283E-3</v>
      </c>
      <c r="H486">
        <v>2.5836339067979434E-2</v>
      </c>
      <c r="I486">
        <v>0.11804895073471282</v>
      </c>
      <c r="J486">
        <v>0</v>
      </c>
      <c r="K486">
        <v>0.3861758979440903</v>
      </c>
      <c r="L486">
        <v>0.16524235248856056</v>
      </c>
      <c r="M486">
        <v>0.83475764751143944</v>
      </c>
      <c r="N486">
        <v>5.7766267243073433E-2</v>
      </c>
      <c r="O486" s="72">
        <v>0.99999401651357134</v>
      </c>
      <c r="P486">
        <v>0.9973622721799823</v>
      </c>
      <c r="Q486">
        <v>0.89539250977638751</v>
      </c>
      <c r="R486">
        <v>0.53050845642398836</v>
      </c>
      <c r="S486">
        <v>0.42514238106531133</v>
      </c>
      <c r="T486">
        <v>0.24477445697957623</v>
      </c>
      <c r="U486">
        <v>0.78285285376263403</v>
      </c>
      <c r="V486">
        <v>0.66829301695183985</v>
      </c>
      <c r="W486">
        <v>0.65556819395122679</v>
      </c>
      <c r="X486">
        <v>0.43152352108190223</v>
      </c>
      <c r="Y486">
        <v>0.42429241222762765</v>
      </c>
      <c r="Z486">
        <v>0.47299341463003031</v>
      </c>
      <c r="AA486">
        <v>0.62693969984625841</v>
      </c>
      <c r="AB486">
        <v>0.76913643087257355</v>
      </c>
      <c r="AC486">
        <v>0.71634976781680981</v>
      </c>
      <c r="AD486">
        <v>0.61241824086758145</v>
      </c>
      <c r="AE486">
        <v>215.44992493406323</v>
      </c>
      <c r="AF486">
        <v>1213.4505979701241</v>
      </c>
      <c r="AG486">
        <v>1545.6968946286361</v>
      </c>
      <c r="AH486">
        <v>10814.989771121544</v>
      </c>
      <c r="AI486">
        <v>13289.898447208192</v>
      </c>
      <c r="AJ486">
        <v>42122.184803060642</v>
      </c>
      <c r="AK486">
        <v>9308.868474510442</v>
      </c>
      <c r="AL486">
        <v>2400.0622388691927</v>
      </c>
      <c r="AM486">
        <v>310.13640487134398</v>
      </c>
      <c r="AO486">
        <v>39595.264440049141</v>
      </c>
      <c r="AP486">
        <v>12.709892035928904</v>
      </c>
      <c r="AQ486">
        <v>45684.987055822559</v>
      </c>
      <c r="AR486">
        <v>12.808177145558348</v>
      </c>
      <c r="AS486" s="2">
        <f t="shared" si="50"/>
        <v>6089.7226157734185</v>
      </c>
      <c r="AT486" s="2">
        <f t="shared" si="51"/>
        <v>9.8285109629443923E-2</v>
      </c>
      <c r="AV486">
        <f t="shared" si="52"/>
        <v>1231393.9391528412</v>
      </c>
      <c r="AW486">
        <f t="shared" si="53"/>
        <v>1235132.7275000124</v>
      </c>
      <c r="AY486">
        <f t="shared" si="54"/>
        <v>0</v>
      </c>
      <c r="AZ486">
        <f t="shared" si="55"/>
        <v>1</v>
      </c>
    </row>
    <row r="487" spans="1:52" x14ac:dyDescent="0.2">
      <c r="A487">
        <f t="shared" si="49"/>
        <v>483</v>
      </c>
      <c r="B487">
        <v>2.0749075906345962E-2</v>
      </c>
      <c r="C487">
        <v>2.5829309102591354E-2</v>
      </c>
      <c r="D487">
        <v>4.9682603364981093E-2</v>
      </c>
      <c r="E487">
        <v>1.0022705359285154E-2</v>
      </c>
      <c r="F487">
        <v>3.3476588513160488E-3</v>
      </c>
      <c r="G487">
        <v>6.6865224198626311E-3</v>
      </c>
      <c r="H487">
        <v>4.9472361708150947E-2</v>
      </c>
      <c r="I487">
        <v>0.13181824911740592</v>
      </c>
      <c r="J487">
        <v>0</v>
      </c>
      <c r="K487">
        <v>0.45371617026076605</v>
      </c>
      <c r="L487">
        <v>0.22538512232863694</v>
      </c>
      <c r="M487">
        <v>0.77461487767136306</v>
      </c>
      <c r="N487">
        <v>4.3281209930142485E-2</v>
      </c>
      <c r="O487" s="72">
        <v>0.9978140280992791</v>
      </c>
      <c r="P487">
        <v>0.99886781982313211</v>
      </c>
      <c r="Q487">
        <v>0.96613626721317769</v>
      </c>
      <c r="R487">
        <v>0.5018570244245536</v>
      </c>
      <c r="S487">
        <v>0.4002170588685483</v>
      </c>
      <c r="T487">
        <v>0.13339143141663701</v>
      </c>
      <c r="U487">
        <v>0.76772184836258206</v>
      </c>
      <c r="V487">
        <v>0.57923247443686787</v>
      </c>
      <c r="W487">
        <v>0.65113760486267591</v>
      </c>
      <c r="X487">
        <v>0.43201121863437331</v>
      </c>
      <c r="Y487">
        <v>0.46624978001950057</v>
      </c>
      <c r="Z487">
        <v>0.46373030759245359</v>
      </c>
      <c r="AA487">
        <v>0.6633535101437783</v>
      </c>
      <c r="AB487">
        <v>0.79987503891039868</v>
      </c>
      <c r="AC487">
        <v>0.65193116994222355</v>
      </c>
      <c r="AD487">
        <v>0.6492219804153686</v>
      </c>
      <c r="AE487">
        <v>240.81006996910835</v>
      </c>
      <c r="AF487">
        <v>1298.860878501687</v>
      </c>
      <c r="AG487">
        <v>1758.1923853399401</v>
      </c>
      <c r="AH487">
        <v>14491.204045971508</v>
      </c>
      <c r="AI487">
        <v>9224.069838826892</v>
      </c>
      <c r="AJ487">
        <v>47945.848888659712</v>
      </c>
      <c r="AK487">
        <v>13280.078379329345</v>
      </c>
      <c r="AL487">
        <v>1555.0540003781957</v>
      </c>
      <c r="AM487">
        <v>314.27495206364028</v>
      </c>
      <c r="AO487">
        <v>44335.701938397215</v>
      </c>
      <c r="AP487">
        <v>12.95450529279757</v>
      </c>
      <c r="AQ487">
        <v>45544.158107506868</v>
      </c>
      <c r="AR487">
        <v>13.171214471234469</v>
      </c>
      <c r="AS487" s="2">
        <f t="shared" si="50"/>
        <v>1208.4561691096533</v>
      </c>
      <c r="AT487" s="2">
        <f t="shared" si="51"/>
        <v>0.21670917843689885</v>
      </c>
      <c r="AV487">
        <f t="shared" si="52"/>
        <v>1251114.8273413598</v>
      </c>
      <c r="AW487">
        <f t="shared" si="53"/>
        <v>1271577.2890159402</v>
      </c>
      <c r="AY487">
        <f t="shared" si="54"/>
        <v>0</v>
      </c>
      <c r="AZ487">
        <f t="shared" si="55"/>
        <v>1</v>
      </c>
    </row>
    <row r="488" spans="1:52" x14ac:dyDescent="0.2">
      <c r="A488">
        <f t="shared" si="49"/>
        <v>484</v>
      </c>
      <c r="B488">
        <v>2.3941497368473005E-2</v>
      </c>
      <c r="C488">
        <v>4.1909296347070524E-2</v>
      </c>
      <c r="D488">
        <v>3.557048098553027E-2</v>
      </c>
      <c r="E488">
        <v>1.2629306395955918E-3</v>
      </c>
      <c r="F488">
        <v>3.4383166599309956E-3</v>
      </c>
      <c r="G488">
        <v>1.0368180828316979E-2</v>
      </c>
      <c r="H488">
        <v>2.05050353459123E-2</v>
      </c>
      <c r="I488">
        <v>0.14873035971009374</v>
      </c>
      <c r="J488">
        <v>0</v>
      </c>
      <c r="K488">
        <v>0.40827982399986062</v>
      </c>
      <c r="L488">
        <v>0.29137903077076688</v>
      </c>
      <c r="M488">
        <v>0.70862096922923312</v>
      </c>
      <c r="N488">
        <v>5.6130287247770298E-2</v>
      </c>
      <c r="O488" s="72">
        <v>0.99783439009616481</v>
      </c>
      <c r="P488">
        <v>0.9834453796150936</v>
      </c>
      <c r="Q488">
        <v>0.95371687335767596</v>
      </c>
      <c r="R488">
        <v>0.49338914819708934</v>
      </c>
      <c r="S488">
        <v>0.40748828160533546</v>
      </c>
      <c r="T488">
        <v>0.20452332498219938</v>
      </c>
      <c r="U488">
        <v>0.7805723359038117</v>
      </c>
      <c r="V488">
        <v>0.70129189305770856</v>
      </c>
      <c r="W488">
        <v>0.63171013346567007</v>
      </c>
      <c r="X488">
        <v>0.47917547826325657</v>
      </c>
      <c r="Y488">
        <v>0.47977108874958629</v>
      </c>
      <c r="Z488">
        <v>0.45687995094720879</v>
      </c>
      <c r="AA488">
        <v>0.7094321810777533</v>
      </c>
      <c r="AB488">
        <v>0.77637302492390214</v>
      </c>
      <c r="AC488">
        <v>0.75273022857905891</v>
      </c>
      <c r="AD488">
        <v>0.67547561037326442</v>
      </c>
      <c r="AE488">
        <v>152.94681017214594</v>
      </c>
      <c r="AF488">
        <v>996.0682193231969</v>
      </c>
      <c r="AG488">
        <v>2061.8245321042327</v>
      </c>
      <c r="AH488">
        <v>11202.372601126539</v>
      </c>
      <c r="AI488">
        <v>14988.705826715021</v>
      </c>
      <c r="AJ488">
        <v>39678.735195711095</v>
      </c>
      <c r="AK488">
        <v>13905.72924521381</v>
      </c>
      <c r="AL488">
        <v>2281.8035925087288</v>
      </c>
      <c r="AM488">
        <v>276.87176696243131</v>
      </c>
      <c r="AO488">
        <v>41874.278732055391</v>
      </c>
      <c r="AP488">
        <v>12.956884770867232</v>
      </c>
      <c r="AQ488">
        <v>45324.832189412467</v>
      </c>
      <c r="AR488">
        <v>13.061749641322457</v>
      </c>
      <c r="AS488" s="2">
        <f t="shared" si="50"/>
        <v>3450.5534573570767</v>
      </c>
      <c r="AT488" s="2">
        <f t="shared" si="51"/>
        <v>0.1048648704552253</v>
      </c>
      <c r="AV488">
        <f t="shared" si="52"/>
        <v>1253814.1983546678</v>
      </c>
      <c r="AW488">
        <f t="shared" si="53"/>
        <v>1260850.1319428331</v>
      </c>
      <c r="AY488">
        <f t="shared" si="54"/>
        <v>0</v>
      </c>
      <c r="AZ488">
        <f t="shared" si="55"/>
        <v>1</v>
      </c>
    </row>
    <row r="489" spans="1:52" x14ac:dyDescent="0.2">
      <c r="A489">
        <f t="shared" si="49"/>
        <v>485</v>
      </c>
      <c r="B489">
        <v>2.6247521660015427E-2</v>
      </c>
      <c r="C489">
        <v>3.3198536012094923E-2</v>
      </c>
      <c r="D489">
        <v>3.4215152654576128E-2</v>
      </c>
      <c r="E489">
        <v>3.5310479458463334E-3</v>
      </c>
      <c r="F489">
        <v>3.3057367967937517E-3</v>
      </c>
      <c r="G489">
        <v>9.5226298325823029E-3</v>
      </c>
      <c r="H489">
        <v>2.4573510022279872E-2</v>
      </c>
      <c r="I489">
        <v>0.14425420886556561</v>
      </c>
      <c r="J489">
        <v>0</v>
      </c>
      <c r="K489">
        <v>0.43913435070123219</v>
      </c>
      <c r="L489">
        <v>0.18425461704465088</v>
      </c>
      <c r="M489">
        <v>0.81574538295534915</v>
      </c>
      <c r="N489">
        <v>3.2435727960693231E-2</v>
      </c>
      <c r="O489" s="72">
        <v>0.99934613245850512</v>
      </c>
      <c r="P489">
        <v>0.99981347104638274</v>
      </c>
      <c r="Q489">
        <v>0.98485699830267492</v>
      </c>
      <c r="R489">
        <v>0.5240323144820046</v>
      </c>
      <c r="S489">
        <v>0.40448182605093208</v>
      </c>
      <c r="T489">
        <v>0.26334067991209276</v>
      </c>
      <c r="U489">
        <v>0.75570704888582774</v>
      </c>
      <c r="V489">
        <v>0.68451894398121138</v>
      </c>
      <c r="W489">
        <v>0.44496403999924788</v>
      </c>
      <c r="X489">
        <v>0.46519008687007057</v>
      </c>
      <c r="Y489">
        <v>0.41185187724751532</v>
      </c>
      <c r="Z489">
        <v>0.48620424738745904</v>
      </c>
      <c r="AA489">
        <v>0.71235629896265928</v>
      </c>
      <c r="AB489">
        <v>0.75664185361556391</v>
      </c>
      <c r="AC489">
        <v>0.76800883644671314</v>
      </c>
      <c r="AD489">
        <v>0.65894457453447097</v>
      </c>
      <c r="AE489">
        <v>197.58195420438653</v>
      </c>
      <c r="AF489">
        <v>864.86776440764993</v>
      </c>
      <c r="AG489">
        <v>1191.9492214392012</v>
      </c>
      <c r="AH489">
        <v>12415.596261298049</v>
      </c>
      <c r="AI489">
        <v>19197.421346605883</v>
      </c>
      <c r="AJ489">
        <v>38184.52204823897</v>
      </c>
      <c r="AK489">
        <v>14325.158240488026</v>
      </c>
      <c r="AL489">
        <v>2995.3315867540045</v>
      </c>
      <c r="AM489">
        <v>400.7427560810911</v>
      </c>
      <c r="AO489">
        <v>40965.565601320719</v>
      </c>
      <c r="AP489">
        <v>12.677223167398324</v>
      </c>
      <c r="AQ489">
        <v>46609.280837169681</v>
      </c>
      <c r="AR489">
        <v>12.795473515907148</v>
      </c>
      <c r="AS489" s="2">
        <f t="shared" si="50"/>
        <v>5643.715235848962</v>
      </c>
      <c r="AT489" s="2">
        <f t="shared" si="51"/>
        <v>0.11825034850882332</v>
      </c>
      <c r="AV489">
        <f t="shared" si="52"/>
        <v>1226756.7511385118</v>
      </c>
      <c r="AW489">
        <f t="shared" si="53"/>
        <v>1232938.070753545</v>
      </c>
      <c r="AY489">
        <f t="shared" si="54"/>
        <v>0</v>
      </c>
      <c r="AZ489">
        <f t="shared" si="55"/>
        <v>1</v>
      </c>
    </row>
    <row r="490" spans="1:52" x14ac:dyDescent="0.2">
      <c r="A490">
        <f t="shared" si="49"/>
        <v>486</v>
      </c>
      <c r="B490">
        <v>2.0803132691718448E-2</v>
      </c>
      <c r="C490">
        <v>5.2078177241923984E-2</v>
      </c>
      <c r="D490">
        <v>3.8945406656541559E-2</v>
      </c>
      <c r="E490">
        <v>2.7492961627219592E-2</v>
      </c>
      <c r="F490">
        <v>3.1998120305319427E-3</v>
      </c>
      <c r="G490">
        <v>1.1939734018196591E-2</v>
      </c>
      <c r="H490">
        <v>2.9359032077672209E-2</v>
      </c>
      <c r="I490">
        <v>0.12000346534204719</v>
      </c>
      <c r="J490">
        <v>0</v>
      </c>
      <c r="K490">
        <v>0.45531335772962023</v>
      </c>
      <c r="L490">
        <v>0.28394315614849441</v>
      </c>
      <c r="M490">
        <v>0.71605684385150559</v>
      </c>
      <c r="N490">
        <v>7.7932740465063599E-2</v>
      </c>
      <c r="O490" s="72">
        <v>0.99409329875551222</v>
      </c>
      <c r="P490">
        <v>0.99999902345400959</v>
      </c>
      <c r="Q490">
        <v>0.99495682059390267</v>
      </c>
      <c r="R490">
        <v>0.44807703579601543</v>
      </c>
      <c r="S490">
        <v>0.51643038261516072</v>
      </c>
      <c r="T490">
        <v>0.25648989383470777</v>
      </c>
      <c r="U490">
        <v>0.76409068794071766</v>
      </c>
      <c r="V490">
        <v>0.62610149101475709</v>
      </c>
      <c r="W490">
        <v>0.501937150306624</v>
      </c>
      <c r="X490">
        <v>0.45596547188539127</v>
      </c>
      <c r="Y490">
        <v>0.44807612529038177</v>
      </c>
      <c r="Z490">
        <v>0.43350207227156107</v>
      </c>
      <c r="AA490">
        <v>0.6739290027593785</v>
      </c>
      <c r="AB490">
        <v>0.85642778331102276</v>
      </c>
      <c r="AC490">
        <v>0.6066087989490575</v>
      </c>
      <c r="AD490">
        <v>0.60606107935812104</v>
      </c>
      <c r="AE490">
        <v>184.02281016177341</v>
      </c>
      <c r="AF490">
        <v>1094.2150977191704</v>
      </c>
      <c r="AG490">
        <v>1353.5566708013084</v>
      </c>
      <c r="AH490">
        <v>13372.717528540586</v>
      </c>
      <c r="AI490">
        <v>16143.181988766828</v>
      </c>
      <c r="AJ490">
        <v>39198.270070953855</v>
      </c>
      <c r="AK490">
        <v>15462.535503869689</v>
      </c>
      <c r="AL490">
        <v>2370.9285659725756</v>
      </c>
      <c r="AM490">
        <v>313.97932759645971</v>
      </c>
      <c r="AO490">
        <v>42641.762950120828</v>
      </c>
      <c r="AP490">
        <v>13.54025676575281</v>
      </c>
      <c r="AQ490">
        <v>45290.653614330608</v>
      </c>
      <c r="AR490">
        <v>13.816110538270971</v>
      </c>
      <c r="AS490" s="2">
        <f t="shared" si="50"/>
        <v>2648.8906642097791</v>
      </c>
      <c r="AT490" s="2">
        <f t="shared" si="51"/>
        <v>0.27585377251816112</v>
      </c>
      <c r="AV490">
        <f t="shared" si="52"/>
        <v>1311383.9136251602</v>
      </c>
      <c r="AW490">
        <f t="shared" si="53"/>
        <v>1336320.4002127666</v>
      </c>
      <c r="AY490">
        <f t="shared" si="54"/>
        <v>0</v>
      </c>
      <c r="AZ490">
        <f t="shared" si="55"/>
        <v>1</v>
      </c>
    </row>
    <row r="491" spans="1:52" x14ac:dyDescent="0.2">
      <c r="A491">
        <f t="shared" si="49"/>
        <v>487</v>
      </c>
      <c r="B491">
        <v>2.1503497403213775E-2</v>
      </c>
      <c r="C491">
        <v>3.8860204126599185E-2</v>
      </c>
      <c r="D491">
        <v>2.6732931961289376E-2</v>
      </c>
      <c r="E491">
        <v>8.4796770374452324E-3</v>
      </c>
      <c r="F491">
        <v>3.3543676542739931E-3</v>
      </c>
      <c r="G491">
        <v>1.2782357693771451E-2</v>
      </c>
      <c r="H491">
        <v>4.0224215623996251E-2</v>
      </c>
      <c r="I491">
        <v>0.12841214406671958</v>
      </c>
      <c r="J491">
        <v>0</v>
      </c>
      <c r="K491">
        <v>0.33560878000085981</v>
      </c>
      <c r="L491">
        <v>0.14929452367350171</v>
      </c>
      <c r="M491">
        <v>0.85070547632649829</v>
      </c>
      <c r="N491">
        <v>6.2549903442424393E-2</v>
      </c>
      <c r="O491" s="72">
        <v>0.99761648813686454</v>
      </c>
      <c r="P491">
        <v>0.99988750677038962</v>
      </c>
      <c r="Q491">
        <v>0.98524668642422708</v>
      </c>
      <c r="R491">
        <v>0.47390844534275611</v>
      </c>
      <c r="S491">
        <v>0.45733733867630655</v>
      </c>
      <c r="T491">
        <v>0.27494523962442918</v>
      </c>
      <c r="U491">
        <v>0.76051904468578457</v>
      </c>
      <c r="V491">
        <v>0.70953322225294557</v>
      </c>
      <c r="W491">
        <v>0.50606629920471891</v>
      </c>
      <c r="X491">
        <v>0.43295466872458865</v>
      </c>
      <c r="Y491">
        <v>0.46659905792570455</v>
      </c>
      <c r="Z491">
        <v>0.46897157109555021</v>
      </c>
      <c r="AA491">
        <v>0.6623332270127551</v>
      </c>
      <c r="AB491">
        <v>0.84842744434362838</v>
      </c>
      <c r="AC491">
        <v>0.66138169719543527</v>
      </c>
      <c r="AD491">
        <v>0.61275846925443456</v>
      </c>
      <c r="AE491">
        <v>140.03905670875517</v>
      </c>
      <c r="AF491">
        <v>972.15832346495574</v>
      </c>
      <c r="AG491">
        <v>1387.9539154356173</v>
      </c>
      <c r="AH491">
        <v>13293.644291922903</v>
      </c>
      <c r="AI491">
        <v>14879.406059395507</v>
      </c>
      <c r="AJ491">
        <v>42764.624490116337</v>
      </c>
      <c r="AK491">
        <v>6019.8789198493278</v>
      </c>
      <c r="AL491">
        <v>2472.7627725623151</v>
      </c>
      <c r="AM491">
        <v>404.13314070198516</v>
      </c>
      <c r="AO491">
        <v>42688.950386969002</v>
      </c>
      <c r="AP491">
        <v>13.622295592703709</v>
      </c>
      <c r="AQ491">
        <v>46681.118014170032</v>
      </c>
      <c r="AR491">
        <v>13.81235011886176</v>
      </c>
      <c r="AS491" s="2">
        <f t="shared" si="50"/>
        <v>3992.16762720103</v>
      </c>
      <c r="AT491" s="2">
        <f t="shared" si="51"/>
        <v>0.19005452615805041</v>
      </c>
      <c r="AV491">
        <f t="shared" si="52"/>
        <v>1319540.6088834021</v>
      </c>
      <c r="AW491">
        <f t="shared" si="53"/>
        <v>1334553.8938720059</v>
      </c>
      <c r="AY491">
        <f t="shared" si="54"/>
        <v>0</v>
      </c>
      <c r="AZ491">
        <f t="shared" si="55"/>
        <v>1</v>
      </c>
    </row>
    <row r="492" spans="1:52" x14ac:dyDescent="0.2">
      <c r="A492">
        <f t="shared" si="49"/>
        <v>488</v>
      </c>
      <c r="B492">
        <v>2.6452007046200765E-2</v>
      </c>
      <c r="C492">
        <v>3.4091111187652186E-2</v>
      </c>
      <c r="D492">
        <v>3.1735096456997076E-2</v>
      </c>
      <c r="E492">
        <v>2.461254510766937E-3</v>
      </c>
      <c r="F492">
        <v>3.3803772522477127E-3</v>
      </c>
      <c r="G492">
        <v>1.0699205704734725E-2</v>
      </c>
      <c r="H492">
        <v>2.1405942226346793E-2</v>
      </c>
      <c r="I492">
        <v>0.12290748030892448</v>
      </c>
      <c r="J492">
        <v>0</v>
      </c>
      <c r="K492">
        <v>0.48081178829217375</v>
      </c>
      <c r="L492">
        <v>0.30926685774500928</v>
      </c>
      <c r="M492">
        <v>0.69073314225499072</v>
      </c>
      <c r="N492">
        <v>6.253701224480912E-2</v>
      </c>
      <c r="O492" s="72">
        <v>0.99926575735616852</v>
      </c>
      <c r="P492">
        <v>0.98551346686681729</v>
      </c>
      <c r="Q492">
        <v>0.9290232729093032</v>
      </c>
      <c r="R492">
        <v>0.52753450044479688</v>
      </c>
      <c r="S492">
        <v>0.40774985441169731</v>
      </c>
      <c r="T492">
        <v>0.32307530740986501</v>
      </c>
      <c r="U492">
        <v>0.77259487646926239</v>
      </c>
      <c r="V492">
        <v>0.72120763087224349</v>
      </c>
      <c r="W492">
        <v>0.55259603393188317</v>
      </c>
      <c r="X492">
        <v>0.48761625982065859</v>
      </c>
      <c r="Y492">
        <v>0.42266305047530123</v>
      </c>
      <c r="Z492">
        <v>0.45124200626440258</v>
      </c>
      <c r="AA492">
        <v>0.7264560119828043</v>
      </c>
      <c r="AB492">
        <v>0.78338339974483107</v>
      </c>
      <c r="AC492">
        <v>0.75259458999759388</v>
      </c>
      <c r="AD492">
        <v>0.58940561500800093</v>
      </c>
      <c r="AE492">
        <v>145.73006928625935</v>
      </c>
      <c r="AF492">
        <v>1041.331102588249</v>
      </c>
      <c r="AG492">
        <v>959.27937120566958</v>
      </c>
      <c r="AH492">
        <v>12837.271535411939</v>
      </c>
      <c r="AI492">
        <v>8797.7848795938589</v>
      </c>
      <c r="AJ492">
        <v>36286.210294215249</v>
      </c>
      <c r="AK492">
        <v>15998.747310436022</v>
      </c>
      <c r="AL492">
        <v>1739.99323006127</v>
      </c>
      <c r="AM492">
        <v>368.05734703483228</v>
      </c>
      <c r="AO492">
        <v>39430.170500039407</v>
      </c>
      <c r="AP492">
        <v>12.968251645842841</v>
      </c>
      <c r="AQ492">
        <v>46732.559929055955</v>
      </c>
      <c r="AR492">
        <v>13.042326406016354</v>
      </c>
      <c r="AS492" s="2">
        <f t="shared" si="50"/>
        <v>7302.3894290165481</v>
      </c>
      <c r="AT492" s="2">
        <f t="shared" si="51"/>
        <v>7.4074760173512999E-2</v>
      </c>
      <c r="AV492">
        <f t="shared" si="52"/>
        <v>1257394.9940842448</v>
      </c>
      <c r="AW492">
        <f t="shared" si="53"/>
        <v>1257500.0806725796</v>
      </c>
      <c r="AY492">
        <f t="shared" si="54"/>
        <v>0</v>
      </c>
      <c r="AZ492">
        <f t="shared" si="55"/>
        <v>1</v>
      </c>
    </row>
    <row r="493" spans="1:52" x14ac:dyDescent="0.2">
      <c r="A493">
        <f t="shared" si="49"/>
        <v>489</v>
      </c>
      <c r="B493">
        <v>2.4667872071302749E-2</v>
      </c>
      <c r="C493">
        <v>1.8289332990135805E-2</v>
      </c>
      <c r="D493">
        <v>3.0715644179728007E-2</v>
      </c>
      <c r="E493">
        <v>1.2500553730130592E-2</v>
      </c>
      <c r="F493">
        <v>3.2996120913671152E-3</v>
      </c>
      <c r="G493">
        <v>9.6073985452682868E-3</v>
      </c>
      <c r="H493">
        <v>3.3718841556739543E-2</v>
      </c>
      <c r="I493">
        <v>0.13962554449439246</v>
      </c>
      <c r="J493">
        <v>0</v>
      </c>
      <c r="K493">
        <v>0.49877284509035447</v>
      </c>
      <c r="L493">
        <v>0.17210853076498814</v>
      </c>
      <c r="M493">
        <v>0.82789146923501189</v>
      </c>
      <c r="N493">
        <v>5.1175780076123917E-2</v>
      </c>
      <c r="O493" s="72">
        <v>0.99532851876198913</v>
      </c>
      <c r="P493">
        <v>0.99999903783952881</v>
      </c>
      <c r="Q493">
        <v>0.96561251527955516</v>
      </c>
      <c r="R493">
        <v>0.44251676857536681</v>
      </c>
      <c r="S493">
        <v>0.36266750227837707</v>
      </c>
      <c r="T493">
        <v>0.13452842327798187</v>
      </c>
      <c r="U493">
        <v>0.75454366663181494</v>
      </c>
      <c r="V493">
        <v>0.6166720729887526</v>
      </c>
      <c r="W493">
        <v>0.71405817031033292</v>
      </c>
      <c r="X493">
        <v>0.43187607142724782</v>
      </c>
      <c r="Y493">
        <v>0.4513431457265612</v>
      </c>
      <c r="Z493">
        <v>0.51868078018963326</v>
      </c>
      <c r="AA493">
        <v>0.60506473786946946</v>
      </c>
      <c r="AB493">
        <v>0.79850743711089955</v>
      </c>
      <c r="AC493">
        <v>0.56128509367928026</v>
      </c>
      <c r="AD493">
        <v>0.53493749162935622</v>
      </c>
      <c r="AE493">
        <v>199.89498309617943</v>
      </c>
      <c r="AF493">
        <v>754.08767279735741</v>
      </c>
      <c r="AG493">
        <v>1432.3599107929122</v>
      </c>
      <c r="AH493">
        <v>13773.630484900825</v>
      </c>
      <c r="AI493">
        <v>11003.090723013878</v>
      </c>
      <c r="AJ493">
        <v>44445.299960498167</v>
      </c>
      <c r="AK493">
        <v>11709.757752989884</v>
      </c>
      <c r="AL493">
        <v>2094.6340682182258</v>
      </c>
      <c r="AM493">
        <v>338.44675698317076</v>
      </c>
      <c r="AO493">
        <v>47832.770198369682</v>
      </c>
      <c r="AP493">
        <v>12.683156353584719</v>
      </c>
      <c r="AQ493">
        <v>45747.067091187477</v>
      </c>
      <c r="AR493">
        <v>12.83209321355341</v>
      </c>
      <c r="AS493" s="2">
        <f t="shared" si="50"/>
        <v>-2085.7031071822057</v>
      </c>
      <c r="AT493" s="2">
        <f t="shared" si="51"/>
        <v>0.14893685996869088</v>
      </c>
      <c r="AV493">
        <f t="shared" si="52"/>
        <v>1220482.8651601023</v>
      </c>
      <c r="AW493">
        <f t="shared" si="53"/>
        <v>1237462.2542641535</v>
      </c>
      <c r="AY493">
        <f t="shared" si="54"/>
        <v>0</v>
      </c>
      <c r="AZ493">
        <f t="shared" si="55"/>
        <v>1</v>
      </c>
    </row>
    <row r="494" spans="1:52" x14ac:dyDescent="0.2">
      <c r="A494">
        <f t="shared" si="49"/>
        <v>490</v>
      </c>
      <c r="B494">
        <v>1.9318704080244626E-2</v>
      </c>
      <c r="C494">
        <v>3.6537482385134747E-2</v>
      </c>
      <c r="D494">
        <v>5.0509847772669203E-2</v>
      </c>
      <c r="E494">
        <v>7.1517165446440909E-3</v>
      </c>
      <c r="F494">
        <v>3.2484075504208023E-3</v>
      </c>
      <c r="G494">
        <v>2.1478764027260677E-2</v>
      </c>
      <c r="H494">
        <v>4.1072302890840739E-2</v>
      </c>
      <c r="I494">
        <v>0.13344030774368953</v>
      </c>
      <c r="J494">
        <v>0</v>
      </c>
      <c r="K494">
        <v>0.44008497497064658</v>
      </c>
      <c r="L494">
        <v>0.22856464836887147</v>
      </c>
      <c r="M494">
        <v>0.77143535163112853</v>
      </c>
      <c r="N494">
        <v>4.7890937719454657E-2</v>
      </c>
      <c r="O494" s="72">
        <v>0.99910016246815758</v>
      </c>
      <c r="P494">
        <v>0.99999994877251852</v>
      </c>
      <c r="Q494">
        <v>0.97987379307239431</v>
      </c>
      <c r="R494">
        <v>0.53223527476860477</v>
      </c>
      <c r="S494">
        <v>0.32806467068187661</v>
      </c>
      <c r="T494">
        <v>0.22841626574830887</v>
      </c>
      <c r="U494">
        <v>0.76015333936849838</v>
      </c>
      <c r="V494">
        <v>0.63911951979374881</v>
      </c>
      <c r="W494">
        <v>0.61077196101620235</v>
      </c>
      <c r="X494">
        <v>0.45316442224211639</v>
      </c>
      <c r="Y494">
        <v>0.43074151933427651</v>
      </c>
      <c r="Z494">
        <v>0.45514407140923507</v>
      </c>
      <c r="AA494">
        <v>0.65601805411531644</v>
      </c>
      <c r="AB494">
        <v>0.77801631239094204</v>
      </c>
      <c r="AC494">
        <v>0.71314270975171579</v>
      </c>
      <c r="AD494">
        <v>0.53123806938169105</v>
      </c>
      <c r="AE494">
        <v>168.26006035982107</v>
      </c>
      <c r="AF494">
        <v>961.28694848148496</v>
      </c>
      <c r="AG494">
        <v>2247.5905814748066</v>
      </c>
      <c r="AH494">
        <v>12663.099853122945</v>
      </c>
      <c r="AI494">
        <v>14140.199459006491</v>
      </c>
      <c r="AJ494">
        <v>35344.389463217281</v>
      </c>
      <c r="AK494">
        <v>9685.9698498561393</v>
      </c>
      <c r="AL494">
        <v>1076.1060566599613</v>
      </c>
      <c r="AM494">
        <v>270.16873609109899</v>
      </c>
      <c r="AO494">
        <v>40497.736650717088</v>
      </c>
      <c r="AP494">
        <v>12.698088856819975</v>
      </c>
      <c r="AQ494">
        <v>44641.551421757627</v>
      </c>
      <c r="AR494">
        <v>12.818228781658984</v>
      </c>
      <c r="AS494" s="2">
        <f t="shared" si="50"/>
        <v>4143.8147710405392</v>
      </c>
      <c r="AT494" s="2">
        <f t="shared" si="51"/>
        <v>0.12013992483900893</v>
      </c>
      <c r="AV494">
        <f t="shared" si="52"/>
        <v>1229311.1490312805</v>
      </c>
      <c r="AW494">
        <f t="shared" si="53"/>
        <v>1237181.3267441408</v>
      </c>
      <c r="AY494">
        <f t="shared" si="54"/>
        <v>0</v>
      </c>
      <c r="AZ494">
        <f t="shared" si="55"/>
        <v>1</v>
      </c>
    </row>
    <row r="495" spans="1:52" x14ac:dyDescent="0.2">
      <c r="A495">
        <f t="shared" si="49"/>
        <v>491</v>
      </c>
      <c r="B495">
        <v>2.474664287653552E-2</v>
      </c>
      <c r="C495">
        <v>2.4974443595080976E-2</v>
      </c>
      <c r="D495">
        <v>5.6777050195219281E-2</v>
      </c>
      <c r="E495">
        <v>4.2594481252941022E-3</v>
      </c>
      <c r="F495">
        <v>3.229172442532209E-3</v>
      </c>
      <c r="G495">
        <v>3.3983651797657721E-2</v>
      </c>
      <c r="H495">
        <v>2.2986340049097099E-2</v>
      </c>
      <c r="I495">
        <v>0.14232508793132026</v>
      </c>
      <c r="J495">
        <v>0</v>
      </c>
      <c r="K495">
        <v>0.43618103742202563</v>
      </c>
      <c r="L495">
        <v>0.20780336408445443</v>
      </c>
      <c r="M495">
        <v>0.79219663591554557</v>
      </c>
      <c r="N495">
        <v>5.9275617153206728E-2</v>
      </c>
      <c r="O495" s="72">
        <v>0.99535071569538114</v>
      </c>
      <c r="P495">
        <v>0.99910462917351572</v>
      </c>
      <c r="Q495">
        <v>0.93515331530427193</v>
      </c>
      <c r="R495">
        <v>0.50088897501414498</v>
      </c>
      <c r="S495">
        <v>0.40597696395992799</v>
      </c>
      <c r="T495">
        <v>0.25167070116864865</v>
      </c>
      <c r="U495">
        <v>0.77996330544625569</v>
      </c>
      <c r="V495">
        <v>0.66545373200264268</v>
      </c>
      <c r="W495">
        <v>0.51332906870927542</v>
      </c>
      <c r="X495">
        <v>0.45152677967472665</v>
      </c>
      <c r="Y495">
        <v>0.48732228356070928</v>
      </c>
      <c r="Z495">
        <v>0.44136037361618569</v>
      </c>
      <c r="AA495">
        <v>0.74794666428991341</v>
      </c>
      <c r="AB495">
        <v>0.85530574470523546</v>
      </c>
      <c r="AC495">
        <v>0.75155213662737497</v>
      </c>
      <c r="AD495">
        <v>0.61807093323889783</v>
      </c>
      <c r="AE495">
        <v>220.86018072430335</v>
      </c>
      <c r="AF495">
        <v>927.22412428957352</v>
      </c>
      <c r="AG495">
        <v>1902.5207417714519</v>
      </c>
      <c r="AH495">
        <v>18061.546789008207</v>
      </c>
      <c r="AI495">
        <v>13634.006015025989</v>
      </c>
      <c r="AJ495">
        <v>42198.831544976361</v>
      </c>
      <c r="AK495">
        <v>12033.861563776092</v>
      </c>
      <c r="AL495">
        <v>1239.0590738606149</v>
      </c>
      <c r="AM495">
        <v>414.33891894469741</v>
      </c>
      <c r="AO495">
        <v>42876.841570376404</v>
      </c>
      <c r="AP495">
        <v>13.860967466751385</v>
      </c>
      <c r="AQ495">
        <v>47209.213918599293</v>
      </c>
      <c r="AR495">
        <v>14.074753355753437</v>
      </c>
      <c r="AS495" s="2">
        <f t="shared" si="50"/>
        <v>4332.3723482228888</v>
      </c>
      <c r="AT495" s="2">
        <f t="shared" si="51"/>
        <v>0.21378588900205209</v>
      </c>
      <c r="AV495">
        <f t="shared" si="52"/>
        <v>1343219.9051047619</v>
      </c>
      <c r="AW495">
        <f t="shared" si="53"/>
        <v>1360266.1216567443</v>
      </c>
      <c r="AY495">
        <f t="shared" si="54"/>
        <v>0</v>
      </c>
      <c r="AZ495">
        <f t="shared" si="55"/>
        <v>1</v>
      </c>
    </row>
    <row r="496" spans="1:52" x14ac:dyDescent="0.2">
      <c r="A496">
        <f t="shared" si="49"/>
        <v>492</v>
      </c>
      <c r="B496">
        <v>2.2849883896529675E-2</v>
      </c>
      <c r="C496">
        <v>3.263598509176318E-2</v>
      </c>
      <c r="D496">
        <v>3.2492527313998418E-2</v>
      </c>
      <c r="E496">
        <v>1.6074878175434182E-2</v>
      </c>
      <c r="F496">
        <v>3.3792454518558612E-3</v>
      </c>
      <c r="G496">
        <v>3.8767310103994114E-3</v>
      </c>
      <c r="H496">
        <v>2.8912423200015969E-2</v>
      </c>
      <c r="I496">
        <v>0.14008346394606208</v>
      </c>
      <c r="J496">
        <v>0</v>
      </c>
      <c r="K496">
        <v>0.43827371979668694</v>
      </c>
      <c r="L496">
        <v>0.19140858686173981</v>
      </c>
      <c r="M496">
        <v>0.80859141313826022</v>
      </c>
      <c r="N496">
        <v>4.2632995489812246E-2</v>
      </c>
      <c r="O496" s="72">
        <v>0.99986325442356483</v>
      </c>
      <c r="P496">
        <v>0.99505303096609132</v>
      </c>
      <c r="Q496">
        <v>0.86187737933106112</v>
      </c>
      <c r="R496">
        <v>0.46883911837600567</v>
      </c>
      <c r="S496">
        <v>0.45211659756534806</v>
      </c>
      <c r="T496">
        <v>0.30658916349389898</v>
      </c>
      <c r="U496">
        <v>0.7589163940681648</v>
      </c>
      <c r="V496">
        <v>0.64613741054012597</v>
      </c>
      <c r="W496">
        <v>0.55428036149087279</v>
      </c>
      <c r="X496">
        <v>0.46123907576990186</v>
      </c>
      <c r="Y496">
        <v>0.44636516595210135</v>
      </c>
      <c r="Z496">
        <v>0.43028599748201241</v>
      </c>
      <c r="AA496">
        <v>0.6444217340565731</v>
      </c>
      <c r="AB496">
        <v>0.84511193336441071</v>
      </c>
      <c r="AC496">
        <v>0.73997319459853461</v>
      </c>
      <c r="AD496">
        <v>0.57689884341688225</v>
      </c>
      <c r="AE496">
        <v>229.90840019153589</v>
      </c>
      <c r="AF496">
        <v>1003.3965663196635</v>
      </c>
      <c r="AG496">
        <v>1597.4099823968877</v>
      </c>
      <c r="AH496">
        <v>12399.168888591832</v>
      </c>
      <c r="AI496">
        <v>11296.840772462863</v>
      </c>
      <c r="AJ496">
        <v>35813.401093990557</v>
      </c>
      <c r="AK496">
        <v>16218.31304715744</v>
      </c>
      <c r="AL496">
        <v>2536.4224943890567</v>
      </c>
      <c r="AM496">
        <v>270.08810914879939</v>
      </c>
      <c r="AO496">
        <v>40685.282793836057</v>
      </c>
      <c r="AP496">
        <v>13.671748351111605</v>
      </c>
      <c r="AQ496">
        <v>45267.244131897314</v>
      </c>
      <c r="AR496">
        <v>13.854488349372861</v>
      </c>
      <c r="AS496" s="2">
        <f t="shared" si="50"/>
        <v>4581.9613380612573</v>
      </c>
      <c r="AT496" s="2">
        <f t="shared" si="51"/>
        <v>0.18273999826125653</v>
      </c>
      <c r="AV496">
        <f t="shared" si="52"/>
        <v>1326489.5523173246</v>
      </c>
      <c r="AW496">
        <f t="shared" si="53"/>
        <v>1340181.5908053888</v>
      </c>
      <c r="AY496">
        <f t="shared" si="54"/>
        <v>0</v>
      </c>
      <c r="AZ496">
        <f t="shared" si="55"/>
        <v>1</v>
      </c>
    </row>
    <row r="497" spans="1:52" x14ac:dyDescent="0.2">
      <c r="A497">
        <f t="shared" si="49"/>
        <v>493</v>
      </c>
      <c r="B497">
        <v>2.4069906126347056E-2</v>
      </c>
      <c r="C497">
        <v>3.4490646641376625E-2</v>
      </c>
      <c r="D497">
        <v>4.1477137769309946E-2</v>
      </c>
      <c r="E497">
        <v>1.9552459716297155E-2</v>
      </c>
      <c r="F497">
        <v>3.3438896163987541E-3</v>
      </c>
      <c r="G497">
        <v>1.4711496803911261E-2</v>
      </c>
      <c r="H497">
        <v>3.8526918767645912E-2</v>
      </c>
      <c r="I497">
        <v>0.14077491416928611</v>
      </c>
      <c r="J497">
        <v>0</v>
      </c>
      <c r="K497">
        <v>0.43714193399237233</v>
      </c>
      <c r="L497">
        <v>0.21914179707733472</v>
      </c>
      <c r="M497">
        <v>0.78085820292266528</v>
      </c>
      <c r="N497">
        <v>5.5106700313945683E-2</v>
      </c>
      <c r="O497" s="72">
        <v>0.99911595533702713</v>
      </c>
      <c r="P497">
        <v>0.99938517817340722</v>
      </c>
      <c r="Q497">
        <v>0.95232799577507332</v>
      </c>
      <c r="R497">
        <v>0.54581757307464063</v>
      </c>
      <c r="S497">
        <v>0.44088861881324315</v>
      </c>
      <c r="T497">
        <v>0.18873144533406228</v>
      </c>
      <c r="U497">
        <v>0.79306450658581318</v>
      </c>
      <c r="V497">
        <v>0.67362326620895274</v>
      </c>
      <c r="W497">
        <v>0.53975838932407882</v>
      </c>
      <c r="X497">
        <v>0.38831969591400928</v>
      </c>
      <c r="Y497">
        <v>0.40472824234728183</v>
      </c>
      <c r="Z497">
        <v>0.49971252179068282</v>
      </c>
      <c r="AA497">
        <v>0.7476226373363859</v>
      </c>
      <c r="AB497">
        <v>0.83756402635025051</v>
      </c>
      <c r="AC497">
        <v>0.68835670119639281</v>
      </c>
      <c r="AD497">
        <v>0.70049343250984286</v>
      </c>
      <c r="AE497">
        <v>174.1735504629454</v>
      </c>
      <c r="AF497">
        <v>1034.6220497650395</v>
      </c>
      <c r="AG497">
        <v>1666.9443125565663</v>
      </c>
      <c r="AH497">
        <v>11694.480892192973</v>
      </c>
      <c r="AI497">
        <v>8546.1894655975448</v>
      </c>
      <c r="AJ497">
        <v>39188.316037142366</v>
      </c>
      <c r="AK497">
        <v>13178.863683723781</v>
      </c>
      <c r="AL497">
        <v>1794.1418503153432</v>
      </c>
      <c r="AM497">
        <v>308.91388869739751</v>
      </c>
      <c r="AO497">
        <v>39649.455765878512</v>
      </c>
      <c r="AP497">
        <v>13.584543357806844</v>
      </c>
      <c r="AQ497">
        <v>45318.277838976494</v>
      </c>
      <c r="AR497">
        <v>13.826779699563659</v>
      </c>
      <c r="AS497" s="2">
        <f t="shared" si="50"/>
        <v>5668.822073097981</v>
      </c>
      <c r="AT497" s="2">
        <f t="shared" si="51"/>
        <v>0.24223634175681497</v>
      </c>
      <c r="AV497">
        <f t="shared" si="52"/>
        <v>1318804.8800148058</v>
      </c>
      <c r="AW497">
        <f t="shared" si="53"/>
        <v>1337359.6921173893</v>
      </c>
      <c r="AY497">
        <f t="shared" si="54"/>
        <v>0</v>
      </c>
      <c r="AZ497">
        <f t="shared" si="55"/>
        <v>1</v>
      </c>
    </row>
    <row r="498" spans="1:52" x14ac:dyDescent="0.2">
      <c r="A498">
        <f t="shared" si="49"/>
        <v>494</v>
      </c>
      <c r="B498">
        <v>2.0975760399241074E-2</v>
      </c>
      <c r="C498">
        <v>3.7666691780078532E-2</v>
      </c>
      <c r="D498">
        <v>6.8243100704580728E-2</v>
      </c>
      <c r="E498">
        <v>1.9055480498494481E-2</v>
      </c>
      <c r="F498">
        <v>3.1630505680790527E-3</v>
      </c>
      <c r="G498">
        <v>1.6567108093535898E-2</v>
      </c>
      <c r="H498">
        <v>2.1443187071564014E-2</v>
      </c>
      <c r="I498">
        <v>0.12993842914337383</v>
      </c>
      <c r="J498">
        <v>0</v>
      </c>
      <c r="K498">
        <v>0.44873471032227286</v>
      </c>
      <c r="L498">
        <v>0.29167044464395364</v>
      </c>
      <c r="M498">
        <v>0.70832955535604636</v>
      </c>
      <c r="N498">
        <v>7.1287454652620874E-2</v>
      </c>
      <c r="O498" s="72">
        <v>0.99749457579667189</v>
      </c>
      <c r="P498">
        <v>0.99837350348935816</v>
      </c>
      <c r="Q498">
        <v>0.97627024730593637</v>
      </c>
      <c r="R498">
        <v>0.49515765579119175</v>
      </c>
      <c r="S498">
        <v>0.41716945541184081</v>
      </c>
      <c r="T498">
        <v>0.29086617884152977</v>
      </c>
      <c r="U498">
        <v>0.75974285876735526</v>
      </c>
      <c r="V498">
        <v>0.57698984292387934</v>
      </c>
      <c r="W498">
        <v>0.59211308698563747</v>
      </c>
      <c r="X498">
        <v>0.45046213261733681</v>
      </c>
      <c r="Y498">
        <v>0.44190413001432732</v>
      </c>
      <c r="Z498">
        <v>0.47476574635132573</v>
      </c>
      <c r="AA498">
        <v>0.71321530332715</v>
      </c>
      <c r="AB498">
        <v>0.74887709330848895</v>
      </c>
      <c r="AC498">
        <v>0.73872977940901174</v>
      </c>
      <c r="AD498">
        <v>0.69769633834857481</v>
      </c>
      <c r="AE498">
        <v>155.7431442859571</v>
      </c>
      <c r="AF498">
        <v>1089.7010292753125</v>
      </c>
      <c r="AG498">
        <v>1617.6519474869115</v>
      </c>
      <c r="AH498">
        <v>9742.6967083421441</v>
      </c>
      <c r="AI498">
        <v>13801.434928099154</v>
      </c>
      <c r="AJ498">
        <v>45477.285196511686</v>
      </c>
      <c r="AK498">
        <v>9333.5191951211309</v>
      </c>
      <c r="AL498">
        <v>2194.652522161367</v>
      </c>
      <c r="AM498">
        <v>346.27707942605628</v>
      </c>
      <c r="AO498">
        <v>40807.244115222347</v>
      </c>
      <c r="AP498">
        <v>12.522193569939235</v>
      </c>
      <c r="AQ498">
        <v>45805.246140496012</v>
      </c>
      <c r="AR498">
        <v>12.687166410916117</v>
      </c>
      <c r="AS498" s="2">
        <f t="shared" si="50"/>
        <v>4998.0020252736649</v>
      </c>
      <c r="AT498" s="2">
        <f t="shared" si="51"/>
        <v>0.16497284097688159</v>
      </c>
      <c r="AV498">
        <f t="shared" si="52"/>
        <v>1211412.1128787012</v>
      </c>
      <c r="AW498">
        <f t="shared" si="53"/>
        <v>1222911.3949511156</v>
      </c>
      <c r="AY498">
        <f t="shared" si="54"/>
        <v>0</v>
      </c>
      <c r="AZ498">
        <f t="shared" si="55"/>
        <v>1</v>
      </c>
    </row>
    <row r="499" spans="1:52" x14ac:dyDescent="0.2">
      <c r="A499">
        <f t="shared" si="49"/>
        <v>495</v>
      </c>
      <c r="B499">
        <v>2.2634476180905801E-2</v>
      </c>
      <c r="C499">
        <v>4.6780146310680282E-2</v>
      </c>
      <c r="D499">
        <v>4.115654402736546E-2</v>
      </c>
      <c r="E499">
        <v>2.2183295041829809E-2</v>
      </c>
      <c r="F499">
        <v>3.3871247661946269E-3</v>
      </c>
      <c r="G499">
        <v>2.7198539000432564E-2</v>
      </c>
      <c r="H499">
        <v>4.0424913147785513E-2</v>
      </c>
      <c r="I499">
        <v>0.15803438400703462</v>
      </c>
      <c r="J499">
        <v>0</v>
      </c>
      <c r="K499">
        <v>0.44700385898423367</v>
      </c>
      <c r="L499">
        <v>0.16473875411809016</v>
      </c>
      <c r="M499">
        <v>0.83526124588190986</v>
      </c>
      <c r="N499">
        <v>6.6144649429627611E-2</v>
      </c>
      <c r="O499" s="72">
        <v>0.99747487088951625</v>
      </c>
      <c r="P499">
        <v>0.99999962032562295</v>
      </c>
      <c r="Q499">
        <v>0.96603304043646998</v>
      </c>
      <c r="R499">
        <v>0.52063459287584479</v>
      </c>
      <c r="S499">
        <v>0.48698183998091038</v>
      </c>
      <c r="T499">
        <v>0.17487695955450988</v>
      </c>
      <c r="U499">
        <v>0.75926803184952296</v>
      </c>
      <c r="V499">
        <v>0.71053093748549234</v>
      </c>
      <c r="W499">
        <v>0.50811785784779662</v>
      </c>
      <c r="X499">
        <v>0.43056450246392181</v>
      </c>
      <c r="Y499">
        <v>0.39666381715432325</v>
      </c>
      <c r="Z499">
        <v>0.45559352615730964</v>
      </c>
      <c r="AA499">
        <v>0.70758513333518969</v>
      </c>
      <c r="AB499">
        <v>0.84978097157897792</v>
      </c>
      <c r="AC499">
        <v>0.73039108296306376</v>
      </c>
      <c r="AD499">
        <v>0.66129976916394617</v>
      </c>
      <c r="AE499">
        <v>222.0243746767994</v>
      </c>
      <c r="AF499">
        <v>1002.6009649081085</v>
      </c>
      <c r="AG499">
        <v>1821.3101943298791</v>
      </c>
      <c r="AH499">
        <v>12055.748392044821</v>
      </c>
      <c r="AI499">
        <v>11071.705573371526</v>
      </c>
      <c r="AJ499">
        <v>37949.758482855737</v>
      </c>
      <c r="AK499">
        <v>19607.657447787922</v>
      </c>
      <c r="AL499">
        <v>1997.9494314747471</v>
      </c>
      <c r="AM499">
        <v>290.10062680014988</v>
      </c>
      <c r="AO499">
        <v>40465.851198403107</v>
      </c>
      <c r="AP499">
        <v>13.734143319177958</v>
      </c>
      <c r="AQ499">
        <v>45002.268818898585</v>
      </c>
      <c r="AR499">
        <v>14.01892058997662</v>
      </c>
      <c r="AS499" s="2">
        <f t="shared" si="50"/>
        <v>4536.4176204954783</v>
      </c>
      <c r="AT499" s="2">
        <f t="shared" si="51"/>
        <v>0.28477727079866177</v>
      </c>
      <c r="AV499">
        <f t="shared" si="52"/>
        <v>1332948.4807193927</v>
      </c>
      <c r="AW499">
        <f t="shared" si="53"/>
        <v>1356889.7901787634</v>
      </c>
      <c r="AY499">
        <f t="shared" si="54"/>
        <v>0</v>
      </c>
      <c r="AZ499">
        <f t="shared" si="55"/>
        <v>1</v>
      </c>
    </row>
    <row r="500" spans="1:52" x14ac:dyDescent="0.2">
      <c r="A500">
        <f t="shared" si="49"/>
        <v>496</v>
      </c>
      <c r="B500">
        <v>2.2866729481552998E-2</v>
      </c>
      <c r="C500">
        <v>3.2931607333512303E-2</v>
      </c>
      <c r="D500">
        <v>3.5508484097250562E-2</v>
      </c>
      <c r="E500">
        <v>1.6311129042522965E-2</v>
      </c>
      <c r="F500">
        <v>3.4951687177969815E-3</v>
      </c>
      <c r="G500">
        <v>1.6408335752253755E-2</v>
      </c>
      <c r="H500">
        <v>2.3642385047798128E-2</v>
      </c>
      <c r="I500">
        <v>0.14015782674747435</v>
      </c>
      <c r="J500">
        <v>0</v>
      </c>
      <c r="K500">
        <v>0.38627598501085092</v>
      </c>
      <c r="L500">
        <v>0.22213568247592408</v>
      </c>
      <c r="M500">
        <v>0.77786431752407592</v>
      </c>
      <c r="N500">
        <v>4.9195368527301497E-2</v>
      </c>
      <c r="O500" s="72">
        <v>0.98726736238050483</v>
      </c>
      <c r="P500">
        <v>0.99931738478468546</v>
      </c>
      <c r="Q500">
        <v>0.971553147754875</v>
      </c>
      <c r="R500">
        <v>0.42227430121111342</v>
      </c>
      <c r="S500">
        <v>0.31470966784054688</v>
      </c>
      <c r="T500">
        <v>0.1704247727578575</v>
      </c>
      <c r="U500">
        <v>0.77800105216559234</v>
      </c>
      <c r="V500">
        <v>0.69745611312356626</v>
      </c>
      <c r="W500">
        <v>0.52022994533478961</v>
      </c>
      <c r="X500">
        <v>0.46925119956845851</v>
      </c>
      <c r="Y500">
        <v>0.47961970205884763</v>
      </c>
      <c r="Z500">
        <v>0.44748333861157918</v>
      </c>
      <c r="AA500">
        <v>0.61038189755479766</v>
      </c>
      <c r="AB500">
        <v>0.81402410364763222</v>
      </c>
      <c r="AC500">
        <v>0.75358086787532408</v>
      </c>
      <c r="AD500">
        <v>0.58158540838348183</v>
      </c>
      <c r="AE500">
        <v>213.06798803037921</v>
      </c>
      <c r="AF500">
        <v>1009.4080518180847</v>
      </c>
      <c r="AG500">
        <v>1477.2116037659487</v>
      </c>
      <c r="AH500">
        <v>7516.3097761036852</v>
      </c>
      <c r="AI500">
        <v>10381.033149958952</v>
      </c>
      <c r="AJ500">
        <v>35157.195699529679</v>
      </c>
      <c r="AK500">
        <v>8111.4959972492488</v>
      </c>
      <c r="AL500">
        <v>1525.9099653681012</v>
      </c>
      <c r="AM500">
        <v>405.81311519735152</v>
      </c>
      <c r="AO500">
        <v>49316.642576957653</v>
      </c>
      <c r="AP500">
        <v>13.242161536840596</v>
      </c>
      <c r="AQ500">
        <v>46753.499834129077</v>
      </c>
      <c r="AR500">
        <v>13.457054012868701</v>
      </c>
      <c r="AS500" s="2">
        <f t="shared" si="50"/>
        <v>-2563.1427428285751</v>
      </c>
      <c r="AT500" s="2">
        <f t="shared" si="51"/>
        <v>0.2148924760281048</v>
      </c>
      <c r="AV500">
        <f t="shared" si="52"/>
        <v>1274899.511107102</v>
      </c>
      <c r="AW500">
        <f t="shared" si="53"/>
        <v>1298951.9014527409</v>
      </c>
      <c r="AY500">
        <f t="shared" si="54"/>
        <v>0</v>
      </c>
      <c r="AZ500">
        <f t="shared" si="55"/>
        <v>1</v>
      </c>
    </row>
    <row r="501" spans="1:52" x14ac:dyDescent="0.2">
      <c r="A501">
        <f t="shared" si="49"/>
        <v>497</v>
      </c>
      <c r="B501">
        <v>2.1986668713224813E-2</v>
      </c>
      <c r="C501">
        <v>3.6022271798538605E-2</v>
      </c>
      <c r="D501">
        <v>3.3128630256945464E-2</v>
      </c>
      <c r="E501">
        <v>1.3939447281711701E-3</v>
      </c>
      <c r="F501">
        <v>3.3615172342994493E-3</v>
      </c>
      <c r="G501">
        <v>1.0217856070589414E-2</v>
      </c>
      <c r="H501">
        <v>3.8111256630160018E-2</v>
      </c>
      <c r="I501">
        <v>0.13261760742066908</v>
      </c>
      <c r="J501">
        <v>0</v>
      </c>
      <c r="K501">
        <v>0.41973299695816857</v>
      </c>
      <c r="L501">
        <v>0.2268644514899345</v>
      </c>
      <c r="M501">
        <v>0.7731355485100655</v>
      </c>
      <c r="N501">
        <v>3.6289773127192476E-2</v>
      </c>
      <c r="O501" s="72">
        <v>0.99798653174307728</v>
      </c>
      <c r="P501">
        <v>0.9769778021856198</v>
      </c>
      <c r="Q501">
        <v>0.98785798748219733</v>
      </c>
      <c r="R501">
        <v>0.47222902044233162</v>
      </c>
      <c r="S501">
        <v>0.44516661464132623</v>
      </c>
      <c r="T501">
        <v>0.30366637902663673</v>
      </c>
      <c r="U501">
        <v>0.77446473338947652</v>
      </c>
      <c r="V501">
        <v>0.67411592051748681</v>
      </c>
      <c r="W501">
        <v>0.57560507642212722</v>
      </c>
      <c r="X501">
        <v>0.44986665373718138</v>
      </c>
      <c r="Y501">
        <v>0.45811981940253599</v>
      </c>
      <c r="Z501">
        <v>0.45578531465321381</v>
      </c>
      <c r="AA501">
        <v>0.7415066365845614</v>
      </c>
      <c r="AB501">
        <v>0.78923394094512889</v>
      </c>
      <c r="AC501">
        <v>0.55793754438769383</v>
      </c>
      <c r="AD501">
        <v>0.62895323930777414</v>
      </c>
      <c r="AE501">
        <v>222.47911059194794</v>
      </c>
      <c r="AF501">
        <v>865.54615775676393</v>
      </c>
      <c r="AG501">
        <v>1789.7694448579282</v>
      </c>
      <c r="AH501">
        <v>11374.634980121547</v>
      </c>
      <c r="AI501">
        <v>10421.542433685978</v>
      </c>
      <c r="AJ501">
        <v>43689.536013299024</v>
      </c>
      <c r="AK501">
        <v>9461.7398364360688</v>
      </c>
      <c r="AL501">
        <v>1124.0358255461165</v>
      </c>
      <c r="AM501">
        <v>458.11435422078222</v>
      </c>
      <c r="AO501">
        <v>43401.585249385389</v>
      </c>
      <c r="AP501">
        <v>12.71914405162862</v>
      </c>
      <c r="AQ501">
        <v>48282.284687787316</v>
      </c>
      <c r="AR501">
        <v>12.825363433251056</v>
      </c>
      <c r="AS501" s="2">
        <f t="shared" si="50"/>
        <v>4880.6994384019272</v>
      </c>
      <c r="AT501" s="2">
        <f t="shared" si="51"/>
        <v>0.10621938162243616</v>
      </c>
      <c r="AV501">
        <f t="shared" si="52"/>
        <v>1228512.8199134767</v>
      </c>
      <c r="AW501">
        <f t="shared" si="53"/>
        <v>1234254.0586373182</v>
      </c>
      <c r="AY501">
        <f t="shared" si="54"/>
        <v>0</v>
      </c>
      <c r="AZ501">
        <f t="shared" si="55"/>
        <v>1</v>
      </c>
    </row>
    <row r="502" spans="1:52" x14ac:dyDescent="0.2">
      <c r="A502">
        <f t="shared" si="49"/>
        <v>498</v>
      </c>
      <c r="B502">
        <v>2.4396490801258386E-2</v>
      </c>
      <c r="C502">
        <v>5.8939970406866715E-2</v>
      </c>
      <c r="D502">
        <v>2.4440325642877653E-2</v>
      </c>
      <c r="E502">
        <v>2.4444330155593663E-2</v>
      </c>
      <c r="F502">
        <v>3.2906076316767761E-3</v>
      </c>
      <c r="G502">
        <v>1.9107904634272477E-2</v>
      </c>
      <c r="H502">
        <v>1.8625632886456918E-2</v>
      </c>
      <c r="I502">
        <v>0.13366542900639666</v>
      </c>
      <c r="J502">
        <v>0</v>
      </c>
      <c r="K502">
        <v>0.44195439265208292</v>
      </c>
      <c r="L502">
        <v>0.23380178259776896</v>
      </c>
      <c r="M502">
        <v>0.76619821740223104</v>
      </c>
      <c r="N502">
        <v>4.7649666504344712E-2</v>
      </c>
      <c r="O502" s="72">
        <v>0.99999521511134715</v>
      </c>
      <c r="P502">
        <v>0.9993134548576067</v>
      </c>
      <c r="Q502">
        <v>0.9461408081979783</v>
      </c>
      <c r="R502">
        <v>0.54625295782265282</v>
      </c>
      <c r="S502">
        <v>0.39730926391707155</v>
      </c>
      <c r="T502">
        <v>0.17774186253490065</v>
      </c>
      <c r="U502">
        <v>0.74797910713939419</v>
      </c>
      <c r="V502">
        <v>0.72697031595899664</v>
      </c>
      <c r="W502">
        <v>0.51471689117826358</v>
      </c>
      <c r="X502">
        <v>0.42576582106059369</v>
      </c>
      <c r="Y502">
        <v>0.45692308123205128</v>
      </c>
      <c r="Z502">
        <v>0.45381329939588</v>
      </c>
      <c r="AA502">
        <v>0.66060873259002395</v>
      </c>
      <c r="AB502">
        <v>0.76231175519667749</v>
      </c>
      <c r="AC502">
        <v>0.68680344519658876</v>
      </c>
      <c r="AD502">
        <v>0.64932647958203016</v>
      </c>
      <c r="AE502">
        <v>179.27400263151009</v>
      </c>
      <c r="AF502">
        <v>1263.1843750311764</v>
      </c>
      <c r="AG502">
        <v>1603.6879666544107</v>
      </c>
      <c r="AH502">
        <v>11544.593673980584</v>
      </c>
      <c r="AI502">
        <v>10799.902313324099</v>
      </c>
      <c r="AJ502">
        <v>39900.688387952621</v>
      </c>
      <c r="AK502">
        <v>17376.445739502058</v>
      </c>
      <c r="AL502">
        <v>1905.3227489488131</v>
      </c>
      <c r="AM502">
        <v>296.49531639520734</v>
      </c>
      <c r="AO502">
        <v>40389.761241735578</v>
      </c>
      <c r="AP502">
        <v>12.526992048344727</v>
      </c>
      <c r="AQ502">
        <v>45164.840758149068</v>
      </c>
      <c r="AR502">
        <v>12.710983760850249</v>
      </c>
      <c r="AS502" s="2">
        <f t="shared" si="50"/>
        <v>4775.0795164134906</v>
      </c>
      <c r="AT502" s="2">
        <f t="shared" si="51"/>
        <v>0.18399171250552193</v>
      </c>
      <c r="AV502">
        <f t="shared" si="52"/>
        <v>1212309.443592737</v>
      </c>
      <c r="AW502">
        <f t="shared" si="53"/>
        <v>1225933.535326876</v>
      </c>
      <c r="AY502">
        <f t="shared" si="54"/>
        <v>0</v>
      </c>
      <c r="AZ502">
        <f t="shared" si="55"/>
        <v>1</v>
      </c>
    </row>
    <row r="503" spans="1:52" x14ac:dyDescent="0.2">
      <c r="A503">
        <f t="shared" si="49"/>
        <v>499</v>
      </c>
      <c r="B503">
        <v>2.2872448776482712E-2</v>
      </c>
      <c r="C503">
        <v>5.2720441716009203E-2</v>
      </c>
      <c r="D503">
        <v>2.3728948730644205E-2</v>
      </c>
      <c r="E503">
        <v>1.3202602302781918E-2</v>
      </c>
      <c r="F503">
        <v>3.3838546851987505E-3</v>
      </c>
      <c r="G503">
        <v>8.0367817095997225E-3</v>
      </c>
      <c r="H503">
        <v>2.7171387155960645E-2</v>
      </c>
      <c r="I503">
        <v>0.12347575388296615</v>
      </c>
      <c r="J503">
        <v>0</v>
      </c>
      <c r="K503">
        <v>0.44834058895722695</v>
      </c>
      <c r="L503">
        <v>0.15741358178529796</v>
      </c>
      <c r="M503">
        <v>0.84258641821470204</v>
      </c>
      <c r="N503">
        <v>4.9727635146092693E-2</v>
      </c>
      <c r="O503" s="72">
        <v>0.94547439698565072</v>
      </c>
      <c r="P503">
        <v>0.99998292063710958</v>
      </c>
      <c r="Q503">
        <v>0.99066615799662372</v>
      </c>
      <c r="R503">
        <v>0.48783034871564812</v>
      </c>
      <c r="S503">
        <v>0.33849753027329788</v>
      </c>
      <c r="T503">
        <v>0.1766410991749372</v>
      </c>
      <c r="U503">
        <v>0.77035402958233246</v>
      </c>
      <c r="V503">
        <v>0.63555348078113949</v>
      </c>
      <c r="W503">
        <v>0.65718658043832745</v>
      </c>
      <c r="X503">
        <v>0.39131621877790246</v>
      </c>
      <c r="Y503">
        <v>0.44505192415567829</v>
      </c>
      <c r="Z503">
        <v>0.47617631325624454</v>
      </c>
      <c r="AA503">
        <v>0.67865066317979394</v>
      </c>
      <c r="AB503">
        <v>0.80132575955118246</v>
      </c>
      <c r="AC503">
        <v>0.67402990293041565</v>
      </c>
      <c r="AD503">
        <v>0.59059370568388547</v>
      </c>
      <c r="AE503">
        <v>212.17635023103958</v>
      </c>
      <c r="AF503">
        <v>1026.0558801253765</v>
      </c>
      <c r="AG503">
        <v>1578.0900245294144</v>
      </c>
      <c r="AH503">
        <v>13938.752892281174</v>
      </c>
      <c r="AI503">
        <v>11400.954195324948</v>
      </c>
      <c r="AJ503">
        <v>41958.491040945417</v>
      </c>
      <c r="AK503">
        <v>8904.7362843420906</v>
      </c>
      <c r="AL503">
        <v>1818.0141129525298</v>
      </c>
      <c r="AM503">
        <v>277.010321641779</v>
      </c>
      <c r="AO503">
        <v>43901.609701914589</v>
      </c>
      <c r="AP503">
        <v>13.00735922766464</v>
      </c>
      <c r="AQ503">
        <v>44996.880227052359</v>
      </c>
      <c r="AR503">
        <v>13.150246438624782</v>
      </c>
      <c r="AS503" s="2">
        <f t="shared" si="50"/>
        <v>1095.2705251377702</v>
      </c>
      <c r="AT503" s="2">
        <f t="shared" si="51"/>
        <v>0.14288721096014179</v>
      </c>
      <c r="AV503">
        <f t="shared" si="52"/>
        <v>1256834.3130645496</v>
      </c>
      <c r="AW503">
        <f t="shared" si="53"/>
        <v>1270027.7636354258</v>
      </c>
      <c r="AY503">
        <f t="shared" si="54"/>
        <v>0</v>
      </c>
      <c r="AZ503">
        <f t="shared" si="55"/>
        <v>1</v>
      </c>
    </row>
    <row r="504" spans="1:52" x14ac:dyDescent="0.2">
      <c r="A504">
        <f t="shared" si="49"/>
        <v>500</v>
      </c>
      <c r="B504">
        <v>2.5550034582927816E-2</v>
      </c>
      <c r="C504">
        <v>3.2406521883643624E-2</v>
      </c>
      <c r="D504">
        <v>6.8515874805184285E-2</v>
      </c>
      <c r="E504">
        <v>8.4978458878419844E-3</v>
      </c>
      <c r="F504">
        <v>3.4263694484069074E-3</v>
      </c>
      <c r="G504">
        <v>9.6268412129002882E-3</v>
      </c>
      <c r="H504">
        <v>2.6932815722046716E-2</v>
      </c>
      <c r="I504">
        <v>0.12688713305933305</v>
      </c>
      <c r="J504">
        <v>0</v>
      </c>
      <c r="K504">
        <v>0.42086743244629582</v>
      </c>
      <c r="L504">
        <v>0.13071445988707342</v>
      </c>
      <c r="M504">
        <v>0.86928554011292658</v>
      </c>
      <c r="N504">
        <v>7.6596426683133045E-2</v>
      </c>
      <c r="O504" s="72">
        <v>0.9722806639313466</v>
      </c>
      <c r="P504">
        <v>0.99999978804060663</v>
      </c>
      <c r="Q504">
        <v>0.94143228821066061</v>
      </c>
      <c r="R504">
        <v>0.48734441204151147</v>
      </c>
      <c r="S504">
        <v>0.31250664274624085</v>
      </c>
      <c r="T504">
        <v>0.14237488226685369</v>
      </c>
      <c r="U504">
        <v>0.76019852566532087</v>
      </c>
      <c r="V504">
        <v>0.66329512318884221</v>
      </c>
      <c r="W504">
        <v>0.57365640468527812</v>
      </c>
      <c r="X504">
        <v>0.46406776951255746</v>
      </c>
      <c r="Y504">
        <v>0.44416225833519041</v>
      </c>
      <c r="Z504">
        <v>0.46225096836107904</v>
      </c>
      <c r="AA504">
        <v>0.60372819615177808</v>
      </c>
      <c r="AB504">
        <v>0.85551701189621987</v>
      </c>
      <c r="AC504">
        <v>0.74554192183099088</v>
      </c>
      <c r="AD504">
        <v>0.58965863025217047</v>
      </c>
      <c r="AE504">
        <v>212.17157357377505</v>
      </c>
      <c r="AF504">
        <v>953.71007277804381</v>
      </c>
      <c r="AG504">
        <v>1843.8465292883218</v>
      </c>
      <c r="AH504">
        <v>13144.68807978304</v>
      </c>
      <c r="AI504">
        <v>12495.404221403796</v>
      </c>
      <c r="AJ504">
        <v>38992.724912766716</v>
      </c>
      <c r="AK504">
        <v>8276.2428912743962</v>
      </c>
      <c r="AL504">
        <v>3046.3707356580335</v>
      </c>
      <c r="AM504">
        <v>404.59734038887802</v>
      </c>
      <c r="AO504">
        <v>47179.474711077441</v>
      </c>
      <c r="AP504">
        <v>13.721832782904119</v>
      </c>
      <c r="AQ504">
        <v>47057.574989656518</v>
      </c>
      <c r="AR504">
        <v>14.028042743100308</v>
      </c>
      <c r="AS504" s="2">
        <f t="shared" si="50"/>
        <v>-121.89972142092302</v>
      </c>
      <c r="AT504" s="2">
        <f t="shared" si="51"/>
        <v>0.30620996019618829</v>
      </c>
      <c r="AV504">
        <f t="shared" si="52"/>
        <v>1325003.8035793344</v>
      </c>
      <c r="AW504">
        <f t="shared" si="53"/>
        <v>1355746.6993203743</v>
      </c>
      <c r="AY504">
        <f t="shared" si="54"/>
        <v>0</v>
      </c>
      <c r="AZ504">
        <f t="shared" si="55"/>
        <v>1</v>
      </c>
    </row>
    <row r="505" spans="1:52" x14ac:dyDescent="0.2">
      <c r="A505">
        <f t="shared" si="49"/>
        <v>501</v>
      </c>
      <c r="B505">
        <v>2.1492081759768911E-2</v>
      </c>
      <c r="C505">
        <v>3.4407428953970504E-2</v>
      </c>
      <c r="D505">
        <v>2.7693117474437163E-2</v>
      </c>
      <c r="E505">
        <v>2.4077270215783653E-2</v>
      </c>
      <c r="F505">
        <v>3.2834275785036727E-3</v>
      </c>
      <c r="G505">
        <v>1.173574860576132E-2</v>
      </c>
      <c r="H505">
        <v>3.35010919388119E-2</v>
      </c>
      <c r="I505">
        <v>0.12397120651349688</v>
      </c>
      <c r="J505">
        <v>0</v>
      </c>
      <c r="K505">
        <v>0.45237263907614667</v>
      </c>
      <c r="L505">
        <v>0.31255059724638146</v>
      </c>
      <c r="M505">
        <v>0.68744940275361854</v>
      </c>
      <c r="N505">
        <v>4.9046601405787323E-2</v>
      </c>
      <c r="O505" s="72">
        <v>0.99999306247745801</v>
      </c>
      <c r="P505">
        <v>0.97350691180274607</v>
      </c>
      <c r="Q505">
        <v>0.97207214552536791</v>
      </c>
      <c r="R505">
        <v>0.54074189002479689</v>
      </c>
      <c r="S505">
        <v>0.41392090911171475</v>
      </c>
      <c r="T505">
        <v>0.23499898968220201</v>
      </c>
      <c r="U505">
        <v>0.78812940105365259</v>
      </c>
      <c r="V505">
        <v>0.67849754417028296</v>
      </c>
      <c r="W505">
        <v>0.59785407170042304</v>
      </c>
      <c r="X505">
        <v>0.48239654741961902</v>
      </c>
      <c r="Y505">
        <v>0.43382193305721023</v>
      </c>
      <c r="Z505">
        <v>0.44552035469377249</v>
      </c>
      <c r="AA505">
        <v>0.64584932771906789</v>
      </c>
      <c r="AB505">
        <v>0.79044650020773322</v>
      </c>
      <c r="AC505">
        <v>0.74232537428573786</v>
      </c>
      <c r="AD505">
        <v>0.6470406765271175</v>
      </c>
      <c r="AE505">
        <v>145.48967877363572</v>
      </c>
      <c r="AF505">
        <v>955.75434297278844</v>
      </c>
      <c r="AG505">
        <v>2326.3547984862994</v>
      </c>
      <c r="AH505">
        <v>14089.499958391054</v>
      </c>
      <c r="AI505">
        <v>11284.008646120359</v>
      </c>
      <c r="AJ505">
        <v>40508.460960318327</v>
      </c>
      <c r="AK505">
        <v>28517.908996779301</v>
      </c>
      <c r="AL505">
        <v>2080.5258496998017</v>
      </c>
      <c r="AM505">
        <v>326.77775214308525</v>
      </c>
      <c r="AO505">
        <v>39735.565124652938</v>
      </c>
      <c r="AP505">
        <v>13.07084371724199</v>
      </c>
      <c r="AQ505">
        <v>46443.953282036957</v>
      </c>
      <c r="AR505">
        <v>13.201456562843234</v>
      </c>
      <c r="AS505" s="2">
        <f t="shared" si="50"/>
        <v>6708.388157384019</v>
      </c>
      <c r="AT505" s="2">
        <f t="shared" si="51"/>
        <v>0.13061284560124342</v>
      </c>
      <c r="AV505">
        <f t="shared" si="52"/>
        <v>1267348.806599546</v>
      </c>
      <c r="AW505">
        <f t="shared" si="53"/>
        <v>1273701.7030022864</v>
      </c>
      <c r="AY505">
        <f t="shared" si="54"/>
        <v>0</v>
      </c>
      <c r="AZ505">
        <f t="shared" si="55"/>
        <v>1</v>
      </c>
    </row>
    <row r="506" spans="1:52" x14ac:dyDescent="0.2">
      <c r="A506">
        <f t="shared" si="49"/>
        <v>502</v>
      </c>
      <c r="B506">
        <v>3.1611341152516625E-2</v>
      </c>
      <c r="C506">
        <v>3.7617966999670571E-2</v>
      </c>
      <c r="D506">
        <v>4.7475997351649202E-2</v>
      </c>
      <c r="E506">
        <v>1.8133577158590652E-2</v>
      </c>
      <c r="F506">
        <v>3.4077830412264642E-3</v>
      </c>
      <c r="G506">
        <v>8.7977510902489224E-3</v>
      </c>
      <c r="H506">
        <v>2.8956930315712337E-2</v>
      </c>
      <c r="I506">
        <v>0.13435570922754458</v>
      </c>
      <c r="J506">
        <v>0</v>
      </c>
      <c r="K506">
        <v>0.46028564352034829</v>
      </c>
      <c r="L506">
        <v>0.13586178640031929</v>
      </c>
      <c r="M506">
        <v>0.86413821359968068</v>
      </c>
      <c r="N506">
        <v>5.0585939557971325E-2</v>
      </c>
      <c r="O506" s="72">
        <v>0.98087650992030306</v>
      </c>
      <c r="P506">
        <v>0.99626091177101894</v>
      </c>
      <c r="Q506">
        <v>0.97900660929358196</v>
      </c>
      <c r="R506">
        <v>0.47589530496343946</v>
      </c>
      <c r="S506">
        <v>0.40941325948299179</v>
      </c>
      <c r="T506">
        <v>0.37007982790592298</v>
      </c>
      <c r="U506">
        <v>0.77380549153031142</v>
      </c>
      <c r="V506">
        <v>0.6439780161236125</v>
      </c>
      <c r="W506">
        <v>0.59874190497565793</v>
      </c>
      <c r="X506">
        <v>0.43296964261018261</v>
      </c>
      <c r="Y506">
        <v>0.40525265320892795</v>
      </c>
      <c r="Z506">
        <v>0.44841474462693426</v>
      </c>
      <c r="AA506">
        <v>0.67345729282746358</v>
      </c>
      <c r="AB506">
        <v>0.79705206840845255</v>
      </c>
      <c r="AC506">
        <v>0.7129107577788818</v>
      </c>
      <c r="AD506">
        <v>0.57583532563177897</v>
      </c>
      <c r="AE506">
        <v>184.76152892487113</v>
      </c>
      <c r="AF506">
        <v>1023.1394729436026</v>
      </c>
      <c r="AG506">
        <v>1480.8871703288953</v>
      </c>
      <c r="AH506">
        <v>12506.34763134336</v>
      </c>
      <c r="AI506">
        <v>7566.2679110716927</v>
      </c>
      <c r="AJ506">
        <v>43797.914159936467</v>
      </c>
      <c r="AK506">
        <v>14603.898387111438</v>
      </c>
      <c r="AL506">
        <v>2410.5434031006935</v>
      </c>
      <c r="AM506">
        <v>381.41204600312841</v>
      </c>
      <c r="AO506">
        <v>41681.543632928384</v>
      </c>
      <c r="AP506">
        <v>13.004952536038187</v>
      </c>
      <c r="AQ506">
        <v>46564.057491343468</v>
      </c>
      <c r="AR506">
        <v>13.140964673222815</v>
      </c>
      <c r="AS506" s="2">
        <f t="shared" si="50"/>
        <v>4882.5138584150845</v>
      </c>
      <c r="AT506" s="2">
        <f t="shared" si="51"/>
        <v>0.13601213718462724</v>
      </c>
      <c r="AV506">
        <f t="shared" si="52"/>
        <v>1258813.7099708905</v>
      </c>
      <c r="AW506">
        <f t="shared" si="53"/>
        <v>1267532.4098309381</v>
      </c>
      <c r="AY506">
        <f t="shared" si="54"/>
        <v>0</v>
      </c>
      <c r="AZ506">
        <f t="shared" si="55"/>
        <v>1</v>
      </c>
    </row>
    <row r="507" spans="1:52" x14ac:dyDescent="0.2">
      <c r="A507">
        <f t="shared" si="49"/>
        <v>503</v>
      </c>
      <c r="B507">
        <v>1.8520749023829969E-2</v>
      </c>
      <c r="C507">
        <v>4.3894472618466684E-2</v>
      </c>
      <c r="D507">
        <v>3.7856721890194456E-2</v>
      </c>
      <c r="E507">
        <v>8.5119437919915549E-3</v>
      </c>
      <c r="F507">
        <v>3.3477815736930872E-3</v>
      </c>
      <c r="G507">
        <v>3.6462158320442861E-2</v>
      </c>
      <c r="H507">
        <v>2.5618316839261392E-2</v>
      </c>
      <c r="I507">
        <v>0.12319613663977187</v>
      </c>
      <c r="J507">
        <v>0</v>
      </c>
      <c r="K507">
        <v>0.4167756174358494</v>
      </c>
      <c r="L507">
        <v>0.19140298912540887</v>
      </c>
      <c r="M507">
        <v>0.80859701087459113</v>
      </c>
      <c r="N507">
        <v>5.8706405800488581E-2</v>
      </c>
      <c r="O507" s="72">
        <v>0.99012685381537524</v>
      </c>
      <c r="P507">
        <v>0.99802254569285376</v>
      </c>
      <c r="Q507">
        <v>0.95924833046711833</v>
      </c>
      <c r="R507">
        <v>0.4531609668914921</v>
      </c>
      <c r="S507">
        <v>0.32943611053803268</v>
      </c>
      <c r="T507">
        <v>0.30124255238170095</v>
      </c>
      <c r="U507">
        <v>0.7804716029412293</v>
      </c>
      <c r="V507">
        <v>0.64793320603533433</v>
      </c>
      <c r="W507">
        <v>0.60607535149737513</v>
      </c>
      <c r="X507">
        <v>0.50164643493108008</v>
      </c>
      <c r="Y507">
        <v>0.48401703652784489</v>
      </c>
      <c r="Z507">
        <v>0.49710265283069854</v>
      </c>
      <c r="AA507">
        <v>0.6393100243011357</v>
      </c>
      <c r="AB507">
        <v>0.80723681809555681</v>
      </c>
      <c r="AC507">
        <v>0.71986324179675421</v>
      </c>
      <c r="AD507">
        <v>0.58754121349062327</v>
      </c>
      <c r="AE507">
        <v>361.93262584941272</v>
      </c>
      <c r="AF507">
        <v>1183.4918163839297</v>
      </c>
      <c r="AG507">
        <v>1984.8933467286104</v>
      </c>
      <c r="AH507">
        <v>15834.395438733265</v>
      </c>
      <c r="AI507">
        <v>14345.883940293466</v>
      </c>
      <c r="AJ507">
        <v>47838.285057595174</v>
      </c>
      <c r="AK507">
        <v>12693.954307053511</v>
      </c>
      <c r="AL507">
        <v>2140.3840133343169</v>
      </c>
      <c r="AM507">
        <v>437.98817943592883</v>
      </c>
      <c r="AO507">
        <v>46102.735576289851</v>
      </c>
      <c r="AP507">
        <v>13.178655292042698</v>
      </c>
      <c r="AQ507">
        <v>47690.122824779079</v>
      </c>
      <c r="AR507">
        <v>13.311863932982615</v>
      </c>
      <c r="AS507" s="2">
        <f t="shared" si="50"/>
        <v>1587.3872484892272</v>
      </c>
      <c r="AT507" s="2">
        <f t="shared" si="51"/>
        <v>0.13320864093991602</v>
      </c>
      <c r="AV507">
        <f t="shared" si="52"/>
        <v>1271762.7936279799</v>
      </c>
      <c r="AW507">
        <f t="shared" si="53"/>
        <v>1283496.2704734826</v>
      </c>
      <c r="AY507">
        <f t="shared" si="54"/>
        <v>0</v>
      </c>
      <c r="AZ507">
        <f t="shared" si="55"/>
        <v>1</v>
      </c>
    </row>
    <row r="508" spans="1:52" x14ac:dyDescent="0.2">
      <c r="A508">
        <f t="shared" si="49"/>
        <v>504</v>
      </c>
      <c r="B508">
        <v>2.2465150350627849E-2</v>
      </c>
      <c r="C508">
        <v>3.6475195538844929E-2</v>
      </c>
      <c r="D508">
        <v>4.372746075210443E-2</v>
      </c>
      <c r="E508">
        <v>9.0398877890659601E-3</v>
      </c>
      <c r="F508">
        <v>3.42076517992429E-3</v>
      </c>
      <c r="G508">
        <v>2.1841816506099954E-2</v>
      </c>
      <c r="H508">
        <v>1.4648860553804125E-2</v>
      </c>
      <c r="I508">
        <v>0.12704362182734849</v>
      </c>
      <c r="J508">
        <v>0</v>
      </c>
      <c r="K508">
        <v>0.40788474596796859</v>
      </c>
      <c r="L508">
        <v>0.17569035472534056</v>
      </c>
      <c r="M508">
        <v>0.82430964527465944</v>
      </c>
      <c r="N508">
        <v>7.3510490043188992E-2</v>
      </c>
      <c r="O508" s="72">
        <v>0.90907145622026297</v>
      </c>
      <c r="P508">
        <v>0.99999422917826319</v>
      </c>
      <c r="Q508">
        <v>0.99229330260042381</v>
      </c>
      <c r="R508">
        <v>0.4419500842501789</v>
      </c>
      <c r="S508">
        <v>0.3740106603728256</v>
      </c>
      <c r="T508">
        <v>0.25910685160852198</v>
      </c>
      <c r="U508">
        <v>0.78183006600816229</v>
      </c>
      <c r="V508">
        <v>0.69557048629041529</v>
      </c>
      <c r="W508">
        <v>0.53002577478899637</v>
      </c>
      <c r="X508">
        <v>0.44215501929805012</v>
      </c>
      <c r="Y508">
        <v>0.45115036820083254</v>
      </c>
      <c r="Z508">
        <v>0.47048289602691873</v>
      </c>
      <c r="AA508">
        <v>0.78542638724257019</v>
      </c>
      <c r="AB508">
        <v>0.81173501402424997</v>
      </c>
      <c r="AC508">
        <v>0.81689497260580313</v>
      </c>
      <c r="AD508">
        <v>0.6041451695566098</v>
      </c>
      <c r="AE508">
        <v>248.89481826315512</v>
      </c>
      <c r="AF508">
        <v>1098.4418644047394</v>
      </c>
      <c r="AG508">
        <v>1529.9583849165472</v>
      </c>
      <c r="AH508">
        <v>13887.665109729851</v>
      </c>
      <c r="AI508">
        <v>7559.281387725031</v>
      </c>
      <c r="AJ508">
        <v>36637.146159029144</v>
      </c>
      <c r="AK508">
        <v>17277.410600435691</v>
      </c>
      <c r="AL508">
        <v>1537.5453366920481</v>
      </c>
      <c r="AM508">
        <v>401.57825402367439</v>
      </c>
      <c r="AO508">
        <v>45828.601729424001</v>
      </c>
      <c r="AP508">
        <v>13.410748308930403</v>
      </c>
      <c r="AQ508">
        <v>47131.881987340523</v>
      </c>
      <c r="AR508">
        <v>13.569180374267892</v>
      </c>
      <c r="AS508" s="2">
        <f t="shared" si="50"/>
        <v>1303.2802579165218</v>
      </c>
      <c r="AT508" s="2">
        <f t="shared" si="51"/>
        <v>0.15843206533748955</v>
      </c>
      <c r="AV508">
        <f t="shared" si="52"/>
        <v>1295246.2291636164</v>
      </c>
      <c r="AW508">
        <f t="shared" si="53"/>
        <v>1309786.1554394488</v>
      </c>
      <c r="AY508">
        <f t="shared" si="54"/>
        <v>0</v>
      </c>
      <c r="AZ508">
        <f t="shared" si="55"/>
        <v>1</v>
      </c>
    </row>
    <row r="509" spans="1:52" x14ac:dyDescent="0.2">
      <c r="A509">
        <f t="shared" si="49"/>
        <v>505</v>
      </c>
      <c r="B509">
        <v>2.1463997556520696E-2</v>
      </c>
      <c r="C509">
        <v>4.3081403509307559E-2</v>
      </c>
      <c r="D509">
        <v>3.5032777795885685E-2</v>
      </c>
      <c r="E509">
        <v>2.6259483865244237E-2</v>
      </c>
      <c r="F509">
        <v>3.2778262483378999E-3</v>
      </c>
      <c r="G509">
        <v>2.0207111897593388E-2</v>
      </c>
      <c r="H509">
        <v>2.8420014728321067E-2</v>
      </c>
      <c r="I509">
        <v>0.12508819009369448</v>
      </c>
      <c r="J509">
        <v>0</v>
      </c>
      <c r="K509">
        <v>0.44205103011574221</v>
      </c>
      <c r="L509">
        <v>0.27102186568800946</v>
      </c>
      <c r="M509">
        <v>0.72897813431199054</v>
      </c>
      <c r="N509">
        <v>5.9528569386803842E-2</v>
      </c>
      <c r="O509" s="72">
        <v>0.98950969559235857</v>
      </c>
      <c r="P509">
        <v>0.99603619436413537</v>
      </c>
      <c r="Q509">
        <v>0.96648270811073478</v>
      </c>
      <c r="R509">
        <v>0.49864600403583548</v>
      </c>
      <c r="S509">
        <v>0.45195224087311259</v>
      </c>
      <c r="T509">
        <v>0.26161867533547656</v>
      </c>
      <c r="U509">
        <v>0.76627244991086385</v>
      </c>
      <c r="V509">
        <v>0.63372769963766606</v>
      </c>
      <c r="W509">
        <v>0.51765341744661009</v>
      </c>
      <c r="X509">
        <v>0.42741550807793088</v>
      </c>
      <c r="Y509">
        <v>0.3894977412985306</v>
      </c>
      <c r="Z509">
        <v>0.48596697406377243</v>
      </c>
      <c r="AA509">
        <v>0.73491788002848146</v>
      </c>
      <c r="AB509">
        <v>0.79128846527430619</v>
      </c>
      <c r="AC509">
        <v>0.70597020345930495</v>
      </c>
      <c r="AD509">
        <v>0.59785538550452866</v>
      </c>
      <c r="AE509">
        <v>177.11325214378797</v>
      </c>
      <c r="AF509">
        <v>1047.7762461217919</v>
      </c>
      <c r="AG509">
        <v>1844.7601920598488</v>
      </c>
      <c r="AH509">
        <v>9704.0611792934051</v>
      </c>
      <c r="AI509">
        <v>13828.5185997641</v>
      </c>
      <c r="AJ509">
        <v>37664.401078623247</v>
      </c>
      <c r="AK509">
        <v>17323.294662082411</v>
      </c>
      <c r="AL509">
        <v>2301.3214522477074</v>
      </c>
      <c r="AM509">
        <v>295.12715845340563</v>
      </c>
      <c r="AO509">
        <v>40040.369052409522</v>
      </c>
      <c r="AP509">
        <v>12.914615353900247</v>
      </c>
      <c r="AQ509">
        <v>45187.941449150727</v>
      </c>
      <c r="AR509">
        <v>13.078422065979737</v>
      </c>
      <c r="AS509" s="2">
        <f t="shared" si="50"/>
        <v>5147.572396741205</v>
      </c>
      <c r="AT509" s="2">
        <f t="shared" si="51"/>
        <v>0.16380671207948971</v>
      </c>
      <c r="AV509">
        <f t="shared" si="52"/>
        <v>1251421.1663376153</v>
      </c>
      <c r="AW509">
        <f t="shared" si="53"/>
        <v>1262654.2651488229</v>
      </c>
      <c r="AY509">
        <f t="shared" si="54"/>
        <v>0</v>
      </c>
      <c r="AZ509">
        <f t="shared" si="55"/>
        <v>1</v>
      </c>
    </row>
    <row r="510" spans="1:52" x14ac:dyDescent="0.2">
      <c r="A510">
        <f t="shared" si="49"/>
        <v>506</v>
      </c>
      <c r="B510">
        <v>3.1727323922065676E-2</v>
      </c>
      <c r="C510">
        <v>3.6771282075366174E-2</v>
      </c>
      <c r="D510">
        <v>4.4480267106363214E-2</v>
      </c>
      <c r="E510">
        <v>4.3841818185548664E-2</v>
      </c>
      <c r="F510">
        <v>3.3992546689274317E-3</v>
      </c>
      <c r="G510">
        <v>4.4042618501758279E-2</v>
      </c>
      <c r="H510">
        <v>1.5946593417258601E-2</v>
      </c>
      <c r="I510">
        <v>0.13539264847863541</v>
      </c>
      <c r="J510">
        <v>0</v>
      </c>
      <c r="K510">
        <v>0.41465365815507887</v>
      </c>
      <c r="L510">
        <v>0.19044889856727806</v>
      </c>
      <c r="M510">
        <v>0.80955110143272191</v>
      </c>
      <c r="N510">
        <v>5.234059206080318E-2</v>
      </c>
      <c r="O510" s="72">
        <v>0.99994620338399154</v>
      </c>
      <c r="P510">
        <v>0.9999986610622239</v>
      </c>
      <c r="Q510">
        <v>0.98796939657896787</v>
      </c>
      <c r="R510">
        <v>0.4586982854893592</v>
      </c>
      <c r="S510">
        <v>0.43349949425182577</v>
      </c>
      <c r="T510">
        <v>0.16212667601689468</v>
      </c>
      <c r="U510">
        <v>0.76026008942037016</v>
      </c>
      <c r="V510">
        <v>0.65534339115798868</v>
      </c>
      <c r="W510">
        <v>0.57049744885877174</v>
      </c>
      <c r="X510">
        <v>0.4619376729521405</v>
      </c>
      <c r="Y510">
        <v>0.44068320714206416</v>
      </c>
      <c r="Z510">
        <v>0.45301750249238437</v>
      </c>
      <c r="AA510">
        <v>0.64535195325923889</v>
      </c>
      <c r="AB510">
        <v>0.79653412886811981</v>
      </c>
      <c r="AC510">
        <v>0.61037969765877709</v>
      </c>
      <c r="AD510">
        <v>0.61416787976154419</v>
      </c>
      <c r="AE510">
        <v>192.52441426870996</v>
      </c>
      <c r="AF510">
        <v>987.24407427325104</v>
      </c>
      <c r="AG510">
        <v>1248.7856914791264</v>
      </c>
      <c r="AH510">
        <v>16433.71528884818</v>
      </c>
      <c r="AI510">
        <v>12650.834393834706</v>
      </c>
      <c r="AJ510">
        <v>38849.160669536803</v>
      </c>
      <c r="AK510">
        <v>8959.25182395308</v>
      </c>
      <c r="AL510">
        <v>1751.7895422192146</v>
      </c>
      <c r="AM510">
        <v>515.11937953433903</v>
      </c>
      <c r="AO510">
        <v>47379.104371369882</v>
      </c>
      <c r="AP510">
        <v>12.690881397815591</v>
      </c>
      <c r="AQ510">
        <v>48460.185625466191</v>
      </c>
      <c r="AR510">
        <v>13.000248449145033</v>
      </c>
      <c r="AS510" s="2">
        <f t="shared" si="50"/>
        <v>1081.0812540963088</v>
      </c>
      <c r="AT510" s="2">
        <f t="shared" si="51"/>
        <v>0.30936705132944198</v>
      </c>
      <c r="AV510">
        <f t="shared" si="52"/>
        <v>1221709.0354101893</v>
      </c>
      <c r="AW510">
        <f t="shared" si="53"/>
        <v>1251564.6592890371</v>
      </c>
      <c r="AY510">
        <f t="shared" si="54"/>
        <v>0</v>
      </c>
      <c r="AZ510">
        <f t="shared" si="55"/>
        <v>1</v>
      </c>
    </row>
    <row r="511" spans="1:52" x14ac:dyDescent="0.2">
      <c r="A511">
        <f t="shared" si="49"/>
        <v>507</v>
      </c>
      <c r="B511">
        <v>2.7876493054207696E-2</v>
      </c>
      <c r="C511">
        <v>3.1771606444001461E-2</v>
      </c>
      <c r="D511">
        <v>5.2443084647494476E-2</v>
      </c>
      <c r="E511">
        <v>3.116097034748543E-3</v>
      </c>
      <c r="F511">
        <v>3.2810005478529111E-3</v>
      </c>
      <c r="G511">
        <v>3.5281467805747301E-3</v>
      </c>
      <c r="H511">
        <v>3.2119064665267705E-2</v>
      </c>
      <c r="I511">
        <v>0.14016065708130143</v>
      </c>
      <c r="J511">
        <v>0</v>
      </c>
      <c r="K511">
        <v>0.46984132047628346</v>
      </c>
      <c r="L511">
        <v>0.18642498507194932</v>
      </c>
      <c r="M511">
        <v>0.81357501492805073</v>
      </c>
      <c r="N511">
        <v>4.0886258863552176E-2</v>
      </c>
      <c r="O511" s="72">
        <v>0.99966512934491802</v>
      </c>
      <c r="P511">
        <v>0.99748486147442839</v>
      </c>
      <c r="Q511">
        <v>0.97976619301303081</v>
      </c>
      <c r="R511">
        <v>0.51052425513921273</v>
      </c>
      <c r="S511">
        <v>0.44158686159133176</v>
      </c>
      <c r="T511">
        <v>0.22609459423202594</v>
      </c>
      <c r="U511">
        <v>0.7664200019732984</v>
      </c>
      <c r="V511">
        <v>0.65014311446380868</v>
      </c>
      <c r="W511">
        <v>0.60481742503498004</v>
      </c>
      <c r="X511">
        <v>0.41692045260766275</v>
      </c>
      <c r="Y511">
        <v>0.46123755593831994</v>
      </c>
      <c r="Z511">
        <v>0.44422354445833356</v>
      </c>
      <c r="AA511">
        <v>0.71546376486935215</v>
      </c>
      <c r="AB511">
        <v>0.81835328576383248</v>
      </c>
      <c r="AC511">
        <v>0.63649691620184512</v>
      </c>
      <c r="AD511">
        <v>0.55544670004131269</v>
      </c>
      <c r="AE511">
        <v>215.09082009301963</v>
      </c>
      <c r="AF511">
        <v>1266.3065852890286</v>
      </c>
      <c r="AG511">
        <v>1254.7844199739452</v>
      </c>
      <c r="AH511">
        <v>13779.31697140293</v>
      </c>
      <c r="AI511">
        <v>10818.474094176088</v>
      </c>
      <c r="AJ511">
        <v>49650.155794732134</v>
      </c>
      <c r="AK511">
        <v>11808.550358375738</v>
      </c>
      <c r="AL511">
        <v>2216.7786965309319</v>
      </c>
      <c r="AM511">
        <v>367.84550910591167</v>
      </c>
      <c r="AO511">
        <v>41644.592702255512</v>
      </c>
      <c r="AP511">
        <v>13.107806395452556</v>
      </c>
      <c r="AQ511">
        <v>46278.80791743139</v>
      </c>
      <c r="AR511">
        <v>13.271338819578494</v>
      </c>
      <c r="AS511" s="2">
        <f t="shared" si="50"/>
        <v>4634.2152151758783</v>
      </c>
      <c r="AT511" s="2">
        <f t="shared" si="51"/>
        <v>0.16353242412593794</v>
      </c>
      <c r="AV511">
        <f t="shared" si="52"/>
        <v>1269136.046843</v>
      </c>
      <c r="AW511">
        <f t="shared" si="53"/>
        <v>1280855.074040418</v>
      </c>
      <c r="AY511">
        <f t="shared" si="54"/>
        <v>0</v>
      </c>
      <c r="AZ511">
        <f t="shared" si="55"/>
        <v>1</v>
      </c>
    </row>
    <row r="512" spans="1:52" x14ac:dyDescent="0.2">
      <c r="A512">
        <f t="shared" ref="A512:A575" si="56">A511+1</f>
        <v>508</v>
      </c>
      <c r="B512">
        <v>2.5012245050945459E-2</v>
      </c>
      <c r="C512">
        <v>3.2789485323820387E-2</v>
      </c>
      <c r="D512">
        <v>4.7317252957927658E-2</v>
      </c>
      <c r="E512">
        <v>2.8418399538423178E-2</v>
      </c>
      <c r="F512">
        <v>3.3600958859567598E-3</v>
      </c>
      <c r="G512">
        <v>4.9172392191875174E-3</v>
      </c>
      <c r="H512">
        <v>2.5616576048626022E-2</v>
      </c>
      <c r="I512">
        <v>0.15594636777539095</v>
      </c>
      <c r="J512">
        <v>0</v>
      </c>
      <c r="K512">
        <v>0.42371823321644886</v>
      </c>
      <c r="L512">
        <v>0.12846049470922852</v>
      </c>
      <c r="M512">
        <v>0.87153950529077151</v>
      </c>
      <c r="N512">
        <v>5.2478901675920328E-2</v>
      </c>
      <c r="O512" s="72">
        <v>0.97891208590877676</v>
      </c>
      <c r="P512">
        <v>0.99902777341525506</v>
      </c>
      <c r="Q512">
        <v>0.96124626028129545</v>
      </c>
      <c r="R512">
        <v>0.51044201833934078</v>
      </c>
      <c r="S512">
        <v>0.43862054770875736</v>
      </c>
      <c r="T512">
        <v>0.13081943573641108</v>
      </c>
      <c r="U512">
        <v>0.76036689123538292</v>
      </c>
      <c r="V512">
        <v>0.65540397183956434</v>
      </c>
      <c r="W512">
        <v>0.50583988055451634</v>
      </c>
      <c r="X512">
        <v>0.40613523037991323</v>
      </c>
      <c r="Y512">
        <v>0.48414170856885419</v>
      </c>
      <c r="Z512">
        <v>0.44986347845364461</v>
      </c>
      <c r="AA512">
        <v>0.63653155108304504</v>
      </c>
      <c r="AB512">
        <v>0.7636327376860178</v>
      </c>
      <c r="AC512">
        <v>0.77817725921945802</v>
      </c>
      <c r="AD512">
        <v>0.59242218373209099</v>
      </c>
      <c r="AE512">
        <v>187.37548301932648</v>
      </c>
      <c r="AF512">
        <v>1211.9097390671361</v>
      </c>
      <c r="AG512">
        <v>1286.6144088985341</v>
      </c>
      <c r="AH512">
        <v>15449.686675203688</v>
      </c>
      <c r="AI512">
        <v>13045.691768242576</v>
      </c>
      <c r="AJ512">
        <v>41101.372515289368</v>
      </c>
      <c r="AK512">
        <v>13736.186196447103</v>
      </c>
      <c r="AL512">
        <v>2145.8502446561206</v>
      </c>
      <c r="AM512">
        <v>489.57275457030795</v>
      </c>
      <c r="AO512">
        <v>45548.037854481481</v>
      </c>
      <c r="AP512">
        <v>12.58365067872491</v>
      </c>
      <c r="AQ512">
        <v>48280.05649217742</v>
      </c>
      <c r="AR512">
        <v>12.815538807518028</v>
      </c>
      <c r="AS512" s="2">
        <f t="shared" si="50"/>
        <v>2732.0186376959391</v>
      </c>
      <c r="AT512" s="2">
        <f t="shared" si="51"/>
        <v>0.23188812879311804</v>
      </c>
      <c r="AV512">
        <f t="shared" si="52"/>
        <v>1212817.0300180095</v>
      </c>
      <c r="AW512">
        <f t="shared" si="53"/>
        <v>1233273.8242596253</v>
      </c>
      <c r="AY512">
        <f t="shared" si="54"/>
        <v>0</v>
      </c>
      <c r="AZ512">
        <f t="shared" si="55"/>
        <v>1</v>
      </c>
    </row>
    <row r="513" spans="1:52" x14ac:dyDescent="0.2">
      <c r="A513">
        <f t="shared" si="56"/>
        <v>509</v>
      </c>
      <c r="B513">
        <v>2.8400753052631345E-2</v>
      </c>
      <c r="C513">
        <v>3.2403249230171613E-2</v>
      </c>
      <c r="D513">
        <v>7.0762644693429078E-2</v>
      </c>
      <c r="E513">
        <v>2.9041172392344827E-2</v>
      </c>
      <c r="F513">
        <v>3.423496743867771E-3</v>
      </c>
      <c r="G513">
        <v>1.4900566602936594E-2</v>
      </c>
      <c r="H513">
        <v>3.27483152993997E-2</v>
      </c>
      <c r="I513">
        <v>0.10803888294835408</v>
      </c>
      <c r="J513">
        <v>0</v>
      </c>
      <c r="K513">
        <v>0.45685000602816717</v>
      </c>
      <c r="L513">
        <v>0.21848776188364016</v>
      </c>
      <c r="M513">
        <v>0.78151223811635984</v>
      </c>
      <c r="N513">
        <v>4.1335585857705096E-2</v>
      </c>
      <c r="O513" s="72">
        <v>0.99601462818873021</v>
      </c>
      <c r="P513">
        <v>0.9999832496376746</v>
      </c>
      <c r="Q513">
        <v>0.98807878076913558</v>
      </c>
      <c r="R513">
        <v>0.47985926281199232</v>
      </c>
      <c r="S513">
        <v>0.50702245221237574</v>
      </c>
      <c r="T513">
        <v>0.18591630807755544</v>
      </c>
      <c r="U513">
        <v>0.7977522440481617</v>
      </c>
      <c r="V513">
        <v>0.70327733382105184</v>
      </c>
      <c r="W513">
        <v>0.70927976329537845</v>
      </c>
      <c r="X513">
        <v>0.45421626959036621</v>
      </c>
      <c r="Y513">
        <v>0.46701130072296393</v>
      </c>
      <c r="Z513">
        <v>0.47239805629839438</v>
      </c>
      <c r="AA513">
        <v>0.544621531588379</v>
      </c>
      <c r="AB513">
        <v>0.80035576619598825</v>
      </c>
      <c r="AC513">
        <v>0.67529416154044475</v>
      </c>
      <c r="AD513">
        <v>0.57904455130728993</v>
      </c>
      <c r="AE513">
        <v>229.11843494388873</v>
      </c>
      <c r="AF513">
        <v>1015.8841262052165</v>
      </c>
      <c r="AG513">
        <v>2706.4523691699783</v>
      </c>
      <c r="AH513">
        <v>10135.876647276968</v>
      </c>
      <c r="AI513">
        <v>11802.503685382451</v>
      </c>
      <c r="AJ513">
        <v>41456.124013932837</v>
      </c>
      <c r="AK513">
        <v>13097.856369240868</v>
      </c>
      <c r="AL513">
        <v>2003.715840701811</v>
      </c>
      <c r="AM513">
        <v>261.90581511409391</v>
      </c>
      <c r="AO513">
        <v>41682.664047992221</v>
      </c>
      <c r="AP513">
        <v>12.945234413422746</v>
      </c>
      <c r="AQ513">
        <v>44595.593666757835</v>
      </c>
      <c r="AR513">
        <v>13.124933322798489</v>
      </c>
      <c r="AS513" s="2">
        <f t="shared" si="50"/>
        <v>2912.9296187656146</v>
      </c>
      <c r="AT513" s="2">
        <f t="shared" si="51"/>
        <v>0.17969890937574284</v>
      </c>
      <c r="AV513">
        <f t="shared" si="52"/>
        <v>1252840.7772942823</v>
      </c>
      <c r="AW513">
        <f t="shared" si="53"/>
        <v>1267897.7386130909</v>
      </c>
      <c r="AY513">
        <f t="shared" si="54"/>
        <v>0</v>
      </c>
      <c r="AZ513">
        <f t="shared" si="55"/>
        <v>1</v>
      </c>
    </row>
    <row r="514" spans="1:52" x14ac:dyDescent="0.2">
      <c r="A514">
        <f t="shared" si="56"/>
        <v>510</v>
      </c>
      <c r="B514">
        <v>1.8329646814626819E-2</v>
      </c>
      <c r="C514">
        <v>3.7688335780199922E-2</v>
      </c>
      <c r="D514">
        <v>3.0420457219377538E-2</v>
      </c>
      <c r="E514">
        <v>7.6521160726785512E-3</v>
      </c>
      <c r="F514">
        <v>3.4080477661089237E-3</v>
      </c>
      <c r="G514">
        <v>1.1485033228102542E-2</v>
      </c>
      <c r="H514">
        <v>3.0132031157905081E-2</v>
      </c>
      <c r="I514">
        <v>0.11373212866339673</v>
      </c>
      <c r="J514">
        <v>0</v>
      </c>
      <c r="K514">
        <v>0.45584415024515867</v>
      </c>
      <c r="L514">
        <v>0.17081348864247919</v>
      </c>
      <c r="M514">
        <v>0.82918651135752075</v>
      </c>
      <c r="N514">
        <v>7.3834185085036697E-2</v>
      </c>
      <c r="O514" s="72">
        <v>0.99983854331629307</v>
      </c>
      <c r="P514">
        <v>0.92127691920141419</v>
      </c>
      <c r="Q514">
        <v>0.95048019785594429</v>
      </c>
      <c r="R514">
        <v>0.49390967833188759</v>
      </c>
      <c r="S514">
        <v>0.45635621581603703</v>
      </c>
      <c r="T514">
        <v>0.22018569664535204</v>
      </c>
      <c r="U514">
        <v>0.76717058176061204</v>
      </c>
      <c r="V514">
        <v>0.65389766690962547</v>
      </c>
      <c r="W514">
        <v>0.53034462142535888</v>
      </c>
      <c r="X514">
        <v>0.41835838812530635</v>
      </c>
      <c r="Y514">
        <v>0.45484042689655613</v>
      </c>
      <c r="Z514">
        <v>0.43842028952226625</v>
      </c>
      <c r="AA514">
        <v>0.71161253203404617</v>
      </c>
      <c r="AB514">
        <v>0.82748672871537199</v>
      </c>
      <c r="AC514">
        <v>0.67861088509059153</v>
      </c>
      <c r="AD514">
        <v>0.66680740046738007</v>
      </c>
      <c r="AE514">
        <v>137.22615617359776</v>
      </c>
      <c r="AF514">
        <v>952.47428752743554</v>
      </c>
      <c r="AG514">
        <v>1550.7006491592963</v>
      </c>
      <c r="AH514">
        <v>14380.130159695542</v>
      </c>
      <c r="AI514">
        <v>8181.1099505045067</v>
      </c>
      <c r="AJ514">
        <v>31741.057845671919</v>
      </c>
      <c r="AK514">
        <v>13725.933001434551</v>
      </c>
      <c r="AL514">
        <v>1626.0083916101476</v>
      </c>
      <c r="AM514">
        <v>420.68499194758999</v>
      </c>
      <c r="AO514">
        <v>43039.610246926808</v>
      </c>
      <c r="AP514">
        <v>13.440864768375787</v>
      </c>
      <c r="AQ514">
        <v>49719.335676040857</v>
      </c>
      <c r="AR514">
        <v>13.618146590937506</v>
      </c>
      <c r="AS514" s="2">
        <f t="shared" si="50"/>
        <v>6679.7254291140489</v>
      </c>
      <c r="AT514" s="2">
        <f t="shared" si="51"/>
        <v>0.17728182256171898</v>
      </c>
      <c r="AV514">
        <f t="shared" si="52"/>
        <v>1301046.8665906519</v>
      </c>
      <c r="AW514">
        <f t="shared" si="53"/>
        <v>1312095.3234177097</v>
      </c>
      <c r="AY514">
        <f t="shared" si="54"/>
        <v>0</v>
      </c>
      <c r="AZ514">
        <f t="shared" si="55"/>
        <v>1</v>
      </c>
    </row>
    <row r="515" spans="1:52" x14ac:dyDescent="0.2">
      <c r="A515">
        <f t="shared" si="56"/>
        <v>511</v>
      </c>
      <c r="B515">
        <v>2.8644968231358647E-2</v>
      </c>
      <c r="C515">
        <v>2.8824513405235942E-2</v>
      </c>
      <c r="D515">
        <v>2.2915853819209422E-2</v>
      </c>
      <c r="E515">
        <v>1.4876523539645081E-2</v>
      </c>
      <c r="F515">
        <v>3.3270161603667012E-3</v>
      </c>
      <c r="G515">
        <v>1.0442147887753567E-2</v>
      </c>
      <c r="H515">
        <v>3.3195225590348154E-2</v>
      </c>
      <c r="I515">
        <v>0.12847174778502893</v>
      </c>
      <c r="J515">
        <v>0</v>
      </c>
      <c r="K515">
        <v>0.42081114133651892</v>
      </c>
      <c r="L515">
        <v>0.25880602497665961</v>
      </c>
      <c r="M515">
        <v>0.74119397502334039</v>
      </c>
      <c r="N515">
        <v>5.039220564068303E-2</v>
      </c>
      <c r="O515" s="72">
        <v>0.98445815036645878</v>
      </c>
      <c r="P515">
        <v>0.9983501391796461</v>
      </c>
      <c r="Q515">
        <v>0.97892895413688874</v>
      </c>
      <c r="R515">
        <v>0.4831930199119705</v>
      </c>
      <c r="S515">
        <v>0.41214591136746581</v>
      </c>
      <c r="T515">
        <v>0.26707818289693608</v>
      </c>
      <c r="U515">
        <v>0.75356925046770229</v>
      </c>
      <c r="V515">
        <v>0.59174325865999333</v>
      </c>
      <c r="W515">
        <v>0.5725313365997553</v>
      </c>
      <c r="X515">
        <v>0.47133792957580178</v>
      </c>
      <c r="Y515">
        <v>0.38466688229936602</v>
      </c>
      <c r="Z515">
        <v>0.37808343175443004</v>
      </c>
      <c r="AA515">
        <v>0.67473164996241786</v>
      </c>
      <c r="AB515">
        <v>0.79031212375870852</v>
      </c>
      <c r="AC515">
        <v>0.72510127788067069</v>
      </c>
      <c r="AD515">
        <v>0.52046494986623215</v>
      </c>
      <c r="AE515">
        <v>197.7862762429852</v>
      </c>
      <c r="AF515">
        <v>1042.7005932053389</v>
      </c>
      <c r="AG515">
        <v>1522.1522722654474</v>
      </c>
      <c r="AH515">
        <v>14562.796249052042</v>
      </c>
      <c r="AI515">
        <v>10677.682935658757</v>
      </c>
      <c r="AJ515">
        <v>46585.43365070127</v>
      </c>
      <c r="AK515">
        <v>16217.792966245119</v>
      </c>
      <c r="AL515">
        <v>1707.6680922259548</v>
      </c>
      <c r="AM515">
        <v>330.35424964920185</v>
      </c>
      <c r="AO515">
        <v>41830.808084326585</v>
      </c>
      <c r="AP515">
        <v>12.86932153047657</v>
      </c>
      <c r="AQ515">
        <v>45740.701605182199</v>
      </c>
      <c r="AR515">
        <v>12.995471997540223</v>
      </c>
      <c r="AS515" s="2">
        <f t="shared" si="50"/>
        <v>3909.893520855614</v>
      </c>
      <c r="AT515" s="2">
        <f t="shared" si="51"/>
        <v>0.12615046706365263</v>
      </c>
      <c r="AV515">
        <f t="shared" si="52"/>
        <v>1245101.3449633305</v>
      </c>
      <c r="AW515">
        <f t="shared" si="53"/>
        <v>1253806.4981488402</v>
      </c>
      <c r="AY515">
        <f t="shared" si="54"/>
        <v>0</v>
      </c>
      <c r="AZ515">
        <f t="shared" si="55"/>
        <v>1</v>
      </c>
    </row>
    <row r="516" spans="1:52" x14ac:dyDescent="0.2">
      <c r="A516">
        <f t="shared" si="56"/>
        <v>512</v>
      </c>
      <c r="B516">
        <v>3.0181084325169305E-2</v>
      </c>
      <c r="C516">
        <v>3.4518949121127594E-2</v>
      </c>
      <c r="D516">
        <v>4.4057491868516485E-2</v>
      </c>
      <c r="E516">
        <v>6.6635219431606337E-5</v>
      </c>
      <c r="F516">
        <v>3.4103206496410854E-3</v>
      </c>
      <c r="G516">
        <v>3.4302677052250652E-2</v>
      </c>
      <c r="H516">
        <v>2.6798493094012207E-2</v>
      </c>
      <c r="I516">
        <v>0.11978510519577676</v>
      </c>
      <c r="J516">
        <v>0</v>
      </c>
      <c r="K516">
        <v>0.46493347206690649</v>
      </c>
      <c r="L516">
        <v>0.17275836380382814</v>
      </c>
      <c r="M516">
        <v>0.82724163619617186</v>
      </c>
      <c r="N516">
        <v>3.7199286816352609E-2</v>
      </c>
      <c r="O516" s="72">
        <v>0.99918621047873735</v>
      </c>
      <c r="P516">
        <v>0.99527684518171644</v>
      </c>
      <c r="Q516">
        <v>0.98610781837111605</v>
      </c>
      <c r="R516">
        <v>0.51053196858518257</v>
      </c>
      <c r="S516">
        <v>0.41063348171446568</v>
      </c>
      <c r="T516">
        <v>0.25480118414299391</v>
      </c>
      <c r="U516">
        <v>0.77599671864005626</v>
      </c>
      <c r="V516">
        <v>0.6417181036921018</v>
      </c>
      <c r="W516">
        <v>0.5818352071191738</v>
      </c>
      <c r="X516">
        <v>0.4108046615592888</v>
      </c>
      <c r="Y516">
        <v>0.43567825840517566</v>
      </c>
      <c r="Z516">
        <v>0.45642164416888276</v>
      </c>
      <c r="AA516">
        <v>0.64147538157921868</v>
      </c>
      <c r="AB516">
        <v>0.83974245087059352</v>
      </c>
      <c r="AC516">
        <v>0.64291180351846644</v>
      </c>
      <c r="AD516">
        <v>0.56177091802312951</v>
      </c>
      <c r="AE516">
        <v>281.46386354656175</v>
      </c>
      <c r="AF516">
        <v>1210.037136278781</v>
      </c>
      <c r="AG516">
        <v>2407.1653301012134</v>
      </c>
      <c r="AH516">
        <v>17557.355461259991</v>
      </c>
      <c r="AI516">
        <v>14774.9944007054</v>
      </c>
      <c r="AJ516">
        <v>52049.800490009962</v>
      </c>
      <c r="AK516">
        <v>10617.152961854315</v>
      </c>
      <c r="AL516">
        <v>2685.6761799329188</v>
      </c>
      <c r="AM516">
        <v>365.62232667837793</v>
      </c>
      <c r="AO516">
        <v>42101.846495413687</v>
      </c>
      <c r="AP516">
        <v>13.413439634293695</v>
      </c>
      <c r="AQ516">
        <v>46530.18668335025</v>
      </c>
      <c r="AR516">
        <v>13.586901661055146</v>
      </c>
      <c r="AS516" s="2">
        <f t="shared" si="50"/>
        <v>4428.3401879365629</v>
      </c>
      <c r="AT516" s="2">
        <f t="shared" si="51"/>
        <v>0.17346202676145062</v>
      </c>
      <c r="AV516">
        <f t="shared" si="52"/>
        <v>1299242.1169339558</v>
      </c>
      <c r="AW516">
        <f t="shared" si="53"/>
        <v>1312159.9794221644</v>
      </c>
      <c r="AY516">
        <f t="shared" si="54"/>
        <v>0</v>
      </c>
      <c r="AZ516">
        <f t="shared" si="55"/>
        <v>1</v>
      </c>
    </row>
    <row r="517" spans="1:52" x14ac:dyDescent="0.2">
      <c r="A517">
        <f t="shared" si="56"/>
        <v>513</v>
      </c>
      <c r="B517">
        <v>2.3493525740352923E-2</v>
      </c>
      <c r="C517">
        <v>3.2790130734237977E-2</v>
      </c>
      <c r="D517">
        <v>2.4443778105875929E-2</v>
      </c>
      <c r="E517">
        <v>2.080092617374163E-2</v>
      </c>
      <c r="F517">
        <v>3.2923524587885208E-3</v>
      </c>
      <c r="G517">
        <v>2.0975934088173331E-2</v>
      </c>
      <c r="H517">
        <v>1.9364186377889295E-2</v>
      </c>
      <c r="I517">
        <v>0.13533268010265476</v>
      </c>
      <c r="J517">
        <v>0</v>
      </c>
      <c r="K517">
        <v>0.45509727691593083</v>
      </c>
      <c r="L517">
        <v>0.22241170317747461</v>
      </c>
      <c r="M517">
        <v>0.77758829682252539</v>
      </c>
      <c r="N517">
        <v>6.5123264947298476E-2</v>
      </c>
      <c r="O517" s="72">
        <v>0.99408398061739534</v>
      </c>
      <c r="P517">
        <v>0.98456250618411745</v>
      </c>
      <c r="Q517">
        <v>0.94981202545553522</v>
      </c>
      <c r="R517">
        <v>0.45036497984865409</v>
      </c>
      <c r="S517">
        <v>0.36649507240254164</v>
      </c>
      <c r="T517">
        <v>0.2506313281078798</v>
      </c>
      <c r="U517">
        <v>0.76478177329859387</v>
      </c>
      <c r="V517">
        <v>0.64996682802338279</v>
      </c>
      <c r="W517">
        <v>0.49906596944226533</v>
      </c>
      <c r="X517">
        <v>0.48685737288274644</v>
      </c>
      <c r="Y517">
        <v>0.43399556474493378</v>
      </c>
      <c r="Z517">
        <v>0.40250955014097467</v>
      </c>
      <c r="AA517">
        <v>0.7020543134842101</v>
      </c>
      <c r="AB517">
        <v>0.87673268741350641</v>
      </c>
      <c r="AC517">
        <v>0.61479120788402652</v>
      </c>
      <c r="AD517">
        <v>0.60990834346908407</v>
      </c>
      <c r="AE517">
        <v>196.99329481446966</v>
      </c>
      <c r="AF517">
        <v>1054.8396389944055</v>
      </c>
      <c r="AG517">
        <v>2323.4863077147875</v>
      </c>
      <c r="AH517">
        <v>18091.340806973752</v>
      </c>
      <c r="AI517">
        <v>10223.47869810936</v>
      </c>
      <c r="AJ517">
        <v>35926.25542291208</v>
      </c>
      <c r="AK517">
        <v>10342.207028570456</v>
      </c>
      <c r="AL517">
        <v>2109.9000394904274</v>
      </c>
      <c r="AM517">
        <v>368.99942659584553</v>
      </c>
      <c r="AO517">
        <v>45224.289870680783</v>
      </c>
      <c r="AP517">
        <v>13.837135483157981</v>
      </c>
      <c r="AQ517">
        <v>46952.849027735865</v>
      </c>
      <c r="AR517">
        <v>14.112497436309509</v>
      </c>
      <c r="AS517" s="2">
        <f t="shared" si="50"/>
        <v>1728.5591570550823</v>
      </c>
      <c r="AT517" s="2">
        <f t="shared" si="51"/>
        <v>0.27536195315152767</v>
      </c>
      <c r="AV517">
        <f t="shared" si="52"/>
        <v>1338489.2584451174</v>
      </c>
      <c r="AW517">
        <f t="shared" si="53"/>
        <v>1364296.8946032149</v>
      </c>
      <c r="AY517">
        <f t="shared" si="54"/>
        <v>0</v>
      </c>
      <c r="AZ517">
        <f t="shared" si="55"/>
        <v>1</v>
      </c>
    </row>
    <row r="518" spans="1:52" x14ac:dyDescent="0.2">
      <c r="A518">
        <f t="shared" si="56"/>
        <v>514</v>
      </c>
      <c r="B518">
        <v>2.740849824873115E-2</v>
      </c>
      <c r="C518">
        <v>3.9494448143498451E-2</v>
      </c>
      <c r="D518">
        <v>3.3447705073529795E-2</v>
      </c>
      <c r="E518">
        <v>1.8022860005330266E-2</v>
      </c>
      <c r="F518">
        <v>3.4495427084132446E-3</v>
      </c>
      <c r="G518">
        <v>3.4490057527039185E-3</v>
      </c>
      <c r="H518">
        <v>3.8652814690641524E-2</v>
      </c>
      <c r="I518">
        <v>0.11738886962928366</v>
      </c>
      <c r="J518">
        <v>0</v>
      </c>
      <c r="K518">
        <v>0.42854836484764652</v>
      </c>
      <c r="L518">
        <v>0.23402012286565366</v>
      </c>
      <c r="M518">
        <v>0.76597987713434634</v>
      </c>
      <c r="N518">
        <v>8.5507281184274753E-2</v>
      </c>
      <c r="O518" s="72">
        <v>0.99993617939334656</v>
      </c>
      <c r="P518">
        <v>0.96156886667342267</v>
      </c>
      <c r="Q518">
        <v>0.99067635525706521</v>
      </c>
      <c r="R518">
        <v>0.49195159703857583</v>
      </c>
      <c r="S518">
        <v>0.40543372732787186</v>
      </c>
      <c r="T518">
        <v>0.2589945335711632</v>
      </c>
      <c r="U518">
        <v>0.77661692251037517</v>
      </c>
      <c r="V518">
        <v>0.64020191228333467</v>
      </c>
      <c r="W518">
        <v>0.46550716184203145</v>
      </c>
      <c r="X518">
        <v>0.47743993704540844</v>
      </c>
      <c r="Y518">
        <v>0.40716609164818951</v>
      </c>
      <c r="Z518">
        <v>0.45400935783121277</v>
      </c>
      <c r="AA518">
        <v>0.57236111099936926</v>
      </c>
      <c r="AB518">
        <v>0.89516617951478972</v>
      </c>
      <c r="AC518">
        <v>0.61321053752802235</v>
      </c>
      <c r="AD518">
        <v>0.59476297594386385</v>
      </c>
      <c r="AE518">
        <v>278.57885081785679</v>
      </c>
      <c r="AF518">
        <v>1103.91358696166</v>
      </c>
      <c r="AG518">
        <v>1098.0635237424885</v>
      </c>
      <c r="AH518">
        <v>12370.320131507193</v>
      </c>
      <c r="AI518">
        <v>10403.7051011807</v>
      </c>
      <c r="AJ518">
        <v>38889.899641796081</v>
      </c>
      <c r="AK518">
        <v>20811.052111794648</v>
      </c>
      <c r="AL518">
        <v>2299.8788492929812</v>
      </c>
      <c r="AM518">
        <v>377.79192837123242</v>
      </c>
      <c r="AO518">
        <v>42318.234180982661</v>
      </c>
      <c r="AP518">
        <v>14.065728038875067</v>
      </c>
      <c r="AQ518">
        <v>47585.244620866921</v>
      </c>
      <c r="AR518">
        <v>14.341192862790315</v>
      </c>
      <c r="AS518" s="2">
        <f t="shared" ref="AS518:AS581" si="57">AQ518-AO518</f>
        <v>5267.0104398842595</v>
      </c>
      <c r="AT518" s="2">
        <f t="shared" ref="AT518:AT581" si="58">AR518-AP518</f>
        <v>0.2754648239152484</v>
      </c>
      <c r="AV518">
        <f t="shared" ref="AV518:AV581" si="59">$AW$1*AP518-AO518</f>
        <v>1364254.569706524</v>
      </c>
      <c r="AW518">
        <f t="shared" ref="AW518:AW581" si="60">$AW$1*AR518-AQ518</f>
        <v>1386534.0416581647</v>
      </c>
      <c r="AY518">
        <f t="shared" ref="AY518:AY581" si="61">IF(AV518=MAX($AV518:$AW518),1,0)</f>
        <v>0</v>
      </c>
      <c r="AZ518">
        <f t="shared" ref="AZ518:AZ581" si="62">IF(AW518=MAX($AV518:$AW518),1,0)</f>
        <v>1</v>
      </c>
    </row>
    <row r="519" spans="1:52" x14ac:dyDescent="0.2">
      <c r="A519">
        <f t="shared" si="56"/>
        <v>515</v>
      </c>
      <c r="B519">
        <v>2.5954590026272317E-2</v>
      </c>
      <c r="C519">
        <v>3.3364499884582809E-2</v>
      </c>
      <c r="D519">
        <v>6.004152133037377E-2</v>
      </c>
      <c r="E519">
        <v>2.0324026271596549E-3</v>
      </c>
      <c r="F519">
        <v>3.3275884956280423E-3</v>
      </c>
      <c r="G519">
        <v>2.0794063841851229E-2</v>
      </c>
      <c r="H519">
        <v>4.2445710244560897E-2</v>
      </c>
      <c r="I519">
        <v>0.11561073030226492</v>
      </c>
      <c r="J519">
        <v>0</v>
      </c>
      <c r="K519">
        <v>0.39109906169210779</v>
      </c>
      <c r="L519">
        <v>0.20929157222930816</v>
      </c>
      <c r="M519">
        <v>0.79070842777069184</v>
      </c>
      <c r="N519">
        <v>6.4254476511360847E-2</v>
      </c>
      <c r="O519" s="72">
        <v>0.99177974148979309</v>
      </c>
      <c r="P519">
        <v>0.99319612351070008</v>
      </c>
      <c r="Q519">
        <v>0.91336507417942947</v>
      </c>
      <c r="R519">
        <v>0.51898104694848879</v>
      </c>
      <c r="S519">
        <v>0.33469959285319417</v>
      </c>
      <c r="T519">
        <v>0.3196724228708101</v>
      </c>
      <c r="U519">
        <v>0.76812897475443398</v>
      </c>
      <c r="V519">
        <v>0.66127936843705282</v>
      </c>
      <c r="W519">
        <v>0.55653077545636431</v>
      </c>
      <c r="X519">
        <v>0.45187599652252908</v>
      </c>
      <c r="Y519">
        <v>0.41875695514190481</v>
      </c>
      <c r="Z519">
        <v>0.44153119833859028</v>
      </c>
      <c r="AA519">
        <v>0.75211632802159722</v>
      </c>
      <c r="AB519">
        <v>0.79935809804262181</v>
      </c>
      <c r="AC519">
        <v>0.73912774107255419</v>
      </c>
      <c r="AD519">
        <v>0.58781645860491438</v>
      </c>
      <c r="AE519">
        <v>222.12204633461207</v>
      </c>
      <c r="AF519">
        <v>1096.1393476888327</v>
      </c>
      <c r="AG519">
        <v>1814.5253680017861</v>
      </c>
      <c r="AH519">
        <v>9828.5948888739676</v>
      </c>
      <c r="AI519">
        <v>11798.770454999711</v>
      </c>
      <c r="AJ519">
        <v>37132.029126477893</v>
      </c>
      <c r="AK519">
        <v>13757.798993783712</v>
      </c>
      <c r="AL519">
        <v>2099.9046569393508</v>
      </c>
      <c r="AM519">
        <v>406.3060440719259</v>
      </c>
      <c r="AO519">
        <v>41584.751885046673</v>
      </c>
      <c r="AP519">
        <v>13.100931595614803</v>
      </c>
      <c r="AQ519">
        <v>47268.392432501787</v>
      </c>
      <c r="AR519">
        <v>13.236083085062821</v>
      </c>
      <c r="AS519" s="2">
        <f t="shared" si="57"/>
        <v>5683.6405474551138</v>
      </c>
      <c r="AT519" s="2">
        <f t="shared" si="58"/>
        <v>0.13515148944801858</v>
      </c>
      <c r="AV519">
        <f t="shared" si="59"/>
        <v>1268508.4076764337</v>
      </c>
      <c r="AW519">
        <f t="shared" si="60"/>
        <v>1276339.9160737803</v>
      </c>
      <c r="AY519">
        <f t="shared" si="61"/>
        <v>0</v>
      </c>
      <c r="AZ519">
        <f t="shared" si="62"/>
        <v>1</v>
      </c>
    </row>
    <row r="520" spans="1:52" x14ac:dyDescent="0.2">
      <c r="A520">
        <f t="shared" si="56"/>
        <v>516</v>
      </c>
      <c r="B520">
        <v>2.738252237661809E-2</v>
      </c>
      <c r="C520">
        <v>3.5091162778827852E-2</v>
      </c>
      <c r="D520">
        <v>3.9920424035494673E-2</v>
      </c>
      <c r="E520">
        <v>2.3712966372444799E-2</v>
      </c>
      <c r="F520">
        <v>3.3943433134135947E-3</v>
      </c>
      <c r="G520">
        <v>3.0430237890564427E-2</v>
      </c>
      <c r="H520">
        <v>1.7707153953532881E-2</v>
      </c>
      <c r="I520">
        <v>0.12296076097227235</v>
      </c>
      <c r="J520">
        <v>0</v>
      </c>
      <c r="K520">
        <v>0.40884355878537304</v>
      </c>
      <c r="L520">
        <v>0.18309113906600463</v>
      </c>
      <c r="M520">
        <v>0.8169088609339954</v>
      </c>
      <c r="N520">
        <v>4.2463905961217782E-2</v>
      </c>
      <c r="O520" s="72">
        <v>0.99638252740772826</v>
      </c>
      <c r="P520">
        <v>0.99860271411609824</v>
      </c>
      <c r="Q520">
        <v>0.89624675956061672</v>
      </c>
      <c r="R520">
        <v>0.51808204059445595</v>
      </c>
      <c r="S520">
        <v>0.41194561686730535</v>
      </c>
      <c r="T520">
        <v>0.30366751157078387</v>
      </c>
      <c r="U520">
        <v>0.77131165905601007</v>
      </c>
      <c r="V520">
        <v>0.65281734647634881</v>
      </c>
      <c r="W520">
        <v>0.58549790399028456</v>
      </c>
      <c r="X520">
        <v>0.48499986019361507</v>
      </c>
      <c r="Y520">
        <v>0.41835976289974591</v>
      </c>
      <c r="Z520">
        <v>0.42988908831685535</v>
      </c>
      <c r="AA520">
        <v>0.64364751136459875</v>
      </c>
      <c r="AB520">
        <v>0.79509127558497272</v>
      </c>
      <c r="AC520">
        <v>0.66357092788146754</v>
      </c>
      <c r="AD520">
        <v>0.54663728143932089</v>
      </c>
      <c r="AE520">
        <v>164.5924210618148</v>
      </c>
      <c r="AF520">
        <v>977.26185394474362</v>
      </c>
      <c r="AG520">
        <v>2108.3781396419304</v>
      </c>
      <c r="AH520">
        <v>16929.661733209727</v>
      </c>
      <c r="AI520">
        <v>16112.992017722407</v>
      </c>
      <c r="AJ520">
        <v>35874.354982964796</v>
      </c>
      <c r="AK520">
        <v>12095.306908653549</v>
      </c>
      <c r="AL520">
        <v>4311.8699885827828</v>
      </c>
      <c r="AM520">
        <v>343.24692923612326</v>
      </c>
      <c r="AO520">
        <v>40126.697419302756</v>
      </c>
      <c r="AP520">
        <v>12.853343456761371</v>
      </c>
      <c r="AQ520">
        <v>46277.655161294104</v>
      </c>
      <c r="AR520">
        <v>12.982574505694108</v>
      </c>
      <c r="AS520" s="2">
        <f t="shared" si="57"/>
        <v>6150.9577419913476</v>
      </c>
      <c r="AT520" s="2">
        <f t="shared" si="58"/>
        <v>0.12923104893273774</v>
      </c>
      <c r="AV520">
        <f t="shared" si="59"/>
        <v>1245207.6482568344</v>
      </c>
      <c r="AW520">
        <f t="shared" si="60"/>
        <v>1251979.7954081167</v>
      </c>
      <c r="AY520">
        <f t="shared" si="61"/>
        <v>0</v>
      </c>
      <c r="AZ520">
        <f t="shared" si="62"/>
        <v>1</v>
      </c>
    </row>
    <row r="521" spans="1:52" x14ac:dyDescent="0.2">
      <c r="A521">
        <f t="shared" si="56"/>
        <v>517</v>
      </c>
      <c r="B521">
        <v>2.2173835826488037E-2</v>
      </c>
      <c r="C521">
        <v>3.6981474527888247E-2</v>
      </c>
      <c r="D521">
        <v>3.5777647625435942E-2</v>
      </c>
      <c r="E521">
        <v>1.8677195154385706E-2</v>
      </c>
      <c r="F521">
        <v>3.3333482351100684E-3</v>
      </c>
      <c r="G521">
        <v>1.1339194038110758E-2</v>
      </c>
      <c r="H521">
        <v>1.6125471200908105E-2</v>
      </c>
      <c r="I521">
        <v>0.13164198765613988</v>
      </c>
      <c r="J521">
        <v>0</v>
      </c>
      <c r="K521">
        <v>0.45869109673456854</v>
      </c>
      <c r="L521">
        <v>0.23961802668121779</v>
      </c>
      <c r="M521">
        <v>0.76038197331878221</v>
      </c>
      <c r="N521">
        <v>4.3752608676996319E-2</v>
      </c>
      <c r="O521" s="72">
        <v>0.99991344172110297</v>
      </c>
      <c r="P521">
        <v>0.98183243816160903</v>
      </c>
      <c r="Q521">
        <v>0.84809447946319216</v>
      </c>
      <c r="R521">
        <v>0.47499387776137769</v>
      </c>
      <c r="S521">
        <v>0.29660953578469895</v>
      </c>
      <c r="T521">
        <v>0.3370300604510813</v>
      </c>
      <c r="U521">
        <v>0.77637981560928693</v>
      </c>
      <c r="V521">
        <v>0.63200993211450451</v>
      </c>
      <c r="W521">
        <v>0.61156353781989337</v>
      </c>
      <c r="X521">
        <v>0.43928990191713269</v>
      </c>
      <c r="Y521">
        <v>0.37861795574413576</v>
      </c>
      <c r="Z521">
        <v>0.37450226782942991</v>
      </c>
      <c r="AA521">
        <v>0.74080421610519265</v>
      </c>
      <c r="AB521">
        <v>0.85527673894468315</v>
      </c>
      <c r="AC521">
        <v>0.8073198704149136</v>
      </c>
      <c r="AD521">
        <v>0.6531896452317818</v>
      </c>
      <c r="AE521">
        <v>209.01679335306571</v>
      </c>
      <c r="AF521">
        <v>1098.9265265000449</v>
      </c>
      <c r="AG521">
        <v>1654.0585193525335</v>
      </c>
      <c r="AH521">
        <v>11859.523438743661</v>
      </c>
      <c r="AI521">
        <v>10252.052697712923</v>
      </c>
      <c r="AJ521">
        <v>37040.391335236796</v>
      </c>
      <c r="AK521">
        <v>17347.59924173095</v>
      </c>
      <c r="AL521">
        <v>1632.8899680380691</v>
      </c>
      <c r="AM521">
        <v>320.98547209125678</v>
      </c>
      <c r="AO521">
        <v>42729.668323427213</v>
      </c>
      <c r="AP521">
        <v>14.006910712143359</v>
      </c>
      <c r="AQ521">
        <v>46526.222585832526</v>
      </c>
      <c r="AR521">
        <v>14.217735492182753</v>
      </c>
      <c r="AS521" s="2">
        <f t="shared" si="57"/>
        <v>3796.5542624053123</v>
      </c>
      <c r="AT521" s="2">
        <f t="shared" si="58"/>
        <v>0.21082478003939364</v>
      </c>
      <c r="AV521">
        <f t="shared" si="59"/>
        <v>1357961.4028909088</v>
      </c>
      <c r="AW521">
        <f t="shared" si="60"/>
        <v>1375247.3266324429</v>
      </c>
      <c r="AY521">
        <f t="shared" si="61"/>
        <v>0</v>
      </c>
      <c r="AZ521">
        <f t="shared" si="62"/>
        <v>1</v>
      </c>
    </row>
    <row r="522" spans="1:52" x14ac:dyDescent="0.2">
      <c r="A522">
        <f t="shared" si="56"/>
        <v>518</v>
      </c>
      <c r="B522">
        <v>2.9949459550530189E-2</v>
      </c>
      <c r="C522">
        <v>3.5821619517237779E-2</v>
      </c>
      <c r="D522">
        <v>3.4368323896128407E-2</v>
      </c>
      <c r="E522">
        <v>1.4081959898290485E-3</v>
      </c>
      <c r="F522">
        <v>3.2947115629511571E-3</v>
      </c>
      <c r="G522">
        <v>1.2874812501421862E-2</v>
      </c>
      <c r="H522">
        <v>4.9361034675772908E-2</v>
      </c>
      <c r="I522">
        <v>0.11390601157535105</v>
      </c>
      <c r="J522">
        <v>0</v>
      </c>
      <c r="K522">
        <v>0.47634753216657388</v>
      </c>
      <c r="L522">
        <v>0.20773840173729852</v>
      </c>
      <c r="M522">
        <v>0.79226159826270148</v>
      </c>
      <c r="N522">
        <v>5.9015342970459073E-2</v>
      </c>
      <c r="O522" s="72">
        <v>0.99997924833940111</v>
      </c>
      <c r="P522">
        <v>0.99988303567036951</v>
      </c>
      <c r="Q522">
        <v>0.94627571740816185</v>
      </c>
      <c r="R522">
        <v>0.48785943364822437</v>
      </c>
      <c r="S522">
        <v>0.40607262424272761</v>
      </c>
      <c r="T522">
        <v>0.32440440860154185</v>
      </c>
      <c r="U522">
        <v>0.77249059976104617</v>
      </c>
      <c r="V522">
        <v>0.62930000669225983</v>
      </c>
      <c r="W522">
        <v>0.57988041234535992</v>
      </c>
      <c r="X522">
        <v>0.47751747429632718</v>
      </c>
      <c r="Y522">
        <v>0.4247939874741255</v>
      </c>
      <c r="Z522">
        <v>0.44681873137306888</v>
      </c>
      <c r="AA522">
        <v>0.61270766304425195</v>
      </c>
      <c r="AB522">
        <v>0.87066775802687579</v>
      </c>
      <c r="AC522">
        <v>0.69890548143516118</v>
      </c>
      <c r="AD522">
        <v>0.59658537600521788</v>
      </c>
      <c r="AE522">
        <v>167.58070615088587</v>
      </c>
      <c r="AF522">
        <v>1094.2426442131805</v>
      </c>
      <c r="AG522">
        <v>1144.938762342955</v>
      </c>
      <c r="AH522">
        <v>10870.012874407947</v>
      </c>
      <c r="AI522">
        <v>12769.074008838623</v>
      </c>
      <c r="AJ522">
        <v>42321.344140952679</v>
      </c>
      <c r="AK522">
        <v>15045.046195102548</v>
      </c>
      <c r="AL522">
        <v>1930.4236190684976</v>
      </c>
      <c r="AM522">
        <v>332.55703507284062</v>
      </c>
      <c r="AO522">
        <v>40806.299564206493</v>
      </c>
      <c r="AP522">
        <v>13.967113172770082</v>
      </c>
      <c r="AQ522">
        <v>45668.375123194288</v>
      </c>
      <c r="AR522">
        <v>14.16750049493727</v>
      </c>
      <c r="AS522" s="2">
        <f t="shared" si="57"/>
        <v>4862.0755589877954</v>
      </c>
      <c r="AT522" s="2">
        <f t="shared" si="58"/>
        <v>0.20038732216718813</v>
      </c>
      <c r="AV522">
        <f t="shared" si="59"/>
        <v>1355905.0177128017</v>
      </c>
      <c r="AW522">
        <f t="shared" si="60"/>
        <v>1371081.6743705329</v>
      </c>
      <c r="AY522">
        <f t="shared" si="61"/>
        <v>0</v>
      </c>
      <c r="AZ522">
        <f t="shared" si="62"/>
        <v>1</v>
      </c>
    </row>
    <row r="523" spans="1:52" x14ac:dyDescent="0.2">
      <c r="A523">
        <f t="shared" si="56"/>
        <v>519</v>
      </c>
      <c r="B523">
        <v>2.5944706280243257E-2</v>
      </c>
      <c r="C523">
        <v>5.1164057773268823E-2</v>
      </c>
      <c r="D523">
        <v>5.0259017177562648E-2</v>
      </c>
      <c r="E523">
        <v>1.9260301696247971E-3</v>
      </c>
      <c r="F523">
        <v>3.3245368314370354E-3</v>
      </c>
      <c r="G523">
        <v>3.0311332511837374E-2</v>
      </c>
      <c r="H523">
        <v>3.2862213348394009E-2</v>
      </c>
      <c r="I523">
        <v>0.1345768237677073</v>
      </c>
      <c r="J523">
        <v>0</v>
      </c>
      <c r="K523">
        <v>0.4171769780494714</v>
      </c>
      <c r="L523">
        <v>0.19761447758439188</v>
      </c>
      <c r="M523">
        <v>0.80238552241560812</v>
      </c>
      <c r="N523">
        <v>7.160611960057317E-2</v>
      </c>
      <c r="O523" s="72">
        <v>0.91737439302893997</v>
      </c>
      <c r="P523">
        <v>0.97431798464425357</v>
      </c>
      <c r="Q523">
        <v>0.98675414613015067</v>
      </c>
      <c r="R523">
        <v>0.50991955252960341</v>
      </c>
      <c r="S523">
        <v>0.38412103220890637</v>
      </c>
      <c r="T523">
        <v>0.29539396071063384</v>
      </c>
      <c r="U523">
        <v>0.77243251585082695</v>
      </c>
      <c r="V523">
        <v>0.64479078622179409</v>
      </c>
      <c r="W523">
        <v>0.59305421841765416</v>
      </c>
      <c r="X523">
        <v>0.45650351964649216</v>
      </c>
      <c r="Y523">
        <v>0.49267741819389865</v>
      </c>
      <c r="Z523">
        <v>0.47616939659477242</v>
      </c>
      <c r="AA523">
        <v>0.66368002667907855</v>
      </c>
      <c r="AB523">
        <v>0.84493801079722042</v>
      </c>
      <c r="AC523">
        <v>0.78510662319150781</v>
      </c>
      <c r="AD523">
        <v>0.63601752180162308</v>
      </c>
      <c r="AE523">
        <v>209.61858442250403</v>
      </c>
      <c r="AF523">
        <v>1036.6819352264531</v>
      </c>
      <c r="AG523">
        <v>1532.0682069265365</v>
      </c>
      <c r="AH523">
        <v>14120.012606669534</v>
      </c>
      <c r="AI523">
        <v>9848.2806018851788</v>
      </c>
      <c r="AJ523">
        <v>37911.642951853049</v>
      </c>
      <c r="AK523">
        <v>12293.815374252488</v>
      </c>
      <c r="AL523">
        <v>1938.1606423691267</v>
      </c>
      <c r="AM523">
        <v>414.61733387093352</v>
      </c>
      <c r="AO523">
        <v>41812.60994304184</v>
      </c>
      <c r="AP523">
        <v>13.827504819611839</v>
      </c>
      <c r="AQ523">
        <v>48067.791518022284</v>
      </c>
      <c r="AR523">
        <v>14.014296972173012</v>
      </c>
      <c r="AS523" s="2">
        <f t="shared" si="57"/>
        <v>6255.1815749804446</v>
      </c>
      <c r="AT523" s="2">
        <f t="shared" si="58"/>
        <v>0.1867921525611731</v>
      </c>
      <c r="AV523">
        <f t="shared" si="59"/>
        <v>1340937.8720181421</v>
      </c>
      <c r="AW523">
        <f t="shared" si="60"/>
        <v>1353361.9056992789</v>
      </c>
      <c r="AY523">
        <f t="shared" si="61"/>
        <v>0</v>
      </c>
      <c r="AZ523">
        <f t="shared" si="62"/>
        <v>1</v>
      </c>
    </row>
    <row r="524" spans="1:52" x14ac:dyDescent="0.2">
      <c r="A524">
        <f t="shared" si="56"/>
        <v>520</v>
      </c>
      <c r="B524">
        <v>3.373283857286169E-2</v>
      </c>
      <c r="C524">
        <v>4.5476357402792322E-2</v>
      </c>
      <c r="D524">
        <v>3.2811744292529428E-2</v>
      </c>
      <c r="E524">
        <v>1.0008164388046099E-2</v>
      </c>
      <c r="F524">
        <v>3.3504970644745447E-3</v>
      </c>
      <c r="G524">
        <v>4.9104814132244545E-2</v>
      </c>
      <c r="H524">
        <v>2.5275072827226498E-2</v>
      </c>
      <c r="I524">
        <v>0.1265156119137989</v>
      </c>
      <c r="J524">
        <v>0</v>
      </c>
      <c r="K524">
        <v>0.44902387381345554</v>
      </c>
      <c r="L524">
        <v>0.22295748528977899</v>
      </c>
      <c r="M524">
        <v>0.77704251471022101</v>
      </c>
      <c r="N524">
        <v>6.4711114525527136E-2</v>
      </c>
      <c r="O524" s="72">
        <v>0.91211051411224353</v>
      </c>
      <c r="P524">
        <v>0.99999739806895493</v>
      </c>
      <c r="Q524">
        <v>0.96757217891399083</v>
      </c>
      <c r="R524">
        <v>0.54305493609339417</v>
      </c>
      <c r="S524">
        <v>0.37297475568507765</v>
      </c>
      <c r="T524">
        <v>0.11735312680709897</v>
      </c>
      <c r="U524">
        <v>0.75118516891486775</v>
      </c>
      <c r="V524">
        <v>0.73126557111555068</v>
      </c>
      <c r="W524">
        <v>0.56279623157887659</v>
      </c>
      <c r="X524">
        <v>0.4633811585233103</v>
      </c>
      <c r="Y524">
        <v>0.45829667382442041</v>
      </c>
      <c r="Z524">
        <v>0.44612548441858496</v>
      </c>
      <c r="AA524">
        <v>0.61988473021688273</v>
      </c>
      <c r="AB524">
        <v>0.82838497124693022</v>
      </c>
      <c r="AC524">
        <v>0.70543284629158232</v>
      </c>
      <c r="AD524">
        <v>0.53702900579672841</v>
      </c>
      <c r="AE524">
        <v>141.39147581846044</v>
      </c>
      <c r="AF524">
        <v>1213.3847148771542</v>
      </c>
      <c r="AG524">
        <v>1387.5083252143197</v>
      </c>
      <c r="AH524">
        <v>15520.48896693258</v>
      </c>
      <c r="AI524">
        <v>15227.526395451727</v>
      </c>
      <c r="AJ524">
        <v>35634.40477371974</v>
      </c>
      <c r="AK524">
        <v>16628.523613569803</v>
      </c>
      <c r="AL524">
        <v>1627.2671574692656</v>
      </c>
      <c r="AM524">
        <v>308.7613729851293</v>
      </c>
      <c r="AO524">
        <v>43614.2391853843</v>
      </c>
      <c r="AP524">
        <v>13.308074636572286</v>
      </c>
      <c r="AQ524">
        <v>45673.184516414418</v>
      </c>
      <c r="AR524">
        <v>13.507905482756462</v>
      </c>
      <c r="AS524" s="2">
        <f t="shared" si="57"/>
        <v>2058.9453310301178</v>
      </c>
      <c r="AT524" s="2">
        <f t="shared" si="58"/>
        <v>0.19983084618417557</v>
      </c>
      <c r="AV524">
        <f t="shared" si="59"/>
        <v>1287193.2244718443</v>
      </c>
      <c r="AW524">
        <f t="shared" si="60"/>
        <v>1305117.3637592318</v>
      </c>
      <c r="AY524">
        <f t="shared" si="61"/>
        <v>0</v>
      </c>
      <c r="AZ524">
        <f t="shared" si="62"/>
        <v>1</v>
      </c>
    </row>
    <row r="525" spans="1:52" x14ac:dyDescent="0.2">
      <c r="A525">
        <f t="shared" si="56"/>
        <v>521</v>
      </c>
      <c r="B525">
        <v>3.0032730550842102E-2</v>
      </c>
      <c r="C525">
        <v>4.4871075083564249E-2</v>
      </c>
      <c r="D525">
        <v>2.8196003487506872E-2</v>
      </c>
      <c r="E525">
        <v>5.5751371723657683E-3</v>
      </c>
      <c r="F525">
        <v>3.3953539359264928E-3</v>
      </c>
      <c r="G525">
        <v>1.4881003852184271E-2</v>
      </c>
      <c r="H525">
        <v>1.6265508240902771E-2</v>
      </c>
      <c r="I525">
        <v>0.12461171158191199</v>
      </c>
      <c r="J525">
        <v>0</v>
      </c>
      <c r="K525">
        <v>0.46797024852316016</v>
      </c>
      <c r="L525">
        <v>0.16303335013498141</v>
      </c>
      <c r="M525">
        <v>0.83696664986501856</v>
      </c>
      <c r="N525">
        <v>4.1419786085220733E-2</v>
      </c>
      <c r="O525" s="72">
        <v>0.95102726466498455</v>
      </c>
      <c r="P525">
        <v>0.99753054525138651</v>
      </c>
      <c r="Q525">
        <v>0.97157478087225446</v>
      </c>
      <c r="R525">
        <v>0.43870284189831976</v>
      </c>
      <c r="S525">
        <v>0.33312818008841993</v>
      </c>
      <c r="T525">
        <v>0.15972072958918637</v>
      </c>
      <c r="U525">
        <v>0.76935810482946065</v>
      </c>
      <c r="V525">
        <v>0.68896503604680293</v>
      </c>
      <c r="W525">
        <v>0.56096224214108603</v>
      </c>
      <c r="X525">
        <v>0.48305087588648987</v>
      </c>
      <c r="Y525">
        <v>0.41182440655097391</v>
      </c>
      <c r="Z525">
        <v>0.42994280669161095</v>
      </c>
      <c r="AA525">
        <v>0.66004140750653972</v>
      </c>
      <c r="AB525">
        <v>0.81259813485166354</v>
      </c>
      <c r="AC525">
        <v>0.66822259303492737</v>
      </c>
      <c r="AD525">
        <v>0.64635309083771175</v>
      </c>
      <c r="AE525">
        <v>198.75689569960906</v>
      </c>
      <c r="AF525">
        <v>975.14048267021781</v>
      </c>
      <c r="AG525">
        <v>1478.4408066727042</v>
      </c>
      <c r="AH525">
        <v>13388.277377380344</v>
      </c>
      <c r="AI525">
        <v>16165.546259632296</v>
      </c>
      <c r="AJ525">
        <v>37448.828481326767</v>
      </c>
      <c r="AK525">
        <v>9644.7584653341801</v>
      </c>
      <c r="AL525">
        <v>2144.8471057167303</v>
      </c>
      <c r="AM525">
        <v>378.64244038449584</v>
      </c>
      <c r="AO525">
        <v>48815.929503756575</v>
      </c>
      <c r="AP525">
        <v>13.157127902953581</v>
      </c>
      <c r="AQ525">
        <v>46666.811441910424</v>
      </c>
      <c r="AR525">
        <v>13.373240180944137</v>
      </c>
      <c r="AS525" s="2">
        <f t="shared" si="57"/>
        <v>-2149.1180618461512</v>
      </c>
      <c r="AT525" s="2">
        <f t="shared" si="58"/>
        <v>0.21611227799055577</v>
      </c>
      <c r="AV525">
        <f t="shared" si="59"/>
        <v>1266896.8607916015</v>
      </c>
      <c r="AW525">
        <f t="shared" si="60"/>
        <v>1290657.2066525032</v>
      </c>
      <c r="AY525">
        <f t="shared" si="61"/>
        <v>0</v>
      </c>
      <c r="AZ525">
        <f t="shared" si="62"/>
        <v>1</v>
      </c>
    </row>
    <row r="526" spans="1:52" x14ac:dyDescent="0.2">
      <c r="A526">
        <f t="shared" si="56"/>
        <v>522</v>
      </c>
      <c r="B526">
        <v>1.7414638570749364E-2</v>
      </c>
      <c r="C526">
        <v>2.5645524886282609E-2</v>
      </c>
      <c r="D526">
        <v>2.3833336720696503E-2</v>
      </c>
      <c r="E526">
        <v>5.7580166123215029E-3</v>
      </c>
      <c r="F526">
        <v>3.2933748979076354E-3</v>
      </c>
      <c r="G526">
        <v>1.8874816692126539E-2</v>
      </c>
      <c r="H526">
        <v>2.0689145242867722E-2</v>
      </c>
      <c r="I526">
        <v>0.13359293676120509</v>
      </c>
      <c r="J526">
        <v>0</v>
      </c>
      <c r="K526">
        <v>0.45755294638678401</v>
      </c>
      <c r="L526">
        <v>0.12998186779287804</v>
      </c>
      <c r="M526">
        <v>0.87001813220712199</v>
      </c>
      <c r="N526">
        <v>4.780274857222061E-2</v>
      </c>
      <c r="O526" s="72">
        <v>0.99992963796118672</v>
      </c>
      <c r="P526">
        <v>0.99823413617407997</v>
      </c>
      <c r="Q526">
        <v>0.92616693043931209</v>
      </c>
      <c r="R526">
        <v>0.4881311177388713</v>
      </c>
      <c r="S526">
        <v>0.42173061220318875</v>
      </c>
      <c r="T526">
        <v>0.18927322031557325</v>
      </c>
      <c r="U526">
        <v>0.76640210128924036</v>
      </c>
      <c r="V526">
        <v>0.69199834922736514</v>
      </c>
      <c r="W526">
        <v>0.53971727368487565</v>
      </c>
      <c r="X526">
        <v>0.46834981727046987</v>
      </c>
      <c r="Y526">
        <v>0.45850348594232704</v>
      </c>
      <c r="Z526">
        <v>0.44560356676915192</v>
      </c>
      <c r="AA526">
        <v>0.67965381031571659</v>
      </c>
      <c r="AB526">
        <v>0.78728562395936941</v>
      </c>
      <c r="AC526">
        <v>0.70162367118818003</v>
      </c>
      <c r="AD526">
        <v>0.63807316175909989</v>
      </c>
      <c r="AE526">
        <v>223.92483063495146</v>
      </c>
      <c r="AF526">
        <v>1066.1896778015127</v>
      </c>
      <c r="AG526">
        <v>1285.3583476948866</v>
      </c>
      <c r="AH526">
        <v>14746.415815226168</v>
      </c>
      <c r="AI526">
        <v>14583.56239711667</v>
      </c>
      <c r="AJ526">
        <v>30681.87278459653</v>
      </c>
      <c r="AK526">
        <v>8045.3095650958012</v>
      </c>
      <c r="AL526">
        <v>2607.0225912396218</v>
      </c>
      <c r="AM526">
        <v>368.53691973913885</v>
      </c>
      <c r="AO526">
        <v>43621.90234990367</v>
      </c>
      <c r="AP526">
        <v>12.945979186716345</v>
      </c>
      <c r="AQ526">
        <v>46455.81801605886</v>
      </c>
      <c r="AR526">
        <v>13.070336458931388</v>
      </c>
      <c r="AS526" s="2">
        <f t="shared" si="57"/>
        <v>2833.9156661551897</v>
      </c>
      <c r="AT526" s="2">
        <f t="shared" si="58"/>
        <v>0.12435727221504322</v>
      </c>
      <c r="AV526">
        <f t="shared" si="59"/>
        <v>1250976.0163217308</v>
      </c>
      <c r="AW526">
        <f t="shared" si="60"/>
        <v>1260577.8278770801</v>
      </c>
      <c r="AY526">
        <f t="shared" si="61"/>
        <v>0</v>
      </c>
      <c r="AZ526">
        <f t="shared" si="62"/>
        <v>1</v>
      </c>
    </row>
    <row r="527" spans="1:52" x14ac:dyDescent="0.2">
      <c r="A527">
        <f t="shared" si="56"/>
        <v>523</v>
      </c>
      <c r="B527">
        <v>2.8687808121415359E-2</v>
      </c>
      <c r="C527">
        <v>4.1000332136572837E-2</v>
      </c>
      <c r="D527">
        <v>3.491192074968022E-2</v>
      </c>
      <c r="E527">
        <v>1.798297857669251E-2</v>
      </c>
      <c r="F527">
        <v>3.287357583122335E-3</v>
      </c>
      <c r="G527">
        <v>1.8271523490598907E-2</v>
      </c>
      <c r="H527">
        <v>1.5606968284722597E-2</v>
      </c>
      <c r="I527">
        <v>0.13290931207844037</v>
      </c>
      <c r="J527">
        <v>0</v>
      </c>
      <c r="K527">
        <v>0.40055679547419737</v>
      </c>
      <c r="L527">
        <v>0.26517562589827215</v>
      </c>
      <c r="M527">
        <v>0.73482437410172785</v>
      </c>
      <c r="N527">
        <v>6.4914504789115757E-2</v>
      </c>
      <c r="O527" s="72">
        <v>0.99990294475323171</v>
      </c>
      <c r="P527">
        <v>0.99815185471581513</v>
      </c>
      <c r="Q527">
        <v>0.94993091046256772</v>
      </c>
      <c r="R527">
        <v>0.49504715015959344</v>
      </c>
      <c r="S527">
        <v>0.25905796493797617</v>
      </c>
      <c r="T527">
        <v>0.16988002860728801</v>
      </c>
      <c r="U527">
        <v>0.78168307817325333</v>
      </c>
      <c r="V527">
        <v>0.62622760351869522</v>
      </c>
      <c r="W527">
        <v>0.51807143342177586</v>
      </c>
      <c r="X527">
        <v>0.45753785237728395</v>
      </c>
      <c r="Y527">
        <v>0.3876706159285902</v>
      </c>
      <c r="Z527">
        <v>0.39359224988901004</v>
      </c>
      <c r="AA527">
        <v>0.65848900209146877</v>
      </c>
      <c r="AB527">
        <v>0.79120476332321266</v>
      </c>
      <c r="AC527">
        <v>0.73945275664362553</v>
      </c>
      <c r="AD527">
        <v>0.66508480050716823</v>
      </c>
      <c r="AE527">
        <v>158.35514595334098</v>
      </c>
      <c r="AF527">
        <v>1016.0869797992589</v>
      </c>
      <c r="AG527">
        <v>1534.0726422353766</v>
      </c>
      <c r="AH527">
        <v>13897.231178310052</v>
      </c>
      <c r="AI527">
        <v>11436.045912380596</v>
      </c>
      <c r="AJ527">
        <v>45018.42096908544</v>
      </c>
      <c r="AK527">
        <v>16298.057869204651</v>
      </c>
      <c r="AL527">
        <v>2220.885449878891</v>
      </c>
      <c r="AM527">
        <v>420.16911294516268</v>
      </c>
      <c r="AO527">
        <v>47140.031767190208</v>
      </c>
      <c r="AP527">
        <v>12.976226614107548</v>
      </c>
      <c r="AQ527">
        <v>47130.805733707937</v>
      </c>
      <c r="AR527">
        <v>13.228848825957911</v>
      </c>
      <c r="AS527" s="2">
        <f t="shared" si="57"/>
        <v>-9.2260334822713048</v>
      </c>
      <c r="AT527" s="2">
        <f t="shared" si="58"/>
        <v>0.2526222118503636</v>
      </c>
      <c r="AV527">
        <f t="shared" si="59"/>
        <v>1250482.6296435646</v>
      </c>
      <c r="AW527">
        <f t="shared" si="60"/>
        <v>1275754.076862083</v>
      </c>
      <c r="AY527">
        <f t="shared" si="61"/>
        <v>0</v>
      </c>
      <c r="AZ527">
        <f t="shared" si="62"/>
        <v>1</v>
      </c>
    </row>
    <row r="528" spans="1:52" x14ac:dyDescent="0.2">
      <c r="A528">
        <f t="shared" si="56"/>
        <v>524</v>
      </c>
      <c r="B528">
        <v>2.5665166782481319E-2</v>
      </c>
      <c r="C528">
        <v>4.8495699121816283E-2</v>
      </c>
      <c r="D528">
        <v>2.7009282826479551E-2</v>
      </c>
      <c r="E528">
        <v>1.2138836525468433E-2</v>
      </c>
      <c r="F528">
        <v>3.4097060737822149E-3</v>
      </c>
      <c r="G528">
        <v>1.2265889244344352E-2</v>
      </c>
      <c r="H528">
        <v>3.6940584740586369E-2</v>
      </c>
      <c r="I528">
        <v>0.10820912942787145</v>
      </c>
      <c r="J528">
        <v>0</v>
      </c>
      <c r="K528">
        <v>0.43251586537430076</v>
      </c>
      <c r="L528">
        <v>0.26278786561555256</v>
      </c>
      <c r="M528">
        <v>0.73721213438444744</v>
      </c>
      <c r="N528">
        <v>3.9436887158629426E-2</v>
      </c>
      <c r="O528" s="72">
        <v>0.99976542457447659</v>
      </c>
      <c r="P528">
        <v>0.85595364615442926</v>
      </c>
      <c r="Q528">
        <v>0.95654864287774777</v>
      </c>
      <c r="R528">
        <v>0.51691588216364415</v>
      </c>
      <c r="S528">
        <v>0.42983530970369843</v>
      </c>
      <c r="T528">
        <v>0.19908085004283715</v>
      </c>
      <c r="U528">
        <v>0.79425134528511387</v>
      </c>
      <c r="V528">
        <v>0.70142744404195601</v>
      </c>
      <c r="W528">
        <v>0.60730795156554884</v>
      </c>
      <c r="X528">
        <v>0.3903782017253436</v>
      </c>
      <c r="Y528">
        <v>0.49617877336524319</v>
      </c>
      <c r="Z528">
        <v>0.5146792306579987</v>
      </c>
      <c r="AA528">
        <v>0.62573607351486471</v>
      </c>
      <c r="AB528">
        <v>0.83159559373786418</v>
      </c>
      <c r="AC528">
        <v>0.71760432923548811</v>
      </c>
      <c r="AD528">
        <v>0.60455593410800001</v>
      </c>
      <c r="AE528">
        <v>141.19186804420698</v>
      </c>
      <c r="AF528">
        <v>1143.8147065190449</v>
      </c>
      <c r="AG528">
        <v>1373.2226847767711</v>
      </c>
      <c r="AH528">
        <v>11299.158624011423</v>
      </c>
      <c r="AI528">
        <v>10993.316201799616</v>
      </c>
      <c r="AJ528">
        <v>43667.122168200585</v>
      </c>
      <c r="AK528">
        <v>8742.1669307934262</v>
      </c>
      <c r="AL528">
        <v>1689.342563326391</v>
      </c>
      <c r="AM528">
        <v>321.32841916471426</v>
      </c>
      <c r="AO528">
        <v>41153.999002825491</v>
      </c>
      <c r="AP528">
        <v>13.521794298309425</v>
      </c>
      <c r="AQ528">
        <v>50615.079651627952</v>
      </c>
      <c r="AR528">
        <v>13.656864269834619</v>
      </c>
      <c r="AS528" s="2">
        <f t="shared" si="57"/>
        <v>9461.0806488024609</v>
      </c>
      <c r="AT528" s="2">
        <f t="shared" si="58"/>
        <v>0.13506997152519418</v>
      </c>
      <c r="AV528">
        <f t="shared" si="59"/>
        <v>1311025.4308281171</v>
      </c>
      <c r="AW528">
        <f t="shared" si="60"/>
        <v>1315071.347331834</v>
      </c>
      <c r="AY528">
        <f t="shared" si="61"/>
        <v>0</v>
      </c>
      <c r="AZ528">
        <f t="shared" si="62"/>
        <v>1</v>
      </c>
    </row>
    <row r="529" spans="1:52" x14ac:dyDescent="0.2">
      <c r="A529">
        <f t="shared" si="56"/>
        <v>525</v>
      </c>
      <c r="B529">
        <v>2.0580298839681842E-2</v>
      </c>
      <c r="C529">
        <v>4.3384712983970175E-2</v>
      </c>
      <c r="D529">
        <v>5.2839951805410235E-2</v>
      </c>
      <c r="E529">
        <v>3.1560360308755975E-2</v>
      </c>
      <c r="F529">
        <v>3.2531852529048802E-3</v>
      </c>
      <c r="G529">
        <v>1.2776206914872801E-2</v>
      </c>
      <c r="H529">
        <v>4.7093692617627414E-2</v>
      </c>
      <c r="I529">
        <v>0.11845820714702747</v>
      </c>
      <c r="J529">
        <v>0</v>
      </c>
      <c r="K529">
        <v>0.4560599134801524</v>
      </c>
      <c r="L529">
        <v>0.26902720650522571</v>
      </c>
      <c r="M529">
        <v>0.73097279349477429</v>
      </c>
      <c r="N529">
        <v>5.68617208380372E-2</v>
      </c>
      <c r="O529" s="72">
        <v>0.99098674551755717</v>
      </c>
      <c r="P529">
        <v>0.99997437472852779</v>
      </c>
      <c r="Q529">
        <v>0.87293033634592532</v>
      </c>
      <c r="R529">
        <v>0.50169419135792381</v>
      </c>
      <c r="S529">
        <v>0.43715452529722987</v>
      </c>
      <c r="T529">
        <v>0.15187396308826229</v>
      </c>
      <c r="U529">
        <v>0.78113084599310056</v>
      </c>
      <c r="V529">
        <v>0.64930752929655189</v>
      </c>
      <c r="W529">
        <v>0.58233244446694465</v>
      </c>
      <c r="X529">
        <v>0.42191114702651983</v>
      </c>
      <c r="Y529">
        <v>0.44931825995943558</v>
      </c>
      <c r="Z529">
        <v>0.39496448951472357</v>
      </c>
      <c r="AA529">
        <v>0.71551318319351487</v>
      </c>
      <c r="AB529">
        <v>0.81820906740070898</v>
      </c>
      <c r="AC529">
        <v>0.63199974861470309</v>
      </c>
      <c r="AD529">
        <v>0.5856215901286338</v>
      </c>
      <c r="AE529">
        <v>234.59154952694033</v>
      </c>
      <c r="AF529">
        <v>874.01993206502164</v>
      </c>
      <c r="AG529">
        <v>1263.907735725867</v>
      </c>
      <c r="AH529">
        <v>13923.356447456661</v>
      </c>
      <c r="AI529">
        <v>16179.032410072377</v>
      </c>
      <c r="AJ529">
        <v>42362.720329033655</v>
      </c>
      <c r="AK529">
        <v>14332.802114692937</v>
      </c>
      <c r="AL529">
        <v>1775.4936451624035</v>
      </c>
      <c r="AM529">
        <v>400.68294972549944</v>
      </c>
      <c r="AO529">
        <v>44043.689787572162</v>
      </c>
      <c r="AP529">
        <v>13.056594217583482</v>
      </c>
      <c r="AQ529">
        <v>47159.961035376582</v>
      </c>
      <c r="AR529">
        <v>13.296876340704502</v>
      </c>
      <c r="AS529" s="2">
        <f t="shared" si="57"/>
        <v>3116.2712478044195</v>
      </c>
      <c r="AT529" s="2">
        <f t="shared" si="58"/>
        <v>0.24028212312101971</v>
      </c>
      <c r="AV529">
        <f t="shared" si="59"/>
        <v>1261615.7319707759</v>
      </c>
      <c r="AW529">
        <f t="shared" si="60"/>
        <v>1282527.6730350736</v>
      </c>
      <c r="AY529">
        <f t="shared" si="61"/>
        <v>0</v>
      </c>
      <c r="AZ529">
        <f t="shared" si="62"/>
        <v>1</v>
      </c>
    </row>
    <row r="530" spans="1:52" x14ac:dyDescent="0.2">
      <c r="A530">
        <f t="shared" si="56"/>
        <v>526</v>
      </c>
      <c r="B530">
        <v>2.9261579517490754E-2</v>
      </c>
      <c r="C530">
        <v>2.7664466819390006E-2</v>
      </c>
      <c r="D530">
        <v>4.4553585278185537E-2</v>
      </c>
      <c r="E530">
        <v>1.397995765417559E-2</v>
      </c>
      <c r="F530">
        <v>3.3501114584985059E-3</v>
      </c>
      <c r="G530">
        <v>2.9895226012483108E-3</v>
      </c>
      <c r="H530">
        <v>2.2593659441490249E-2</v>
      </c>
      <c r="I530">
        <v>0.12705149157815898</v>
      </c>
      <c r="J530">
        <v>0</v>
      </c>
      <c r="K530">
        <v>0.46233124941701154</v>
      </c>
      <c r="L530">
        <v>0.21296330931106944</v>
      </c>
      <c r="M530">
        <v>0.78703669068893056</v>
      </c>
      <c r="N530">
        <v>5.3894957534681945E-2</v>
      </c>
      <c r="O530" s="72">
        <v>0.99999603720705621</v>
      </c>
      <c r="P530">
        <v>0.99889809663449702</v>
      </c>
      <c r="Q530">
        <v>0.98264117318560151</v>
      </c>
      <c r="R530">
        <v>0.50781709840630818</v>
      </c>
      <c r="S530">
        <v>0.46794240489146444</v>
      </c>
      <c r="T530">
        <v>0.15363113172822895</v>
      </c>
      <c r="U530">
        <v>0.77082809355583637</v>
      </c>
      <c r="V530">
        <v>0.58325591481369443</v>
      </c>
      <c r="W530">
        <v>0.56868689602479416</v>
      </c>
      <c r="X530">
        <v>0.4151735648622053</v>
      </c>
      <c r="Y530">
        <v>0.44207919803067303</v>
      </c>
      <c r="Z530">
        <v>0.41925470415344157</v>
      </c>
      <c r="AA530">
        <v>0.67811197624909592</v>
      </c>
      <c r="AB530">
        <v>0.89308861971262188</v>
      </c>
      <c r="AC530">
        <v>0.74556500569852802</v>
      </c>
      <c r="AD530">
        <v>0.59175888717825342</v>
      </c>
      <c r="AE530">
        <v>239.77187062483833</v>
      </c>
      <c r="AF530">
        <v>1252.0253559000082</v>
      </c>
      <c r="AG530">
        <v>1364.6717297817861</v>
      </c>
      <c r="AH530">
        <v>12722.345466112787</v>
      </c>
      <c r="AI530">
        <v>13828.938353690719</v>
      </c>
      <c r="AJ530">
        <v>40866.212227048214</v>
      </c>
      <c r="AK530">
        <v>15171.523125144124</v>
      </c>
      <c r="AL530">
        <v>2450.0341798513932</v>
      </c>
      <c r="AM530">
        <v>565.64629704564209</v>
      </c>
      <c r="AO530">
        <v>46136.784223475879</v>
      </c>
      <c r="AP530">
        <v>14.256777864906278</v>
      </c>
      <c r="AQ530">
        <v>49350.853796127791</v>
      </c>
      <c r="AR530">
        <v>14.554141255114999</v>
      </c>
      <c r="AS530" s="2">
        <f t="shared" si="57"/>
        <v>3214.0695726519116</v>
      </c>
      <c r="AT530" s="2">
        <f t="shared" si="58"/>
        <v>0.29736339020872116</v>
      </c>
      <c r="AV530">
        <f t="shared" si="59"/>
        <v>1379541.0022671518</v>
      </c>
      <c r="AW530">
        <f t="shared" si="60"/>
        <v>1406063.2717153721</v>
      </c>
      <c r="AY530">
        <f t="shared" si="61"/>
        <v>0</v>
      </c>
      <c r="AZ530">
        <f t="shared" si="62"/>
        <v>1</v>
      </c>
    </row>
    <row r="531" spans="1:52" x14ac:dyDescent="0.2">
      <c r="A531">
        <f t="shared" si="56"/>
        <v>527</v>
      </c>
      <c r="B531">
        <v>2.469514660689498E-2</v>
      </c>
      <c r="C531">
        <v>2.3832947662875144E-2</v>
      </c>
      <c r="D531">
        <v>2.9710255403850586E-2</v>
      </c>
      <c r="E531">
        <v>2.1839387518310382E-2</v>
      </c>
      <c r="F531">
        <v>3.3762882129089178E-3</v>
      </c>
      <c r="G531">
        <v>2.3950066559930483E-2</v>
      </c>
      <c r="H531">
        <v>3.5088935744654437E-2</v>
      </c>
      <c r="I531">
        <v>0.1311723613393756</v>
      </c>
      <c r="J531">
        <v>0</v>
      </c>
      <c r="K531">
        <v>0.44387341981325101</v>
      </c>
      <c r="L531">
        <v>0.26252039765065482</v>
      </c>
      <c r="M531">
        <v>0.73747960234934518</v>
      </c>
      <c r="N531">
        <v>6.5498401890499935E-2</v>
      </c>
      <c r="O531" s="72">
        <v>0.98844851460900907</v>
      </c>
      <c r="P531">
        <v>0.9997989002990697</v>
      </c>
      <c r="Q531">
        <v>0.96542347329332445</v>
      </c>
      <c r="R531">
        <v>0.47916486171369221</v>
      </c>
      <c r="S531">
        <v>0.37320567994490905</v>
      </c>
      <c r="T531">
        <v>0.25800782839937519</v>
      </c>
      <c r="U531">
        <v>0.77680834418769584</v>
      </c>
      <c r="V531">
        <v>0.63616012175008851</v>
      </c>
      <c r="W531">
        <v>0.51976750076068512</v>
      </c>
      <c r="X531">
        <v>0.4447853688366234</v>
      </c>
      <c r="Y531">
        <v>0.44086068102073933</v>
      </c>
      <c r="Z531">
        <v>0.46174038560310982</v>
      </c>
      <c r="AA531">
        <v>0.68390054437071801</v>
      </c>
      <c r="AB531">
        <v>0.78271552927285881</v>
      </c>
      <c r="AC531">
        <v>0.73444710449657702</v>
      </c>
      <c r="AD531">
        <v>0.65011448361076862</v>
      </c>
      <c r="AE531">
        <v>325.58590264105874</v>
      </c>
      <c r="AF531">
        <v>1234.0931961653844</v>
      </c>
      <c r="AG531">
        <v>1306.3920270746976</v>
      </c>
      <c r="AH531">
        <v>12731.67505713458</v>
      </c>
      <c r="AI531">
        <v>16356.738491108565</v>
      </c>
      <c r="AJ531">
        <v>36121.862484999598</v>
      </c>
      <c r="AK531">
        <v>21243.681551891917</v>
      </c>
      <c r="AL531">
        <v>2349.3249393205097</v>
      </c>
      <c r="AM531">
        <v>261.02275204477263</v>
      </c>
      <c r="AO531">
        <v>41711.906380007291</v>
      </c>
      <c r="AP531">
        <v>12.929608921132232</v>
      </c>
      <c r="AQ531">
        <v>44701.961383038055</v>
      </c>
      <c r="AR531">
        <v>13.08206034583468</v>
      </c>
      <c r="AS531" s="2">
        <f t="shared" si="57"/>
        <v>2990.0550030307641</v>
      </c>
      <c r="AT531" s="2">
        <f t="shared" si="58"/>
        <v>0.15245142470244843</v>
      </c>
      <c r="AV531">
        <f t="shared" si="59"/>
        <v>1251248.9857332159</v>
      </c>
      <c r="AW531">
        <f t="shared" si="60"/>
        <v>1263504.07320043</v>
      </c>
      <c r="AY531">
        <f t="shared" si="61"/>
        <v>0</v>
      </c>
      <c r="AZ531">
        <f t="shared" si="62"/>
        <v>1</v>
      </c>
    </row>
    <row r="532" spans="1:52" x14ac:dyDescent="0.2">
      <c r="A532">
        <f t="shared" si="56"/>
        <v>528</v>
      </c>
      <c r="B532">
        <v>1.9871272253165387E-2</v>
      </c>
      <c r="C532">
        <v>4.8957676354974389E-2</v>
      </c>
      <c r="D532">
        <v>2.6543548032074218E-2</v>
      </c>
      <c r="E532">
        <v>1.6299584973856529E-2</v>
      </c>
      <c r="F532">
        <v>3.3750329749872021E-3</v>
      </c>
      <c r="G532">
        <v>2.582881434501183E-2</v>
      </c>
      <c r="H532">
        <v>3.3075383251659929E-2</v>
      </c>
      <c r="I532">
        <v>0.14647747604413552</v>
      </c>
      <c r="J532">
        <v>0</v>
      </c>
      <c r="K532">
        <v>0.41361858324312878</v>
      </c>
      <c r="L532">
        <v>0.23659171360360987</v>
      </c>
      <c r="M532">
        <v>0.76340828639639013</v>
      </c>
      <c r="N532">
        <v>4.2659710939568954E-2</v>
      </c>
      <c r="O532" s="72">
        <v>0.9999999100311574</v>
      </c>
      <c r="P532">
        <v>0.9999242533846584</v>
      </c>
      <c r="Q532">
        <v>0.98727735932050065</v>
      </c>
      <c r="R532">
        <v>0.48851619563827264</v>
      </c>
      <c r="S532">
        <v>0.4277095784281334</v>
      </c>
      <c r="T532">
        <v>0.28772746657327175</v>
      </c>
      <c r="U532">
        <v>0.76387788809683066</v>
      </c>
      <c r="V532">
        <v>0.62078923988144241</v>
      </c>
      <c r="W532">
        <v>0.5126519788425169</v>
      </c>
      <c r="X532">
        <v>0.34417324608243027</v>
      </c>
      <c r="Y532">
        <v>0.4238116464975818</v>
      </c>
      <c r="Z532">
        <v>0.51027295075935097</v>
      </c>
      <c r="AA532">
        <v>0.59869773083045275</v>
      </c>
      <c r="AB532">
        <v>0.77819655477960092</v>
      </c>
      <c r="AC532">
        <v>0.72781303267504405</v>
      </c>
      <c r="AD532">
        <v>0.63051689356281448</v>
      </c>
      <c r="AE532">
        <v>233.5645437797107</v>
      </c>
      <c r="AF532">
        <v>954.79565624376494</v>
      </c>
      <c r="AG532">
        <v>1662.0273225275191</v>
      </c>
      <c r="AH532">
        <v>17260.832897288004</v>
      </c>
      <c r="AI532">
        <v>8186.1964346243021</v>
      </c>
      <c r="AJ532">
        <v>47156.989610175166</v>
      </c>
      <c r="AK532">
        <v>19342.547079112384</v>
      </c>
      <c r="AL532">
        <v>1248.7638676081065</v>
      </c>
      <c r="AM532">
        <v>500.34012921384135</v>
      </c>
      <c r="AO532">
        <v>43663.348875429765</v>
      </c>
      <c r="AP532">
        <v>12.843844392641691</v>
      </c>
      <c r="AQ532">
        <v>48310.26496718869</v>
      </c>
      <c r="AR532">
        <v>12.979506732482957</v>
      </c>
      <c r="AS532" s="2">
        <f t="shared" si="57"/>
        <v>4646.9160917589252</v>
      </c>
      <c r="AT532" s="2">
        <f t="shared" si="58"/>
        <v>0.13566233984126619</v>
      </c>
      <c r="AV532">
        <f t="shared" si="59"/>
        <v>1240721.0903887392</v>
      </c>
      <c r="AW532">
        <f t="shared" si="60"/>
        <v>1249640.408281107</v>
      </c>
      <c r="AY532">
        <f t="shared" si="61"/>
        <v>0</v>
      </c>
      <c r="AZ532">
        <f t="shared" si="62"/>
        <v>1</v>
      </c>
    </row>
    <row r="533" spans="1:52" x14ac:dyDescent="0.2">
      <c r="A533">
        <f t="shared" si="56"/>
        <v>529</v>
      </c>
      <c r="B533">
        <v>2.0913069384510853E-2</v>
      </c>
      <c r="C533">
        <v>4.4127959368132963E-2</v>
      </c>
      <c r="D533">
        <v>4.2617679104252515E-2</v>
      </c>
      <c r="E533">
        <v>5.5818594310284332E-3</v>
      </c>
      <c r="F533">
        <v>3.325631906496331E-3</v>
      </c>
      <c r="G533">
        <v>6.7849526396290708E-4</v>
      </c>
      <c r="H533">
        <v>3.8023582956346003E-2</v>
      </c>
      <c r="I533">
        <v>0.1162675411731018</v>
      </c>
      <c r="J533">
        <v>0</v>
      </c>
      <c r="K533">
        <v>0.42118884313481669</v>
      </c>
      <c r="L533">
        <v>0.17822031094418506</v>
      </c>
      <c r="M533">
        <v>0.82177968905581489</v>
      </c>
      <c r="N533">
        <v>3.9406751364280207E-2</v>
      </c>
      <c r="O533" s="72">
        <v>0.99999182425804545</v>
      </c>
      <c r="P533">
        <v>0.99999949711192349</v>
      </c>
      <c r="Q533">
        <v>0.95276130590710484</v>
      </c>
      <c r="R533">
        <v>0.48218216664031233</v>
      </c>
      <c r="S533">
        <v>0.35587150624488406</v>
      </c>
      <c r="T533">
        <v>0.28587287457267885</v>
      </c>
      <c r="U533">
        <v>0.7666233402275261</v>
      </c>
      <c r="V533">
        <v>0.6293218817337829</v>
      </c>
      <c r="W533">
        <v>0.61929909938578187</v>
      </c>
      <c r="X533">
        <v>0.42126545174749325</v>
      </c>
      <c r="Y533">
        <v>0.47469226409371978</v>
      </c>
      <c r="Z533">
        <v>0.46540578518498477</v>
      </c>
      <c r="AA533">
        <v>0.75942268663746981</v>
      </c>
      <c r="AB533">
        <v>0.79761251282044254</v>
      </c>
      <c r="AC533">
        <v>0.66404138300925375</v>
      </c>
      <c r="AD533">
        <v>0.53898002252944965</v>
      </c>
      <c r="AE533">
        <v>224.2480686250347</v>
      </c>
      <c r="AF533">
        <v>914.55098601718498</v>
      </c>
      <c r="AG533">
        <v>2377.9145866426798</v>
      </c>
      <c r="AH533">
        <v>11497.75507808277</v>
      </c>
      <c r="AI533">
        <v>11775.824530829079</v>
      </c>
      <c r="AJ533">
        <v>33703.578182772202</v>
      </c>
      <c r="AK533">
        <v>22971.988582218557</v>
      </c>
      <c r="AL533">
        <v>1962.6139123891969</v>
      </c>
      <c r="AM533">
        <v>342.94570135058257</v>
      </c>
      <c r="AO533">
        <v>42730.424990391315</v>
      </c>
      <c r="AP533">
        <v>12.894381133705732</v>
      </c>
      <c r="AQ533">
        <v>45961.068096684801</v>
      </c>
      <c r="AR533">
        <v>13.01273108316173</v>
      </c>
      <c r="AS533" s="2">
        <f t="shared" si="57"/>
        <v>3230.6431062934862</v>
      </c>
      <c r="AT533" s="2">
        <f t="shared" si="58"/>
        <v>0.11834994945599853</v>
      </c>
      <c r="AV533">
        <f t="shared" si="59"/>
        <v>1246707.6883801818</v>
      </c>
      <c r="AW533">
        <f t="shared" si="60"/>
        <v>1255312.0402194883</v>
      </c>
      <c r="AY533">
        <f t="shared" si="61"/>
        <v>0</v>
      </c>
      <c r="AZ533">
        <f t="shared" si="62"/>
        <v>1</v>
      </c>
    </row>
    <row r="534" spans="1:52" x14ac:dyDescent="0.2">
      <c r="A534">
        <f t="shared" si="56"/>
        <v>530</v>
      </c>
      <c r="B534">
        <v>2.407441333974673E-2</v>
      </c>
      <c r="C534">
        <v>3.4763181013935905E-2</v>
      </c>
      <c r="D534">
        <v>5.7427580582678273E-2</v>
      </c>
      <c r="E534">
        <v>1.9180318029495047E-2</v>
      </c>
      <c r="F534">
        <v>3.3515992276873519E-3</v>
      </c>
      <c r="G534">
        <v>2.7359076820958728E-2</v>
      </c>
      <c r="H534">
        <v>1.1125459940770044E-2</v>
      </c>
      <c r="I534">
        <v>0.13970778299436148</v>
      </c>
      <c r="J534">
        <v>0</v>
      </c>
      <c r="K534">
        <v>0.44434669065495103</v>
      </c>
      <c r="L534">
        <v>0.19112241815563777</v>
      </c>
      <c r="M534">
        <v>0.8088775818443622</v>
      </c>
      <c r="N534">
        <v>3.4870287934958062E-2</v>
      </c>
      <c r="O534" s="72">
        <v>0.99979518369069464</v>
      </c>
      <c r="P534">
        <v>0.99996417354402467</v>
      </c>
      <c r="Q534">
        <v>0.98783584376822409</v>
      </c>
      <c r="R534">
        <v>0.49452150704368147</v>
      </c>
      <c r="S534">
        <v>0.3835789247342245</v>
      </c>
      <c r="T534">
        <v>0.3683341659414251</v>
      </c>
      <c r="U534">
        <v>0.75926794987873381</v>
      </c>
      <c r="V534">
        <v>0.70753509253830926</v>
      </c>
      <c r="W534">
        <v>0.51106933337546145</v>
      </c>
      <c r="X534">
        <v>0.45928837894945906</v>
      </c>
      <c r="Y534">
        <v>0.50296195363006069</v>
      </c>
      <c r="Z534">
        <v>0.38572267364087864</v>
      </c>
      <c r="AA534">
        <v>0.66207317555368039</v>
      </c>
      <c r="AB534">
        <v>0.83724928992126824</v>
      </c>
      <c r="AC534">
        <v>0.6722640826676477</v>
      </c>
      <c r="AD534">
        <v>0.59633234033555804</v>
      </c>
      <c r="AE534">
        <v>183.78575335929648</v>
      </c>
      <c r="AF534">
        <v>1228.6796905049939</v>
      </c>
      <c r="AG534">
        <v>1183.7739231748315</v>
      </c>
      <c r="AH534">
        <v>12283.267226906188</v>
      </c>
      <c r="AI534">
        <v>10775.293826052486</v>
      </c>
      <c r="AJ534">
        <v>37367.686242450553</v>
      </c>
      <c r="AK534">
        <v>11764.946403338214</v>
      </c>
      <c r="AL534">
        <v>2572.6106920863335</v>
      </c>
      <c r="AM534">
        <v>364.53683272043077</v>
      </c>
      <c r="AO534">
        <v>40727.087715261645</v>
      </c>
      <c r="AP534">
        <v>13.461188703744805</v>
      </c>
      <c r="AQ534">
        <v>46036.960651550595</v>
      </c>
      <c r="AR534">
        <v>13.652956367152889</v>
      </c>
      <c r="AS534" s="2">
        <f t="shared" si="57"/>
        <v>5309.8729362889499</v>
      </c>
      <c r="AT534" s="2">
        <f t="shared" si="58"/>
        <v>0.19176766340808449</v>
      </c>
      <c r="AV534">
        <f t="shared" si="59"/>
        <v>1305391.7826592189</v>
      </c>
      <c r="AW534">
        <f t="shared" si="60"/>
        <v>1319258.6760637383</v>
      </c>
      <c r="AY534">
        <f t="shared" si="61"/>
        <v>0</v>
      </c>
      <c r="AZ534">
        <f t="shared" si="62"/>
        <v>1</v>
      </c>
    </row>
    <row r="535" spans="1:52" x14ac:dyDescent="0.2">
      <c r="A535">
        <f t="shared" si="56"/>
        <v>531</v>
      </c>
      <c r="B535">
        <v>2.248221322493971E-2</v>
      </c>
      <c r="C535">
        <v>3.5041356181630789E-2</v>
      </c>
      <c r="D535">
        <v>5.040891716824103E-2</v>
      </c>
      <c r="E535">
        <v>1.6651444362639767E-2</v>
      </c>
      <c r="F535">
        <v>3.4108923657325541E-3</v>
      </c>
      <c r="G535">
        <v>2.1566250478181059E-2</v>
      </c>
      <c r="H535">
        <v>6.0618738518236959E-2</v>
      </c>
      <c r="I535">
        <v>0.12717011847726747</v>
      </c>
      <c r="J535">
        <v>0</v>
      </c>
      <c r="K535">
        <v>0.38618927429726624</v>
      </c>
      <c r="L535">
        <v>0.24160084235432688</v>
      </c>
      <c r="M535">
        <v>0.75839915764567312</v>
      </c>
      <c r="N535">
        <v>7.414251765938995E-2</v>
      </c>
      <c r="O535" s="72">
        <v>0.99999227548438341</v>
      </c>
      <c r="P535">
        <v>0.99999500622083071</v>
      </c>
      <c r="Q535">
        <v>0.8832929330148197</v>
      </c>
      <c r="R535">
        <v>0.53182274359115844</v>
      </c>
      <c r="S535">
        <v>0.38555058621857685</v>
      </c>
      <c r="T535">
        <v>0.18263035914859849</v>
      </c>
      <c r="U535">
        <v>0.75721524407567564</v>
      </c>
      <c r="V535">
        <v>0.63402567806286259</v>
      </c>
      <c r="W535">
        <v>0.56574320014489121</v>
      </c>
      <c r="X535">
        <v>0.47007077905367811</v>
      </c>
      <c r="Y535">
        <v>0.48798849611686812</v>
      </c>
      <c r="Z535">
        <v>0.41631729752638963</v>
      </c>
      <c r="AA535">
        <v>0.59385134984498678</v>
      </c>
      <c r="AB535">
        <v>0.76170470680517011</v>
      </c>
      <c r="AC535">
        <v>0.70080660645655735</v>
      </c>
      <c r="AD535">
        <v>0.65587259154815702</v>
      </c>
      <c r="AE535">
        <v>168.26528668489172</v>
      </c>
      <c r="AF535">
        <v>1248.8061897392436</v>
      </c>
      <c r="AG535">
        <v>1143.0305822034816</v>
      </c>
      <c r="AH535">
        <v>17349.250448707291</v>
      </c>
      <c r="AI535">
        <v>11663.839749132405</v>
      </c>
      <c r="AJ535">
        <v>33143.996104364509</v>
      </c>
      <c r="AK535">
        <v>14453.594103180611</v>
      </c>
      <c r="AL535">
        <v>2575.4464571072463</v>
      </c>
      <c r="AM535">
        <v>275.06694270174552</v>
      </c>
      <c r="AO535">
        <v>40837.229664945611</v>
      </c>
      <c r="AP535">
        <v>12.546018091572195</v>
      </c>
      <c r="AQ535">
        <v>45135.53963242341</v>
      </c>
      <c r="AR535">
        <v>12.733405634823036</v>
      </c>
      <c r="AS535" s="2">
        <f t="shared" si="57"/>
        <v>4298.3099674777986</v>
      </c>
      <c r="AT535" s="2">
        <f t="shared" si="58"/>
        <v>0.18738754325084095</v>
      </c>
      <c r="AV535">
        <f t="shared" si="59"/>
        <v>1213764.579492274</v>
      </c>
      <c r="AW535">
        <f t="shared" si="60"/>
        <v>1228205.0238498803</v>
      </c>
      <c r="AY535">
        <f t="shared" si="61"/>
        <v>0</v>
      </c>
      <c r="AZ535">
        <f t="shared" si="62"/>
        <v>1</v>
      </c>
    </row>
    <row r="536" spans="1:52" x14ac:dyDescent="0.2">
      <c r="A536">
        <f t="shared" si="56"/>
        <v>532</v>
      </c>
      <c r="B536">
        <v>2.4724722943311163E-2</v>
      </c>
      <c r="C536">
        <v>4.0192397311550665E-2</v>
      </c>
      <c r="D536">
        <v>4.197561558340035E-2</v>
      </c>
      <c r="E536">
        <v>2.07925571301808E-2</v>
      </c>
      <c r="F536">
        <v>3.4989440721930887E-3</v>
      </c>
      <c r="G536">
        <v>8.5216506082640318E-5</v>
      </c>
      <c r="H536">
        <v>2.0509848306529178E-2</v>
      </c>
      <c r="I536">
        <v>0.13298702751010483</v>
      </c>
      <c r="J536">
        <v>0</v>
      </c>
      <c r="K536">
        <v>0.42975990737763986</v>
      </c>
      <c r="L536">
        <v>0.14570893727538112</v>
      </c>
      <c r="M536">
        <v>0.85429106272461885</v>
      </c>
      <c r="N536">
        <v>7.4047318015804997E-2</v>
      </c>
      <c r="O536" s="72">
        <v>0.93624770921726919</v>
      </c>
      <c r="P536">
        <v>0.99990759918301109</v>
      </c>
      <c r="Q536">
        <v>0.83864205029491545</v>
      </c>
      <c r="R536">
        <v>0.43597754491337271</v>
      </c>
      <c r="S536">
        <v>0.41236073552196129</v>
      </c>
      <c r="T536">
        <v>0.21099799908392092</v>
      </c>
      <c r="U536">
        <v>0.78610479526033539</v>
      </c>
      <c r="V536">
        <v>0.63304117305959118</v>
      </c>
      <c r="W536">
        <v>0.57951538775969813</v>
      </c>
      <c r="X536">
        <v>0.43144927775172409</v>
      </c>
      <c r="Y536">
        <v>0.41190171143009818</v>
      </c>
      <c r="Z536">
        <v>0.44282348029803675</v>
      </c>
      <c r="AA536">
        <v>0.70112111115345943</v>
      </c>
      <c r="AB536">
        <v>0.8274748096472001</v>
      </c>
      <c r="AC536">
        <v>0.71889329694468385</v>
      </c>
      <c r="AD536">
        <v>0.60076745545602528</v>
      </c>
      <c r="AE536">
        <v>229.82090582009411</v>
      </c>
      <c r="AF536">
        <v>1072.5265234917272</v>
      </c>
      <c r="AG536">
        <v>1698.7126900429773</v>
      </c>
      <c r="AH536">
        <v>14321.438283394926</v>
      </c>
      <c r="AI536">
        <v>9123.9794863053266</v>
      </c>
      <c r="AJ536">
        <v>33462.788651582952</v>
      </c>
      <c r="AK536">
        <v>14348.821287911382</v>
      </c>
      <c r="AL536">
        <v>1150.8388451004862</v>
      </c>
      <c r="AM536">
        <v>451.1829312110923</v>
      </c>
      <c r="AO536">
        <v>47324.494639386896</v>
      </c>
      <c r="AP536">
        <v>13.385744979959238</v>
      </c>
      <c r="AQ536">
        <v>48420.556615345835</v>
      </c>
      <c r="AR536">
        <v>13.599402673599501</v>
      </c>
      <c r="AS536" s="2">
        <f t="shared" si="57"/>
        <v>1096.061975958939</v>
      </c>
      <c r="AT536" s="2">
        <f t="shared" si="58"/>
        <v>0.21365769364026299</v>
      </c>
      <c r="AV536">
        <f t="shared" si="59"/>
        <v>1291250.0033565369</v>
      </c>
      <c r="AW536">
        <f t="shared" si="60"/>
        <v>1311519.7107446042</v>
      </c>
      <c r="AY536">
        <f t="shared" si="61"/>
        <v>0</v>
      </c>
      <c r="AZ536">
        <f t="shared" si="62"/>
        <v>1</v>
      </c>
    </row>
    <row r="537" spans="1:52" x14ac:dyDescent="0.2">
      <c r="A537">
        <f t="shared" si="56"/>
        <v>533</v>
      </c>
      <c r="B537">
        <v>2.3619650976633048E-2</v>
      </c>
      <c r="C537">
        <v>3.5527026298806205E-2</v>
      </c>
      <c r="D537">
        <v>3.1549403543202348E-2</v>
      </c>
      <c r="E537">
        <v>1.1815701122576017E-2</v>
      </c>
      <c r="F537">
        <v>3.2739691566844435E-3</v>
      </c>
      <c r="G537">
        <v>1.532749377388809E-2</v>
      </c>
      <c r="H537">
        <v>3.5619705054819595E-2</v>
      </c>
      <c r="I537">
        <v>0.13628217670390186</v>
      </c>
      <c r="J537">
        <v>0</v>
      </c>
      <c r="K537">
        <v>0.40861826903558024</v>
      </c>
      <c r="L537">
        <v>0.28713255628931378</v>
      </c>
      <c r="M537">
        <v>0.71286744371068622</v>
      </c>
      <c r="N537">
        <v>5.8512599439563329E-2</v>
      </c>
      <c r="O537" s="72">
        <v>0.99968981295311288</v>
      </c>
      <c r="P537">
        <v>0.99724164360163092</v>
      </c>
      <c r="Q537">
        <v>0.96717796556332047</v>
      </c>
      <c r="R537">
        <v>0.50589528906897963</v>
      </c>
      <c r="S537">
        <v>0.35731249000216203</v>
      </c>
      <c r="T537">
        <v>0.26237591926966064</v>
      </c>
      <c r="U537">
        <v>0.76411875574457244</v>
      </c>
      <c r="V537">
        <v>0.63566856139016792</v>
      </c>
      <c r="W537">
        <v>0.51082297363922036</v>
      </c>
      <c r="X537">
        <v>0.41773470938131602</v>
      </c>
      <c r="Y537">
        <v>0.50228885549199087</v>
      </c>
      <c r="Z537">
        <v>0.41046973690218469</v>
      </c>
      <c r="AA537">
        <v>0.61060726770094786</v>
      </c>
      <c r="AB537">
        <v>0.80111459602882551</v>
      </c>
      <c r="AC537">
        <v>0.61997462324425801</v>
      </c>
      <c r="AD537">
        <v>0.60284732130731777</v>
      </c>
      <c r="AE537">
        <v>169.38841246282479</v>
      </c>
      <c r="AF537">
        <v>999.00298668533208</v>
      </c>
      <c r="AG537">
        <v>1922.7281159443253</v>
      </c>
      <c r="AH537">
        <v>10821.036088484319</v>
      </c>
      <c r="AI537">
        <v>11210.036679288018</v>
      </c>
      <c r="AJ537">
        <v>31148.084146881629</v>
      </c>
      <c r="AK537">
        <v>14821.891453984263</v>
      </c>
      <c r="AL537">
        <v>2369.2947030814989</v>
      </c>
      <c r="AM537">
        <v>354.70871858897539</v>
      </c>
      <c r="AO537">
        <v>41714.102515605387</v>
      </c>
      <c r="AP537">
        <v>12.907646368089992</v>
      </c>
      <c r="AQ537">
        <v>46042.833000428654</v>
      </c>
      <c r="AR537">
        <v>13.065870197120869</v>
      </c>
      <c r="AS537" s="2">
        <f t="shared" si="57"/>
        <v>4328.730484823267</v>
      </c>
      <c r="AT537" s="2">
        <f t="shared" si="58"/>
        <v>0.15822382903087728</v>
      </c>
      <c r="AV537">
        <f t="shared" si="59"/>
        <v>1249050.5342933938</v>
      </c>
      <c r="AW537">
        <f t="shared" si="60"/>
        <v>1260544.1867116583</v>
      </c>
      <c r="AY537">
        <f t="shared" si="61"/>
        <v>0</v>
      </c>
      <c r="AZ537">
        <f t="shared" si="62"/>
        <v>1</v>
      </c>
    </row>
    <row r="538" spans="1:52" x14ac:dyDescent="0.2">
      <c r="A538">
        <f t="shared" si="56"/>
        <v>534</v>
      </c>
      <c r="B538">
        <v>2.4653894251311863E-2</v>
      </c>
      <c r="C538">
        <v>4.0793832261128204E-2</v>
      </c>
      <c r="D538">
        <v>4.4934841093698052E-2</v>
      </c>
      <c r="E538">
        <v>1.5356992606681663E-2</v>
      </c>
      <c r="F538">
        <v>3.3489364777274933E-3</v>
      </c>
      <c r="G538">
        <v>8.2751380006367854E-3</v>
      </c>
      <c r="H538">
        <v>2.6746680071793955E-2</v>
      </c>
      <c r="I538">
        <v>0.11961023889657771</v>
      </c>
      <c r="J538">
        <v>0</v>
      </c>
      <c r="K538">
        <v>0.41548493095097189</v>
      </c>
      <c r="L538">
        <v>0.20883346700662542</v>
      </c>
      <c r="M538">
        <v>0.79116653299337458</v>
      </c>
      <c r="N538">
        <v>4.7132821290160165E-2</v>
      </c>
      <c r="O538" s="72">
        <v>0.9951001157309024</v>
      </c>
      <c r="P538">
        <v>0.99532204808633129</v>
      </c>
      <c r="Q538">
        <v>0.96529383901160104</v>
      </c>
      <c r="R538">
        <v>0.4271812777158418</v>
      </c>
      <c r="S538">
        <v>0.4057785806128541</v>
      </c>
      <c r="T538">
        <v>0.27686496271838135</v>
      </c>
      <c r="U538">
        <v>0.77045839821550532</v>
      </c>
      <c r="V538">
        <v>0.75208999177639435</v>
      </c>
      <c r="W538">
        <v>0.51455840964851707</v>
      </c>
      <c r="X538">
        <v>0.46682965788521213</v>
      </c>
      <c r="Y538">
        <v>0.43208619223536371</v>
      </c>
      <c r="Z538">
        <v>0.45148155470213969</v>
      </c>
      <c r="AA538">
        <v>0.60950149625455863</v>
      </c>
      <c r="AB538">
        <v>0.77778007817302219</v>
      </c>
      <c r="AC538">
        <v>0.68896942236616665</v>
      </c>
      <c r="AD538">
        <v>0.56524338640771876</v>
      </c>
      <c r="AE538">
        <v>218.5504713997218</v>
      </c>
      <c r="AF538">
        <v>1063.2182825943057</v>
      </c>
      <c r="AG538">
        <v>1785.260721090048</v>
      </c>
      <c r="AH538">
        <v>17690.511526530885</v>
      </c>
      <c r="AI538">
        <v>14513.229483779225</v>
      </c>
      <c r="AJ538">
        <v>33299.808094527609</v>
      </c>
      <c r="AK538">
        <v>16160.099533797373</v>
      </c>
      <c r="AL538">
        <v>1381.9490008180803</v>
      </c>
      <c r="AM538">
        <v>295.40424590236432</v>
      </c>
      <c r="AO538">
        <v>44846.205886924959</v>
      </c>
      <c r="AP538">
        <v>12.692903591573764</v>
      </c>
      <c r="AQ538">
        <v>45416.608740233605</v>
      </c>
      <c r="AR538">
        <v>12.817093634651805</v>
      </c>
      <c r="AS538" s="2">
        <f t="shared" si="57"/>
        <v>570.40285330864572</v>
      </c>
      <c r="AT538" s="2">
        <f t="shared" si="58"/>
        <v>0.12419004307804116</v>
      </c>
      <c r="AV538">
        <f t="shared" si="59"/>
        <v>1224444.1532704516</v>
      </c>
      <c r="AW538">
        <f t="shared" si="60"/>
        <v>1236292.7547249468</v>
      </c>
      <c r="AY538">
        <f t="shared" si="61"/>
        <v>0</v>
      </c>
      <c r="AZ538">
        <f t="shared" si="62"/>
        <v>1</v>
      </c>
    </row>
    <row r="539" spans="1:52" x14ac:dyDescent="0.2">
      <c r="A539">
        <f t="shared" si="56"/>
        <v>535</v>
      </c>
      <c r="B539">
        <v>2.5468250263729786E-2</v>
      </c>
      <c r="C539">
        <v>4.0691689188166347E-2</v>
      </c>
      <c r="D539">
        <v>4.4422940534000199E-2</v>
      </c>
      <c r="E539">
        <v>1.3962748092555044E-2</v>
      </c>
      <c r="F539">
        <v>3.4360733349361183E-3</v>
      </c>
      <c r="G539">
        <v>1.1030719675355736E-2</v>
      </c>
      <c r="H539">
        <v>2.6598551370691233E-2</v>
      </c>
      <c r="I539">
        <v>0.13893633761355251</v>
      </c>
      <c r="J539">
        <v>0</v>
      </c>
      <c r="K539">
        <v>0.45211276330355255</v>
      </c>
      <c r="L539">
        <v>0.27719939295713636</v>
      </c>
      <c r="M539">
        <v>0.72280060704286364</v>
      </c>
      <c r="N539">
        <v>6.1397766128386766E-2</v>
      </c>
      <c r="O539" s="72">
        <v>0.99934110935691656</v>
      </c>
      <c r="P539">
        <v>0.99807695893558135</v>
      </c>
      <c r="Q539">
        <v>0.93065964565681647</v>
      </c>
      <c r="R539">
        <v>0.46964067103609308</v>
      </c>
      <c r="S539">
        <v>0.44811591044194377</v>
      </c>
      <c r="T539">
        <v>0.23354153453285198</v>
      </c>
      <c r="U539">
        <v>0.77830236990652224</v>
      </c>
      <c r="V539">
        <v>0.67421427819238378</v>
      </c>
      <c r="W539">
        <v>0.5065505718636365</v>
      </c>
      <c r="X539">
        <v>0.45094009856713846</v>
      </c>
      <c r="Y539">
        <v>0.49446620654986195</v>
      </c>
      <c r="Z539">
        <v>0.48873827707746464</v>
      </c>
      <c r="AA539">
        <v>0.60955647938000723</v>
      </c>
      <c r="AB539">
        <v>0.88825544215376506</v>
      </c>
      <c r="AC539">
        <v>0.76348852875249251</v>
      </c>
      <c r="AD539">
        <v>0.5893472232627186</v>
      </c>
      <c r="AE539">
        <v>257.17288770289878</v>
      </c>
      <c r="AF539">
        <v>988.38329802855856</v>
      </c>
      <c r="AG539">
        <v>1432.7741723167069</v>
      </c>
      <c r="AH539">
        <v>9966.919908296557</v>
      </c>
      <c r="AI539">
        <v>11406.630884669092</v>
      </c>
      <c r="AJ539">
        <v>34034.85179363448</v>
      </c>
      <c r="AK539">
        <v>11966.074641176698</v>
      </c>
      <c r="AL539">
        <v>2055.9026450319325</v>
      </c>
      <c r="AM539">
        <v>409.76823124601094</v>
      </c>
      <c r="AO539">
        <v>43710.458543718574</v>
      </c>
      <c r="AP539">
        <v>14.24676914308391</v>
      </c>
      <c r="AQ539">
        <v>47034.415789659382</v>
      </c>
      <c r="AR539">
        <v>14.513004403914458</v>
      </c>
      <c r="AS539" s="2">
        <f t="shared" si="57"/>
        <v>3323.9572459408082</v>
      </c>
      <c r="AT539" s="2">
        <f t="shared" si="58"/>
        <v>0.26623526083054827</v>
      </c>
      <c r="AV539">
        <f t="shared" si="59"/>
        <v>1380966.4557646725</v>
      </c>
      <c r="AW539">
        <f t="shared" si="60"/>
        <v>1404266.0246017864</v>
      </c>
      <c r="AY539">
        <f t="shared" si="61"/>
        <v>0</v>
      </c>
      <c r="AZ539">
        <f t="shared" si="62"/>
        <v>1</v>
      </c>
    </row>
    <row r="540" spans="1:52" x14ac:dyDescent="0.2">
      <c r="A540">
        <f t="shared" si="56"/>
        <v>536</v>
      </c>
      <c r="B540">
        <v>2.8774388958688446E-2</v>
      </c>
      <c r="C540">
        <v>4.0770527469170648E-2</v>
      </c>
      <c r="D540">
        <v>5.2029212077376763E-2</v>
      </c>
      <c r="E540">
        <v>3.2688136136721391E-2</v>
      </c>
      <c r="F540">
        <v>3.3441996592157297E-3</v>
      </c>
      <c r="G540">
        <v>3.008329182171492E-3</v>
      </c>
      <c r="H540">
        <v>5.5818204045620212E-2</v>
      </c>
      <c r="I540">
        <v>0.11344973883119157</v>
      </c>
      <c r="J540">
        <v>0</v>
      </c>
      <c r="K540">
        <v>0.46456806786398541</v>
      </c>
      <c r="L540">
        <v>0.15194065535444959</v>
      </c>
      <c r="M540">
        <v>0.84805934464555044</v>
      </c>
      <c r="N540">
        <v>4.8797850690953257E-2</v>
      </c>
      <c r="O540" s="72">
        <v>0.99963608596185738</v>
      </c>
      <c r="P540">
        <v>0.96288923446926977</v>
      </c>
      <c r="Q540">
        <v>0.94588887009901446</v>
      </c>
      <c r="R540">
        <v>0.51808361187694174</v>
      </c>
      <c r="S540">
        <v>0.35508622560095715</v>
      </c>
      <c r="T540">
        <v>0.3409653199979793</v>
      </c>
      <c r="U540">
        <v>0.78783621317025077</v>
      </c>
      <c r="V540">
        <v>0.63632429961450099</v>
      </c>
      <c r="W540">
        <v>0.63700721277169259</v>
      </c>
      <c r="X540">
        <v>0.41029420456121002</v>
      </c>
      <c r="Y540">
        <v>0.43350961022281764</v>
      </c>
      <c r="Z540">
        <v>0.4408527038992191</v>
      </c>
      <c r="AA540">
        <v>0.60391639393887986</v>
      </c>
      <c r="AB540">
        <v>0.82136086732942082</v>
      </c>
      <c r="AC540">
        <v>0.73605939428486078</v>
      </c>
      <c r="AD540">
        <v>0.61344738746578331</v>
      </c>
      <c r="AE540">
        <v>215.51061364365606</v>
      </c>
      <c r="AF540">
        <v>974.33949237689865</v>
      </c>
      <c r="AG540">
        <v>1372.1005452763204</v>
      </c>
      <c r="AH540">
        <v>10298.916847340222</v>
      </c>
      <c r="AI540">
        <v>10791.763233368554</v>
      </c>
      <c r="AJ540">
        <v>34313.134014570242</v>
      </c>
      <c r="AK540">
        <v>17152.251647544035</v>
      </c>
      <c r="AL540">
        <v>1544.8582604423611</v>
      </c>
      <c r="AM540">
        <v>421.92348622936362</v>
      </c>
      <c r="AO540">
        <v>41121.96231586561</v>
      </c>
      <c r="AP540">
        <v>13.399712502875829</v>
      </c>
      <c r="AQ540">
        <v>48292.942451189454</v>
      </c>
      <c r="AR540">
        <v>13.569165521559537</v>
      </c>
      <c r="AS540" s="2">
        <f t="shared" si="57"/>
        <v>7170.9801353238436</v>
      </c>
      <c r="AT540" s="2">
        <f t="shared" si="58"/>
        <v>0.16945301868370777</v>
      </c>
      <c r="AV540">
        <f t="shared" si="59"/>
        <v>1298849.2879717173</v>
      </c>
      <c r="AW540">
        <f t="shared" si="60"/>
        <v>1308623.6097047641</v>
      </c>
      <c r="AY540">
        <f t="shared" si="61"/>
        <v>0</v>
      </c>
      <c r="AZ540">
        <f t="shared" si="62"/>
        <v>1</v>
      </c>
    </row>
    <row r="541" spans="1:52" x14ac:dyDescent="0.2">
      <c r="A541">
        <f t="shared" si="56"/>
        <v>537</v>
      </c>
      <c r="B541">
        <v>2.7299591686490543E-2</v>
      </c>
      <c r="C541">
        <v>4.3899063412410677E-2</v>
      </c>
      <c r="D541">
        <v>2.4398778779090108E-2</v>
      </c>
      <c r="E541">
        <v>1.6581228990310115E-2</v>
      </c>
      <c r="F541">
        <v>3.312756067862019E-3</v>
      </c>
      <c r="G541">
        <v>6.2831937064633985E-3</v>
      </c>
      <c r="H541">
        <v>3.2262890093844976E-2</v>
      </c>
      <c r="I541">
        <v>0.12791331874015008</v>
      </c>
      <c r="J541">
        <v>0</v>
      </c>
      <c r="K541">
        <v>0.44608743278379015</v>
      </c>
      <c r="L541">
        <v>0.27013206640258958</v>
      </c>
      <c r="M541">
        <v>0.72986793359741042</v>
      </c>
      <c r="N541">
        <v>4.8912963220282261E-2</v>
      </c>
      <c r="O541" s="72">
        <v>0.99948928200135034</v>
      </c>
      <c r="P541">
        <v>0.9999216921948898</v>
      </c>
      <c r="Q541">
        <v>0.97178884334389914</v>
      </c>
      <c r="R541">
        <v>0.43421031067553351</v>
      </c>
      <c r="S541">
        <v>0.38421088876780485</v>
      </c>
      <c r="T541">
        <v>0.22405221928721208</v>
      </c>
      <c r="U541">
        <v>0.78650870962722563</v>
      </c>
      <c r="V541">
        <v>0.69734978759436972</v>
      </c>
      <c r="W541">
        <v>0.52613608978782</v>
      </c>
      <c r="X541">
        <v>0.46296030381439079</v>
      </c>
      <c r="Y541">
        <v>0.35961639042011145</v>
      </c>
      <c r="Z541">
        <v>0.4999390512396753</v>
      </c>
      <c r="AA541">
        <v>0.61865361642732619</v>
      </c>
      <c r="AB541">
        <v>0.83047175648922467</v>
      </c>
      <c r="AC541">
        <v>0.60190144265558454</v>
      </c>
      <c r="AD541">
        <v>0.7392318246169377</v>
      </c>
      <c r="AE541">
        <v>172.1863539663716</v>
      </c>
      <c r="AF541">
        <v>1019.7237520148427</v>
      </c>
      <c r="AG541">
        <v>1053.7071823894237</v>
      </c>
      <c r="AH541">
        <v>12759.055598517158</v>
      </c>
      <c r="AI541">
        <v>9477.8348045846778</v>
      </c>
      <c r="AJ541">
        <v>35140.708622170714</v>
      </c>
      <c r="AK541">
        <v>8350.1527328594639</v>
      </c>
      <c r="AL541">
        <v>2725.5278192226124</v>
      </c>
      <c r="AM541">
        <v>403.65441795211501</v>
      </c>
      <c r="AO541">
        <v>46444.86830010893</v>
      </c>
      <c r="AP541">
        <v>13.382256312933107</v>
      </c>
      <c r="AQ541">
        <v>46697.664939369024</v>
      </c>
      <c r="AR541">
        <v>13.628323764217503</v>
      </c>
      <c r="AS541" s="2">
        <f t="shared" si="57"/>
        <v>252.7966392600938</v>
      </c>
      <c r="AT541" s="2">
        <f t="shared" si="58"/>
        <v>0.24606745128439655</v>
      </c>
      <c r="AV541">
        <f t="shared" si="59"/>
        <v>1291780.7629932018</v>
      </c>
      <c r="AW541">
        <f t="shared" si="60"/>
        <v>1316134.7114823812</v>
      </c>
      <c r="AY541">
        <f t="shared" si="61"/>
        <v>0</v>
      </c>
      <c r="AZ541">
        <f t="shared" si="62"/>
        <v>1</v>
      </c>
    </row>
    <row r="542" spans="1:52" x14ac:dyDescent="0.2">
      <c r="A542">
        <f t="shared" si="56"/>
        <v>538</v>
      </c>
      <c r="B542">
        <v>2.3252889347267817E-2</v>
      </c>
      <c r="C542">
        <v>4.5002144477419459E-2</v>
      </c>
      <c r="D542">
        <v>3.8466594797530562E-2</v>
      </c>
      <c r="E542">
        <v>7.138893839323964E-3</v>
      </c>
      <c r="F542">
        <v>3.2631234014390835E-3</v>
      </c>
      <c r="G542">
        <v>2.2885627626340388E-2</v>
      </c>
      <c r="H542">
        <v>1.6763884000461759E-2</v>
      </c>
      <c r="I542">
        <v>0.14805079151494527</v>
      </c>
      <c r="J542">
        <v>0</v>
      </c>
      <c r="K542">
        <v>0.43022062310513409</v>
      </c>
      <c r="L542">
        <v>0.18221623119214989</v>
      </c>
      <c r="M542">
        <v>0.81778376880785009</v>
      </c>
      <c r="N542">
        <v>5.6794824682162792E-2</v>
      </c>
      <c r="O542" s="72">
        <v>0.93255172446922441</v>
      </c>
      <c r="P542">
        <v>0.99923088772856861</v>
      </c>
      <c r="Q542">
        <v>0.93780243950042053</v>
      </c>
      <c r="R542">
        <v>0.49647601042108103</v>
      </c>
      <c r="S542">
        <v>0.42262151551894322</v>
      </c>
      <c r="T542">
        <v>0.29530863960897979</v>
      </c>
      <c r="U542">
        <v>0.74412245720755843</v>
      </c>
      <c r="V542">
        <v>0.6721690618999987</v>
      </c>
      <c r="W542">
        <v>0.49446748433774534</v>
      </c>
      <c r="X542">
        <v>0.41033360488931064</v>
      </c>
      <c r="Y542">
        <v>0.44860771389216841</v>
      </c>
      <c r="Z542">
        <v>0.45461340496161018</v>
      </c>
      <c r="AA542">
        <v>0.64808339804339299</v>
      </c>
      <c r="AB542">
        <v>0.76635350078388631</v>
      </c>
      <c r="AC542">
        <v>0.65490159288798255</v>
      </c>
      <c r="AD542">
        <v>0.6266025036806262</v>
      </c>
      <c r="AE542">
        <v>194.31493510675287</v>
      </c>
      <c r="AF542">
        <v>1052.0545855490159</v>
      </c>
      <c r="AG542">
        <v>2056.2752428531912</v>
      </c>
      <c r="AH542">
        <v>13108.818717121598</v>
      </c>
      <c r="AI542">
        <v>5951.8754188592584</v>
      </c>
      <c r="AJ542">
        <v>35160.42275122313</v>
      </c>
      <c r="AK542">
        <v>6507.0378226153252</v>
      </c>
      <c r="AL542">
        <v>2367.1039783012116</v>
      </c>
      <c r="AM542">
        <v>422.04893162536968</v>
      </c>
      <c r="AO542">
        <v>42047.777162872269</v>
      </c>
      <c r="AP542">
        <v>12.545032663092968</v>
      </c>
      <c r="AQ542">
        <v>47496.298764959378</v>
      </c>
      <c r="AR542">
        <v>12.677117005652351</v>
      </c>
      <c r="AS542" s="2">
        <f t="shared" si="57"/>
        <v>5448.5216020871085</v>
      </c>
      <c r="AT542" s="2">
        <f t="shared" si="58"/>
        <v>0.13208434255938251</v>
      </c>
      <c r="AV542">
        <f t="shared" si="59"/>
        <v>1212455.4891464245</v>
      </c>
      <c r="AW542">
        <f t="shared" si="60"/>
        <v>1220215.4018002755</v>
      </c>
      <c r="AY542">
        <f t="shared" si="61"/>
        <v>0</v>
      </c>
      <c r="AZ542">
        <f t="shared" si="62"/>
        <v>1</v>
      </c>
    </row>
    <row r="543" spans="1:52" x14ac:dyDescent="0.2">
      <c r="A543">
        <f t="shared" si="56"/>
        <v>539</v>
      </c>
      <c r="B543">
        <v>3.2861952940558381E-2</v>
      </c>
      <c r="C543">
        <v>4.5651757705269969E-2</v>
      </c>
      <c r="D543">
        <v>4.6003075490007705E-2</v>
      </c>
      <c r="E543">
        <v>1.4982928694349029E-2</v>
      </c>
      <c r="F543">
        <v>3.4637638759152933E-3</v>
      </c>
      <c r="G543">
        <v>2.9842382804449397E-2</v>
      </c>
      <c r="H543">
        <v>1.7491288722239241E-2</v>
      </c>
      <c r="I543">
        <v>0.14826609743871344</v>
      </c>
      <c r="J543">
        <v>0</v>
      </c>
      <c r="K543">
        <v>0.47514982972745623</v>
      </c>
      <c r="L543">
        <v>0.14504815516363984</v>
      </c>
      <c r="M543">
        <v>0.85495184483636022</v>
      </c>
      <c r="N543">
        <v>5.2690365067702902E-2</v>
      </c>
      <c r="O543" s="72">
        <v>0.99428102328502344</v>
      </c>
      <c r="P543">
        <v>0.99717104493601272</v>
      </c>
      <c r="Q543">
        <v>0.9880553624456001</v>
      </c>
      <c r="R543">
        <v>0.48884392418198463</v>
      </c>
      <c r="S543">
        <v>0.48363700993417791</v>
      </c>
      <c r="T543">
        <v>0.20984163056667471</v>
      </c>
      <c r="U543">
        <v>0.77525278728433444</v>
      </c>
      <c r="V543">
        <v>0.72742930799715899</v>
      </c>
      <c r="W543">
        <v>0.5461066125171451</v>
      </c>
      <c r="X543">
        <v>0.41338771365139454</v>
      </c>
      <c r="Y543">
        <v>0.48405442748063154</v>
      </c>
      <c r="Z543">
        <v>0.38084758771051513</v>
      </c>
      <c r="AA543">
        <v>0.69735006738279859</v>
      </c>
      <c r="AB543">
        <v>0.83927062574512235</v>
      </c>
      <c r="AC543">
        <v>0.75224306858578771</v>
      </c>
      <c r="AD543">
        <v>0.54053638662211545</v>
      </c>
      <c r="AE543">
        <v>159.08936867420465</v>
      </c>
      <c r="AF543">
        <v>1031.3667193581434</v>
      </c>
      <c r="AG543">
        <v>2110.2901461025963</v>
      </c>
      <c r="AH543">
        <v>12484.49248772789</v>
      </c>
      <c r="AI543">
        <v>16041.095248740228</v>
      </c>
      <c r="AJ543">
        <v>34770.362602932095</v>
      </c>
      <c r="AK543">
        <v>6095.9772661552652</v>
      </c>
      <c r="AL543">
        <v>2239.8616593165666</v>
      </c>
      <c r="AM543">
        <v>325.79698917518715</v>
      </c>
      <c r="AO543">
        <v>41859.357202190607</v>
      </c>
      <c r="AP543">
        <v>13.546569816540545</v>
      </c>
      <c r="AQ543">
        <v>45579.185191549856</v>
      </c>
      <c r="AR543">
        <v>13.747569720657451</v>
      </c>
      <c r="AS543" s="2">
        <f t="shared" si="57"/>
        <v>3719.827989359248</v>
      </c>
      <c r="AT543" s="2">
        <f t="shared" si="58"/>
        <v>0.20099990411690527</v>
      </c>
      <c r="AV543">
        <f t="shared" si="59"/>
        <v>1312797.6244518638</v>
      </c>
      <c r="AW543">
        <f t="shared" si="60"/>
        <v>1329177.7868741953</v>
      </c>
      <c r="AY543">
        <f t="shared" si="61"/>
        <v>0</v>
      </c>
      <c r="AZ543">
        <f t="shared" si="62"/>
        <v>1</v>
      </c>
    </row>
    <row r="544" spans="1:52" x14ac:dyDescent="0.2">
      <c r="A544">
        <f t="shared" si="56"/>
        <v>540</v>
      </c>
      <c r="B544">
        <v>2.8338939449810141E-2</v>
      </c>
      <c r="C544">
        <v>3.0175152170927429E-2</v>
      </c>
      <c r="D544">
        <v>4.0015307243400189E-2</v>
      </c>
      <c r="E544">
        <v>1.6137675733073009E-2</v>
      </c>
      <c r="F544">
        <v>3.3876829072537751E-3</v>
      </c>
      <c r="G544">
        <v>6.4193306614652081E-3</v>
      </c>
      <c r="H544">
        <v>3.70122829285493E-2</v>
      </c>
      <c r="I544">
        <v>0.1317964364287274</v>
      </c>
      <c r="J544">
        <v>0</v>
      </c>
      <c r="K544">
        <v>0.41257602074549399</v>
      </c>
      <c r="L544">
        <v>0.12984901084076195</v>
      </c>
      <c r="M544">
        <v>0.87015098915923805</v>
      </c>
      <c r="N544">
        <v>7.4487155017923024E-2</v>
      </c>
      <c r="O544" s="72">
        <v>0.99998287440464717</v>
      </c>
      <c r="P544">
        <v>0.99749270194026241</v>
      </c>
      <c r="Q544">
        <v>0.9952164654475707</v>
      </c>
      <c r="R544">
        <v>0.48854409347958017</v>
      </c>
      <c r="S544">
        <v>0.4122879697264209</v>
      </c>
      <c r="T544">
        <v>0.21547713380982958</v>
      </c>
      <c r="U544">
        <v>0.78327926232806488</v>
      </c>
      <c r="V544">
        <v>0.66571998551039058</v>
      </c>
      <c r="W544">
        <v>0.48336401659625639</v>
      </c>
      <c r="X544">
        <v>0.44403614481963261</v>
      </c>
      <c r="Y544">
        <v>0.47726787275116844</v>
      </c>
      <c r="Z544">
        <v>0.47742554739708221</v>
      </c>
      <c r="AA544">
        <v>0.56544975084404248</v>
      </c>
      <c r="AB544">
        <v>0.73844149389349145</v>
      </c>
      <c r="AC544">
        <v>0.70579610883910204</v>
      </c>
      <c r="AD544">
        <v>0.64344816436784369</v>
      </c>
      <c r="AE544">
        <v>230.11785176956201</v>
      </c>
      <c r="AF544">
        <v>980.95379412257341</v>
      </c>
      <c r="AG544">
        <v>1040.2662010150862</v>
      </c>
      <c r="AH544">
        <v>15129.958047237431</v>
      </c>
      <c r="AI544">
        <v>12917.461794241141</v>
      </c>
      <c r="AJ544">
        <v>36591.503687389246</v>
      </c>
      <c r="AK544">
        <v>18602.360378966892</v>
      </c>
      <c r="AL544">
        <v>2000.5684424601482</v>
      </c>
      <c r="AM544">
        <v>289.8783771562712</v>
      </c>
      <c r="AO544">
        <v>41893.646347660208</v>
      </c>
      <c r="AP544">
        <v>12.281781855044214</v>
      </c>
      <c r="AQ544">
        <v>45005.321350119695</v>
      </c>
      <c r="AR544">
        <v>12.409020377126438</v>
      </c>
      <c r="AS544" s="2">
        <f t="shared" si="57"/>
        <v>3111.6750024594876</v>
      </c>
      <c r="AT544" s="2">
        <f t="shared" si="58"/>
        <v>0.12723852208222475</v>
      </c>
      <c r="AV544">
        <f t="shared" si="59"/>
        <v>1186284.5391567613</v>
      </c>
      <c r="AW544">
        <f t="shared" si="60"/>
        <v>1195896.7163625241</v>
      </c>
      <c r="AY544">
        <f t="shared" si="61"/>
        <v>0</v>
      </c>
      <c r="AZ544">
        <f t="shared" si="62"/>
        <v>1</v>
      </c>
    </row>
    <row r="545" spans="1:52" x14ac:dyDescent="0.2">
      <c r="A545">
        <f t="shared" si="56"/>
        <v>541</v>
      </c>
      <c r="B545">
        <v>3.1803208681280615E-2</v>
      </c>
      <c r="C545">
        <v>3.1594998287302563E-2</v>
      </c>
      <c r="D545">
        <v>4.2241938419728342E-2</v>
      </c>
      <c r="E545">
        <v>4.5591978671132415E-3</v>
      </c>
      <c r="F545">
        <v>3.2830606059177756E-3</v>
      </c>
      <c r="G545">
        <v>9.515417610057194E-3</v>
      </c>
      <c r="H545">
        <v>3.6864958153258631E-2</v>
      </c>
      <c r="I545">
        <v>0.13745844382052619</v>
      </c>
      <c r="J545">
        <v>0</v>
      </c>
      <c r="K545">
        <v>0.41646987182551848</v>
      </c>
      <c r="L545">
        <v>0.15762316341886959</v>
      </c>
      <c r="M545">
        <v>0.84237683658113038</v>
      </c>
      <c r="N545">
        <v>6.522825454759773E-2</v>
      </c>
      <c r="O545" s="72">
        <v>0.98654436534385093</v>
      </c>
      <c r="P545">
        <v>0.95081782716263863</v>
      </c>
      <c r="Q545">
        <v>0.98451574602418157</v>
      </c>
      <c r="R545">
        <v>0.50268755896760464</v>
      </c>
      <c r="S545">
        <v>0.38466293569226007</v>
      </c>
      <c r="T545">
        <v>0.25342609414713191</v>
      </c>
      <c r="U545">
        <v>0.77696664536481963</v>
      </c>
      <c r="V545">
        <v>0.68824664061004648</v>
      </c>
      <c r="W545">
        <v>0.61198613234957</v>
      </c>
      <c r="X545">
        <v>0.44618539786524736</v>
      </c>
      <c r="Y545">
        <v>0.49675348912909612</v>
      </c>
      <c r="Z545">
        <v>0.48565514223022688</v>
      </c>
      <c r="AA545">
        <v>0.70017320723005971</v>
      </c>
      <c r="AB545">
        <v>0.80709281278566691</v>
      </c>
      <c r="AC545">
        <v>0.75099815940334147</v>
      </c>
      <c r="AD545">
        <v>0.60756935276753787</v>
      </c>
      <c r="AE545">
        <v>136.73833732001015</v>
      </c>
      <c r="AF545">
        <v>1021.1907558408955</v>
      </c>
      <c r="AG545">
        <v>1291.1617556549695</v>
      </c>
      <c r="AH545">
        <v>10343.247255453531</v>
      </c>
      <c r="AI545">
        <v>8656.021038202889</v>
      </c>
      <c r="AJ545">
        <v>43170.628556969117</v>
      </c>
      <c r="AK545">
        <v>16538.494059170349</v>
      </c>
      <c r="AL545">
        <v>3590.3581755407276</v>
      </c>
      <c r="AM545">
        <v>333.83927038813334</v>
      </c>
      <c r="AO545">
        <v>41262.845553218969</v>
      </c>
      <c r="AP545">
        <v>13.261702603097696</v>
      </c>
      <c r="AQ545">
        <v>47145.9154844328</v>
      </c>
      <c r="AR545">
        <v>13.3917313590944</v>
      </c>
      <c r="AS545" s="2">
        <f t="shared" si="57"/>
        <v>5883.0699312138313</v>
      </c>
      <c r="AT545" s="2">
        <f t="shared" si="58"/>
        <v>0.1300287559967046</v>
      </c>
      <c r="AV545">
        <f t="shared" si="59"/>
        <v>1284907.4147565505</v>
      </c>
      <c r="AW545">
        <f t="shared" si="60"/>
        <v>1292027.2204250072</v>
      </c>
      <c r="AY545">
        <f t="shared" si="61"/>
        <v>0</v>
      </c>
      <c r="AZ545">
        <f t="shared" si="62"/>
        <v>1</v>
      </c>
    </row>
    <row r="546" spans="1:52" x14ac:dyDescent="0.2">
      <c r="A546">
        <f t="shared" si="56"/>
        <v>542</v>
      </c>
      <c r="B546">
        <v>2.4002273340681887E-2</v>
      </c>
      <c r="C546">
        <v>4.0893543617687489E-2</v>
      </c>
      <c r="D546">
        <v>3.9454918589307164E-2</v>
      </c>
      <c r="E546">
        <v>1.4580010541641725E-3</v>
      </c>
      <c r="F546">
        <v>3.391561461239867E-3</v>
      </c>
      <c r="G546">
        <v>3.3706575432835388E-3</v>
      </c>
      <c r="H546">
        <v>4.2215320447909099E-2</v>
      </c>
      <c r="I546">
        <v>0.13462749280372843</v>
      </c>
      <c r="J546">
        <v>0</v>
      </c>
      <c r="K546">
        <v>0.39222758007325254</v>
      </c>
      <c r="L546">
        <v>0.16762221801706242</v>
      </c>
      <c r="M546">
        <v>0.83237778198293755</v>
      </c>
      <c r="N546">
        <v>7.2507669008168296E-2</v>
      </c>
      <c r="O546" s="72">
        <v>0.99998845009961568</v>
      </c>
      <c r="P546">
        <v>0.9959416014780158</v>
      </c>
      <c r="Q546">
        <v>0.99229853387411615</v>
      </c>
      <c r="R546">
        <v>0.49856716960761538</v>
      </c>
      <c r="S546">
        <v>0.46671675080545394</v>
      </c>
      <c r="T546">
        <v>0.13371308982617591</v>
      </c>
      <c r="U546">
        <v>0.76294013752371526</v>
      </c>
      <c r="V546">
        <v>0.59629123358322567</v>
      </c>
      <c r="W546">
        <v>0.50202223758876319</v>
      </c>
      <c r="X546">
        <v>0.3858782516050579</v>
      </c>
      <c r="Y546">
        <v>0.40984617179056798</v>
      </c>
      <c r="Z546">
        <v>0.46130043962312883</v>
      </c>
      <c r="AA546">
        <v>0.73961097793724728</v>
      </c>
      <c r="AB546">
        <v>0.83641877433787704</v>
      </c>
      <c r="AC546">
        <v>0.62487283392067761</v>
      </c>
      <c r="AD546">
        <v>0.57784439792630959</v>
      </c>
      <c r="AE546">
        <v>165.38281658003831</v>
      </c>
      <c r="AF546">
        <v>1090.9324318704967</v>
      </c>
      <c r="AG546">
        <v>1713.1722162063757</v>
      </c>
      <c r="AH546">
        <v>13999.43160165034</v>
      </c>
      <c r="AI546">
        <v>12794.602505389928</v>
      </c>
      <c r="AJ546">
        <v>49160.079240070168</v>
      </c>
      <c r="AK546">
        <v>11167.1658613705</v>
      </c>
      <c r="AL546">
        <v>1831.3155355701977</v>
      </c>
      <c r="AM546">
        <v>298.85336478098009</v>
      </c>
      <c r="AO546">
        <v>43795.314524230729</v>
      </c>
      <c r="AP546">
        <v>13.289549008190223</v>
      </c>
      <c r="AQ546">
        <v>45198.505352171807</v>
      </c>
      <c r="AR546">
        <v>13.530665775585941</v>
      </c>
      <c r="AS546" s="2">
        <f t="shared" si="57"/>
        <v>1403.1908279410782</v>
      </c>
      <c r="AT546" s="2">
        <f t="shared" si="58"/>
        <v>0.24111676739571841</v>
      </c>
      <c r="AV546">
        <f t="shared" si="59"/>
        <v>1285159.5862947914</v>
      </c>
      <c r="AW546">
        <f t="shared" si="60"/>
        <v>1307868.0722064222</v>
      </c>
      <c r="AY546">
        <f t="shared" si="61"/>
        <v>0</v>
      </c>
      <c r="AZ546">
        <f t="shared" si="62"/>
        <v>1</v>
      </c>
    </row>
    <row r="547" spans="1:52" x14ac:dyDescent="0.2">
      <c r="A547">
        <f t="shared" si="56"/>
        <v>543</v>
      </c>
      <c r="B547">
        <v>2.213047500187991E-2</v>
      </c>
      <c r="C547">
        <v>3.8381544048951666E-2</v>
      </c>
      <c r="D547">
        <v>4.6976365049228974E-2</v>
      </c>
      <c r="E547">
        <v>1.5382382991041433E-3</v>
      </c>
      <c r="F547">
        <v>3.4080114923308313E-3</v>
      </c>
      <c r="G547">
        <v>9.216982396346449E-3</v>
      </c>
      <c r="H547">
        <v>2.9583067251502282E-2</v>
      </c>
      <c r="I547">
        <v>0.14463411757992384</v>
      </c>
      <c r="J547">
        <v>0</v>
      </c>
      <c r="K547">
        <v>0.40742592237833553</v>
      </c>
      <c r="L547">
        <v>0.22859026788355763</v>
      </c>
      <c r="M547">
        <v>0.77140973211644237</v>
      </c>
      <c r="N547">
        <v>5.6071362286590688E-2</v>
      </c>
      <c r="O547" s="72">
        <v>0.99990671925959262</v>
      </c>
      <c r="P547">
        <v>0.99998294716331149</v>
      </c>
      <c r="Q547">
        <v>0.94363590083635074</v>
      </c>
      <c r="R547">
        <v>0.43693766761400121</v>
      </c>
      <c r="S547">
        <v>0.45056367339168735</v>
      </c>
      <c r="T547">
        <v>0.20115369330593924</v>
      </c>
      <c r="U547">
        <v>0.7669114483848205</v>
      </c>
      <c r="V547">
        <v>0.66263443545732503</v>
      </c>
      <c r="W547">
        <v>0.55601686369850778</v>
      </c>
      <c r="X547">
        <v>0.45905477744562806</v>
      </c>
      <c r="Y547">
        <v>0.46663202507095347</v>
      </c>
      <c r="Z547">
        <v>0.46721719170127307</v>
      </c>
      <c r="AA547">
        <v>0.63427849046377038</v>
      </c>
      <c r="AB547">
        <v>0.79012295575301661</v>
      </c>
      <c r="AC547">
        <v>0.74590673319227729</v>
      </c>
      <c r="AD547">
        <v>0.67037362881790719</v>
      </c>
      <c r="AE547">
        <v>165.31740161250011</v>
      </c>
      <c r="AF547">
        <v>973.37052877697249</v>
      </c>
      <c r="AG547">
        <v>1358.3449375565094</v>
      </c>
      <c r="AH547">
        <v>14015.233197252255</v>
      </c>
      <c r="AI547">
        <v>8900.4551280054147</v>
      </c>
      <c r="AJ547">
        <v>44765.167792263332</v>
      </c>
      <c r="AK547">
        <v>10775.339993389793</v>
      </c>
      <c r="AL547">
        <v>2337.5638183768124</v>
      </c>
      <c r="AM547">
        <v>455.66468450938555</v>
      </c>
      <c r="AO547">
        <v>47059.456662182434</v>
      </c>
      <c r="AP547">
        <v>13.056255258569495</v>
      </c>
      <c r="AQ547">
        <v>47646.514852135479</v>
      </c>
      <c r="AR547">
        <v>13.232404499334072</v>
      </c>
      <c r="AS547" s="2">
        <f t="shared" si="57"/>
        <v>587.05818995304435</v>
      </c>
      <c r="AT547" s="2">
        <f t="shared" si="58"/>
        <v>0.17614924076457683</v>
      </c>
      <c r="AV547">
        <f t="shared" si="59"/>
        <v>1258566.0691947669</v>
      </c>
      <c r="AW547">
        <f t="shared" si="60"/>
        <v>1275593.9350812717</v>
      </c>
      <c r="AY547">
        <f t="shared" si="61"/>
        <v>0</v>
      </c>
      <c r="AZ547">
        <f t="shared" si="62"/>
        <v>1</v>
      </c>
    </row>
    <row r="548" spans="1:52" x14ac:dyDescent="0.2">
      <c r="A548">
        <f t="shared" si="56"/>
        <v>544</v>
      </c>
      <c r="B548">
        <v>2.7235626793023937E-2</v>
      </c>
      <c r="C548">
        <v>3.5693966821505003E-2</v>
      </c>
      <c r="D548">
        <v>3.7807201900320907E-2</v>
      </c>
      <c r="E548">
        <v>1.5675800402627393E-2</v>
      </c>
      <c r="F548">
        <v>3.3059946857141435E-3</v>
      </c>
      <c r="G548">
        <v>1.7347351075685302E-2</v>
      </c>
      <c r="H548">
        <v>2.4776316826805214E-2</v>
      </c>
      <c r="I548">
        <v>0.14176792946570049</v>
      </c>
      <c r="J548">
        <v>0</v>
      </c>
      <c r="K548">
        <v>0.44754888138188564</v>
      </c>
      <c r="L548">
        <v>0.32628334582485552</v>
      </c>
      <c r="M548">
        <v>0.67371665417514448</v>
      </c>
      <c r="N548">
        <v>5.3708967647123386E-2</v>
      </c>
      <c r="O548" s="72">
        <v>0.99997893818149186</v>
      </c>
      <c r="P548">
        <v>0.99998987576460474</v>
      </c>
      <c r="Q548">
        <v>0.99104438477029322</v>
      </c>
      <c r="R548">
        <v>0.43901089246272762</v>
      </c>
      <c r="S548">
        <v>0.42607408746117481</v>
      </c>
      <c r="T548">
        <v>0.20760627870302995</v>
      </c>
      <c r="U548">
        <v>0.78993932104348974</v>
      </c>
      <c r="V548">
        <v>0.6512822150766221</v>
      </c>
      <c r="W548">
        <v>0.50997696388469671</v>
      </c>
      <c r="X548">
        <v>0.47855408523208021</v>
      </c>
      <c r="Y548">
        <v>0.45656671776953173</v>
      </c>
      <c r="Z548">
        <v>0.40076277231003915</v>
      </c>
      <c r="AA548">
        <v>0.7351730169031756</v>
      </c>
      <c r="AB548">
        <v>0.75147136074574961</v>
      </c>
      <c r="AC548">
        <v>0.77499255456621707</v>
      </c>
      <c r="AD548">
        <v>0.55597934589156872</v>
      </c>
      <c r="AE548">
        <v>223.42484895815534</v>
      </c>
      <c r="AF548">
        <v>942.06282427064514</v>
      </c>
      <c r="AG548">
        <v>1465.1598968843919</v>
      </c>
      <c r="AH548">
        <v>16494.672453565719</v>
      </c>
      <c r="AI548">
        <v>10660.183367776037</v>
      </c>
      <c r="AJ548">
        <v>43899.018536695075</v>
      </c>
      <c r="AK548">
        <v>16064.939088033707</v>
      </c>
      <c r="AL548">
        <v>1946.2247224419459</v>
      </c>
      <c r="AM548">
        <v>366.84313651221055</v>
      </c>
      <c r="AO548">
        <v>45813.586061829556</v>
      </c>
      <c r="AP548">
        <v>12.503292363707718</v>
      </c>
      <c r="AQ548">
        <v>46170.201264247793</v>
      </c>
      <c r="AR548">
        <v>12.595345526560124</v>
      </c>
      <c r="AS548" s="2">
        <f t="shared" si="57"/>
        <v>356.61520241823746</v>
      </c>
      <c r="AT548" s="2">
        <f t="shared" si="58"/>
        <v>9.2053162852405279E-2</v>
      </c>
      <c r="AV548">
        <f t="shared" si="59"/>
        <v>1204515.6503089424</v>
      </c>
      <c r="AW548">
        <f t="shared" si="60"/>
        <v>1213364.3513917646</v>
      </c>
      <c r="AY548">
        <f t="shared" si="61"/>
        <v>0</v>
      </c>
      <c r="AZ548">
        <f t="shared" si="62"/>
        <v>1</v>
      </c>
    </row>
    <row r="549" spans="1:52" x14ac:dyDescent="0.2">
      <c r="A549">
        <f t="shared" si="56"/>
        <v>545</v>
      </c>
      <c r="B549">
        <v>2.8114269854540352E-2</v>
      </c>
      <c r="C549">
        <v>3.8489369235096604E-2</v>
      </c>
      <c r="D549">
        <v>3.5991722994342272E-2</v>
      </c>
      <c r="E549">
        <v>8.5130379925123841E-3</v>
      </c>
      <c r="F549">
        <v>3.3515436329096815E-3</v>
      </c>
      <c r="G549">
        <v>1.672773553224316E-2</v>
      </c>
      <c r="H549">
        <v>8.2885804388213441E-3</v>
      </c>
      <c r="I549">
        <v>0.13275484773895418</v>
      </c>
      <c r="J549">
        <v>0</v>
      </c>
      <c r="K549">
        <v>0.42472613647938456</v>
      </c>
      <c r="L549">
        <v>0.21911382623166309</v>
      </c>
      <c r="M549">
        <v>0.78088617376833691</v>
      </c>
      <c r="N549">
        <v>5.3143972436104199E-2</v>
      </c>
      <c r="O549" s="72">
        <v>0.99999079399896074</v>
      </c>
      <c r="P549">
        <v>0.9999922052981598</v>
      </c>
      <c r="Q549">
        <v>0.96770013141162847</v>
      </c>
      <c r="R549">
        <v>0.4902153749530308</v>
      </c>
      <c r="S549">
        <v>0.34957435949640425</v>
      </c>
      <c r="T549">
        <v>0.24808751130252404</v>
      </c>
      <c r="U549">
        <v>0.78592003802262189</v>
      </c>
      <c r="V549">
        <v>0.63727235540426608</v>
      </c>
      <c r="W549">
        <v>0.59560955271688121</v>
      </c>
      <c r="X549">
        <v>0.49164433854235368</v>
      </c>
      <c r="Y549">
        <v>0.48886208887236982</v>
      </c>
      <c r="Z549">
        <v>0.46242367935255202</v>
      </c>
      <c r="AA549">
        <v>0.66589463762209644</v>
      </c>
      <c r="AB549">
        <v>0.79523383146294491</v>
      </c>
      <c r="AC549">
        <v>0.73643903556872847</v>
      </c>
      <c r="AD549">
        <v>0.58898930084328838</v>
      </c>
      <c r="AE549">
        <v>259.94957455562201</v>
      </c>
      <c r="AF549">
        <v>1116.3414908565737</v>
      </c>
      <c r="AG549">
        <v>1638.7443900309815</v>
      </c>
      <c r="AH549">
        <v>13821.628217216265</v>
      </c>
      <c r="AI549">
        <v>9674.7474911272675</v>
      </c>
      <c r="AJ549">
        <v>41782.102287872905</v>
      </c>
      <c r="AK549">
        <v>14621.721337645238</v>
      </c>
      <c r="AL549">
        <v>1827.4573426807694</v>
      </c>
      <c r="AM549">
        <v>346.36787829329785</v>
      </c>
      <c r="AO549">
        <v>43051.026361299148</v>
      </c>
      <c r="AP549">
        <v>13.045879837827281</v>
      </c>
      <c r="AQ549">
        <v>45957.133483780715</v>
      </c>
      <c r="AR549">
        <v>13.177213465956749</v>
      </c>
      <c r="AS549" s="2">
        <f t="shared" si="57"/>
        <v>2906.1071224815678</v>
      </c>
      <c r="AT549" s="2">
        <f t="shared" si="58"/>
        <v>0.13133362812946814</v>
      </c>
      <c r="AV549">
        <f t="shared" si="59"/>
        <v>1261536.9574214288</v>
      </c>
      <c r="AW549">
        <f t="shared" si="60"/>
        <v>1271764.2131118942</v>
      </c>
      <c r="AY549">
        <f t="shared" si="61"/>
        <v>0</v>
      </c>
      <c r="AZ549">
        <f t="shared" si="62"/>
        <v>1</v>
      </c>
    </row>
    <row r="550" spans="1:52" x14ac:dyDescent="0.2">
      <c r="A550">
        <f t="shared" si="56"/>
        <v>546</v>
      </c>
      <c r="B550">
        <v>2.8133511730913496E-2</v>
      </c>
      <c r="C550">
        <v>2.1246112577127482E-2</v>
      </c>
      <c r="D550">
        <v>4.1581009304327177E-2</v>
      </c>
      <c r="E550">
        <v>2.0824513438983505E-2</v>
      </c>
      <c r="F550">
        <v>3.4016701236097013E-3</v>
      </c>
      <c r="G550">
        <v>5.7765770034137699E-3</v>
      </c>
      <c r="H550">
        <v>6.6498176146661314E-2</v>
      </c>
      <c r="I550">
        <v>0.13334098522502358</v>
      </c>
      <c r="J550">
        <v>0</v>
      </c>
      <c r="K550">
        <v>0.41335501274655229</v>
      </c>
      <c r="L550">
        <v>0.20904696771354836</v>
      </c>
      <c r="M550">
        <v>0.79095303228645164</v>
      </c>
      <c r="N550">
        <v>8.0412962919928832E-2</v>
      </c>
      <c r="O550" s="72">
        <v>0.99993035721869672</v>
      </c>
      <c r="P550">
        <v>0.99977704196391615</v>
      </c>
      <c r="Q550">
        <v>0.98824589037496435</v>
      </c>
      <c r="R550">
        <v>0.44055482850082872</v>
      </c>
      <c r="S550">
        <v>0.39311892805563631</v>
      </c>
      <c r="T550">
        <v>0.19312276977232767</v>
      </c>
      <c r="U550">
        <v>0.80501283060632822</v>
      </c>
      <c r="V550">
        <v>0.68269309608306306</v>
      </c>
      <c r="W550">
        <v>0.53678765744951418</v>
      </c>
      <c r="X550">
        <v>0.47564996005875881</v>
      </c>
      <c r="Y550">
        <v>0.48211074814058097</v>
      </c>
      <c r="Z550">
        <v>0.47919551869729315</v>
      </c>
      <c r="AA550">
        <v>0.70478498490298469</v>
      </c>
      <c r="AB550">
        <v>0.7398976096829587</v>
      </c>
      <c r="AC550">
        <v>0.6140245949934594</v>
      </c>
      <c r="AD550">
        <v>0.59102638405169061</v>
      </c>
      <c r="AE550">
        <v>317.50643350788323</v>
      </c>
      <c r="AF550">
        <v>921.23838052540873</v>
      </c>
      <c r="AG550">
        <v>1205.4130673993595</v>
      </c>
      <c r="AH550">
        <v>13727.606554233389</v>
      </c>
      <c r="AI550">
        <v>10866.361728002445</v>
      </c>
      <c r="AJ550">
        <v>39904.361485119494</v>
      </c>
      <c r="AK550">
        <v>13587.409276623652</v>
      </c>
      <c r="AL550">
        <v>2214.6175156053596</v>
      </c>
      <c r="AM550">
        <v>372.73248029821195</v>
      </c>
      <c r="AO550">
        <v>46360.017439120769</v>
      </c>
      <c r="AP550">
        <v>12.089885791752694</v>
      </c>
      <c r="AQ550">
        <v>46303.161108082037</v>
      </c>
      <c r="AR550">
        <v>12.192605199004634</v>
      </c>
      <c r="AS550" s="2">
        <f t="shared" si="57"/>
        <v>-56.856331038732606</v>
      </c>
      <c r="AT550" s="2">
        <f t="shared" si="58"/>
        <v>0.10271940725193929</v>
      </c>
      <c r="AV550">
        <f t="shared" si="59"/>
        <v>1162628.5617361488</v>
      </c>
      <c r="AW550">
        <f t="shared" si="60"/>
        <v>1172957.3587923814</v>
      </c>
      <c r="AY550">
        <f t="shared" si="61"/>
        <v>0</v>
      </c>
      <c r="AZ550">
        <f t="shared" si="62"/>
        <v>1</v>
      </c>
    </row>
    <row r="551" spans="1:52" x14ac:dyDescent="0.2">
      <c r="A551">
        <f t="shared" si="56"/>
        <v>547</v>
      </c>
      <c r="B551">
        <v>2.4256372515096204E-2</v>
      </c>
      <c r="C551">
        <v>3.5540657845017788E-2</v>
      </c>
      <c r="D551">
        <v>3.6614822166946247E-2</v>
      </c>
      <c r="E551">
        <v>1.1639629336019216E-2</v>
      </c>
      <c r="F551">
        <v>3.3181523669057293E-3</v>
      </c>
      <c r="G551">
        <v>1.2223804823763174E-2</v>
      </c>
      <c r="H551">
        <v>2.064140160616677E-2</v>
      </c>
      <c r="I551">
        <v>0.13978719895344416</v>
      </c>
      <c r="J551">
        <v>0</v>
      </c>
      <c r="K551">
        <v>0.42969391723627498</v>
      </c>
      <c r="L551">
        <v>0.17207670115787621</v>
      </c>
      <c r="M551">
        <v>0.82792329884212379</v>
      </c>
      <c r="N551">
        <v>5.3122900998424767E-2</v>
      </c>
      <c r="O551" s="72">
        <v>0.99763451783041823</v>
      </c>
      <c r="P551">
        <v>0.97688815068226387</v>
      </c>
      <c r="Q551">
        <v>0.97313512656618162</v>
      </c>
      <c r="R551">
        <v>0.54489667727146263</v>
      </c>
      <c r="S551">
        <v>0.36882414488218829</v>
      </c>
      <c r="T551">
        <v>0.17768474994799066</v>
      </c>
      <c r="U551">
        <v>0.78280683852845989</v>
      </c>
      <c r="V551">
        <v>0.60160360389908374</v>
      </c>
      <c r="W551">
        <v>0.51082069764047167</v>
      </c>
      <c r="X551">
        <v>0.4832739211265038</v>
      </c>
      <c r="Y551">
        <v>0.45282032796982197</v>
      </c>
      <c r="Z551">
        <v>0.42270653630402216</v>
      </c>
      <c r="AA551">
        <v>0.58903536456339167</v>
      </c>
      <c r="AB551">
        <v>0.82812948056231672</v>
      </c>
      <c r="AC551">
        <v>0.75867387237890405</v>
      </c>
      <c r="AD551">
        <v>0.64644361453482557</v>
      </c>
      <c r="AE551">
        <v>177.88597579286198</v>
      </c>
      <c r="AF551">
        <v>1151.2231026238121</v>
      </c>
      <c r="AG551">
        <v>1591.9576684641249</v>
      </c>
      <c r="AH551">
        <v>13913.894848962082</v>
      </c>
      <c r="AI551">
        <v>14119.242245389953</v>
      </c>
      <c r="AJ551">
        <v>43122.092566189058</v>
      </c>
      <c r="AK551">
        <v>9824.5798539359475</v>
      </c>
      <c r="AL551">
        <v>1481.2523024600855</v>
      </c>
      <c r="AM551">
        <v>350.97251291238706</v>
      </c>
      <c r="AO551">
        <v>41785.217331170992</v>
      </c>
      <c r="AP551">
        <v>13.523236806987994</v>
      </c>
      <c r="AQ551">
        <v>46675.99589075517</v>
      </c>
      <c r="AR551">
        <v>13.750565031867088</v>
      </c>
      <c r="AS551" s="2">
        <f t="shared" si="57"/>
        <v>4890.7785595841779</v>
      </c>
      <c r="AT551" s="2">
        <f t="shared" si="58"/>
        <v>0.22732822487909488</v>
      </c>
      <c r="AV551">
        <f t="shared" si="59"/>
        <v>1310538.4633676284</v>
      </c>
      <c r="AW551">
        <f t="shared" si="60"/>
        <v>1328380.5072959536</v>
      </c>
      <c r="AY551">
        <f t="shared" si="61"/>
        <v>0</v>
      </c>
      <c r="AZ551">
        <f t="shared" si="62"/>
        <v>1</v>
      </c>
    </row>
    <row r="552" spans="1:52" x14ac:dyDescent="0.2">
      <c r="A552">
        <f t="shared" si="56"/>
        <v>548</v>
      </c>
      <c r="B552">
        <v>2.4699403653859555E-2</v>
      </c>
      <c r="C552">
        <v>3.6794164578475619E-2</v>
      </c>
      <c r="D552">
        <v>4.8311790014767708E-2</v>
      </c>
      <c r="E552">
        <v>2.2950225995426954E-2</v>
      </c>
      <c r="F552">
        <v>3.2520258919802396E-3</v>
      </c>
      <c r="G552">
        <v>1.2150089807224207E-2</v>
      </c>
      <c r="H552">
        <v>1.8290200971093854E-2</v>
      </c>
      <c r="I552">
        <v>0.13505989939986507</v>
      </c>
      <c r="J552">
        <v>0</v>
      </c>
      <c r="K552">
        <v>0.41926197589646347</v>
      </c>
      <c r="L552">
        <v>0.14874371819666785</v>
      </c>
      <c r="M552">
        <v>0.85125628180333213</v>
      </c>
      <c r="N552">
        <v>5.6369375190847726E-2</v>
      </c>
      <c r="O552" s="72">
        <v>0.99977052467771022</v>
      </c>
      <c r="P552">
        <v>0.99097987854850766</v>
      </c>
      <c r="Q552">
        <v>0.98309954801896693</v>
      </c>
      <c r="R552">
        <v>0.45845152601499151</v>
      </c>
      <c r="S552">
        <v>0.44111990314683602</v>
      </c>
      <c r="T552">
        <v>0.1719105816920663</v>
      </c>
      <c r="U552">
        <v>0.76823668612122553</v>
      </c>
      <c r="V552">
        <v>0.62860174614342545</v>
      </c>
      <c r="W552">
        <v>0.54559290676061134</v>
      </c>
      <c r="X552">
        <v>0.44989692989111074</v>
      </c>
      <c r="Y552">
        <v>0.51159352386363122</v>
      </c>
      <c r="Z552">
        <v>0.46871738005278685</v>
      </c>
      <c r="AA552">
        <v>0.55100636907639111</v>
      </c>
      <c r="AB552">
        <v>0.84894672861042819</v>
      </c>
      <c r="AC552">
        <v>0.6282102217339689</v>
      </c>
      <c r="AD552">
        <v>0.56563695081473586</v>
      </c>
      <c r="AE552">
        <v>169.90925051765765</v>
      </c>
      <c r="AF552">
        <v>871.9920070932136</v>
      </c>
      <c r="AG552">
        <v>2201.4808683029441</v>
      </c>
      <c r="AH552">
        <v>14363.150531047078</v>
      </c>
      <c r="AI552">
        <v>11422.082702186926</v>
      </c>
      <c r="AJ552">
        <v>38666.642712551191</v>
      </c>
      <c r="AK552">
        <v>15793.169078878573</v>
      </c>
      <c r="AL552">
        <v>2156.2987372574053</v>
      </c>
      <c r="AM552">
        <v>419.88187164627203</v>
      </c>
      <c r="AO552">
        <v>46156.594794211633</v>
      </c>
      <c r="AP552">
        <v>13.405663636287761</v>
      </c>
      <c r="AQ552">
        <v>47289.6225046705</v>
      </c>
      <c r="AR552">
        <v>13.693134992766325</v>
      </c>
      <c r="AS552" s="2">
        <f t="shared" si="57"/>
        <v>1133.0277104588677</v>
      </c>
      <c r="AT552" s="2">
        <f t="shared" si="58"/>
        <v>0.28747135647856403</v>
      </c>
      <c r="AV552">
        <f t="shared" si="59"/>
        <v>1294409.7688345644</v>
      </c>
      <c r="AW552">
        <f t="shared" si="60"/>
        <v>1322023.876771962</v>
      </c>
      <c r="AY552">
        <f t="shared" si="61"/>
        <v>0</v>
      </c>
      <c r="AZ552">
        <f t="shared" si="62"/>
        <v>1</v>
      </c>
    </row>
    <row r="553" spans="1:52" x14ac:dyDescent="0.2">
      <c r="A553">
        <f t="shared" si="56"/>
        <v>549</v>
      </c>
      <c r="B553">
        <v>2.7936847264682818E-2</v>
      </c>
      <c r="C553">
        <v>3.8049402260378118E-2</v>
      </c>
      <c r="D553">
        <v>5.203184140291095E-2</v>
      </c>
      <c r="E553">
        <v>1.8496893097660227E-2</v>
      </c>
      <c r="F553">
        <v>3.3518687939086966E-3</v>
      </c>
      <c r="G553">
        <v>1.4529092682282974E-2</v>
      </c>
      <c r="H553">
        <v>5.2377412730748807E-2</v>
      </c>
      <c r="I553">
        <v>0.12176561553112668</v>
      </c>
      <c r="J553">
        <v>0</v>
      </c>
      <c r="K553">
        <v>0.48434347394074628</v>
      </c>
      <c r="L553">
        <v>0.25119303633855983</v>
      </c>
      <c r="M553">
        <v>0.74880696366144017</v>
      </c>
      <c r="N553">
        <v>3.1399398534606104E-2</v>
      </c>
      <c r="O553" s="72">
        <v>0.99998583475737657</v>
      </c>
      <c r="P553">
        <v>0.99857118166287573</v>
      </c>
      <c r="Q553">
        <v>0.83421387108980138</v>
      </c>
      <c r="R553">
        <v>0.43730729902201393</v>
      </c>
      <c r="S553">
        <v>0.29555506046790581</v>
      </c>
      <c r="T553">
        <v>0.24039869778604361</v>
      </c>
      <c r="U553">
        <v>0.77356724177134495</v>
      </c>
      <c r="V553">
        <v>0.650360243240516</v>
      </c>
      <c r="W553">
        <v>0.52103240435886966</v>
      </c>
      <c r="X553">
        <v>0.46135165826334468</v>
      </c>
      <c r="Y553">
        <v>0.48066377754245149</v>
      </c>
      <c r="Z553">
        <v>0.40992280656452634</v>
      </c>
      <c r="AA553">
        <v>0.68083815496625466</v>
      </c>
      <c r="AB553">
        <v>0.76662995445526017</v>
      </c>
      <c r="AC553">
        <v>0.76832100038393802</v>
      </c>
      <c r="AD553">
        <v>0.6527000987378484</v>
      </c>
      <c r="AE553">
        <v>254.35286724610978</v>
      </c>
      <c r="AF553">
        <v>1020.3796519414283</v>
      </c>
      <c r="AG553">
        <v>1737.0720633897768</v>
      </c>
      <c r="AH553">
        <v>14642.603774423991</v>
      </c>
      <c r="AI553">
        <v>5871.4072002681205</v>
      </c>
      <c r="AJ553">
        <v>49140.992182769849</v>
      </c>
      <c r="AK553">
        <v>13295.439542407694</v>
      </c>
      <c r="AL553">
        <v>2465.1941838041644</v>
      </c>
      <c r="AM553">
        <v>437.47887664191217</v>
      </c>
      <c r="AO553">
        <v>48354.071785400483</v>
      </c>
      <c r="AP553">
        <v>12.742371608157837</v>
      </c>
      <c r="AQ553">
        <v>48016.719583455022</v>
      </c>
      <c r="AR553">
        <v>12.917245498598247</v>
      </c>
      <c r="AS553" s="2">
        <f t="shared" si="57"/>
        <v>-337.35220194546127</v>
      </c>
      <c r="AT553" s="2">
        <f t="shared" si="58"/>
        <v>0.17487389044040924</v>
      </c>
      <c r="AV553">
        <f t="shared" si="59"/>
        <v>1225883.0890303834</v>
      </c>
      <c r="AW553">
        <f t="shared" si="60"/>
        <v>1243707.8302763696</v>
      </c>
      <c r="AY553">
        <f t="shared" si="61"/>
        <v>0</v>
      </c>
      <c r="AZ553">
        <f t="shared" si="62"/>
        <v>1</v>
      </c>
    </row>
    <row r="554" spans="1:52" x14ac:dyDescent="0.2">
      <c r="A554">
        <f t="shared" si="56"/>
        <v>550</v>
      </c>
      <c r="B554">
        <v>2.4063761192103308E-2</v>
      </c>
      <c r="C554">
        <v>3.7233259618449699E-2</v>
      </c>
      <c r="D554">
        <v>5.1202523801128663E-2</v>
      </c>
      <c r="E554">
        <v>1.5278286396680052E-2</v>
      </c>
      <c r="F554">
        <v>3.4236987317834977E-3</v>
      </c>
      <c r="G554">
        <v>1.929947002491339E-2</v>
      </c>
      <c r="H554">
        <v>1.7880138753840352E-2</v>
      </c>
      <c r="I554">
        <v>0.15783642714549029</v>
      </c>
      <c r="J554">
        <v>0</v>
      </c>
      <c r="K554">
        <v>0.42235422354630336</v>
      </c>
      <c r="L554">
        <v>0.21397519396885778</v>
      </c>
      <c r="M554">
        <v>0.78602480603114222</v>
      </c>
      <c r="N554">
        <v>4.4645762714223519E-2</v>
      </c>
      <c r="O554" s="72">
        <v>0.99995431570452642</v>
      </c>
      <c r="P554">
        <v>0.99746363363015855</v>
      </c>
      <c r="Q554">
        <v>0.99643483766075613</v>
      </c>
      <c r="R554">
        <v>0.48559147254660984</v>
      </c>
      <c r="S554">
        <v>0.52487777953805059</v>
      </c>
      <c r="T554">
        <v>0.17150859676206764</v>
      </c>
      <c r="U554">
        <v>0.77191824345113802</v>
      </c>
      <c r="V554">
        <v>0.55652303681547111</v>
      </c>
      <c r="W554">
        <v>0.55126691773982506</v>
      </c>
      <c r="X554">
        <v>0.50715757226865854</v>
      </c>
      <c r="Y554">
        <v>0.40575518008057537</v>
      </c>
      <c r="Z554">
        <v>0.45068849476083983</v>
      </c>
      <c r="AA554">
        <v>0.70804571401104877</v>
      </c>
      <c r="AB554">
        <v>0.75680524063314147</v>
      </c>
      <c r="AC554">
        <v>0.70338977508801093</v>
      </c>
      <c r="AD554">
        <v>0.65960113228602713</v>
      </c>
      <c r="AE554">
        <v>158.42991233284661</v>
      </c>
      <c r="AF554">
        <v>1069.3568052755172</v>
      </c>
      <c r="AG554">
        <v>1140.1688775495697</v>
      </c>
      <c r="AH554">
        <v>15181.1020143565</v>
      </c>
      <c r="AI554">
        <v>12236.085731186602</v>
      </c>
      <c r="AJ554">
        <v>31564.275745102157</v>
      </c>
      <c r="AK554">
        <v>16631.679006593895</v>
      </c>
      <c r="AL554">
        <v>1498.720719279926</v>
      </c>
      <c r="AM554">
        <v>292.81246468161379</v>
      </c>
      <c r="AO554">
        <v>41861.600998143251</v>
      </c>
      <c r="AP554">
        <v>12.48316691957702</v>
      </c>
      <c r="AQ554">
        <v>44964.997221935373</v>
      </c>
      <c r="AR554">
        <v>12.680738445526433</v>
      </c>
      <c r="AS554" s="2">
        <f t="shared" si="57"/>
        <v>3103.3962237921223</v>
      </c>
      <c r="AT554" s="2">
        <f t="shared" si="58"/>
        <v>0.19757152594941374</v>
      </c>
      <c r="AV554">
        <f t="shared" si="59"/>
        <v>1206455.0909595587</v>
      </c>
      <c r="AW554">
        <f t="shared" si="60"/>
        <v>1223108.8473307081</v>
      </c>
      <c r="AY554">
        <f t="shared" si="61"/>
        <v>0</v>
      </c>
      <c r="AZ554">
        <f t="shared" si="62"/>
        <v>1</v>
      </c>
    </row>
    <row r="555" spans="1:52" x14ac:dyDescent="0.2">
      <c r="A555">
        <f t="shared" si="56"/>
        <v>551</v>
      </c>
      <c r="B555">
        <v>2.1475596949355212E-2</v>
      </c>
      <c r="C555">
        <v>3.8638238719599705E-2</v>
      </c>
      <c r="D555">
        <v>5.0458239698395468E-2</v>
      </c>
      <c r="E555">
        <v>2.2034826040391435E-3</v>
      </c>
      <c r="F555">
        <v>3.4456012788334212E-3</v>
      </c>
      <c r="G555">
        <v>2.7541485638780894E-2</v>
      </c>
      <c r="H555">
        <v>5.0597702307265902E-2</v>
      </c>
      <c r="I555">
        <v>0.12201688302632607</v>
      </c>
      <c r="J555">
        <v>0</v>
      </c>
      <c r="K555">
        <v>0.4211092366493227</v>
      </c>
      <c r="L555">
        <v>0.18813801579024339</v>
      </c>
      <c r="M555">
        <v>0.81186198420975664</v>
      </c>
      <c r="N555">
        <v>3.9614341696454149E-2</v>
      </c>
      <c r="O555" s="72">
        <v>0.99997118104458604</v>
      </c>
      <c r="P555">
        <v>0.99875314981735619</v>
      </c>
      <c r="Q555">
        <v>0.97052954193731611</v>
      </c>
      <c r="R555">
        <v>0.46976351007948658</v>
      </c>
      <c r="S555">
        <v>0.4073656521590403</v>
      </c>
      <c r="T555">
        <v>0.23599528996572527</v>
      </c>
      <c r="U555">
        <v>0.78119633798243149</v>
      </c>
      <c r="V555">
        <v>0.72872960848698209</v>
      </c>
      <c r="W555">
        <v>0.48739389492087509</v>
      </c>
      <c r="X555">
        <v>0.45602089137870905</v>
      </c>
      <c r="Y555">
        <v>0.44440748117600148</v>
      </c>
      <c r="Z555">
        <v>0.42801761918178655</v>
      </c>
      <c r="AA555">
        <v>0.64158835476390463</v>
      </c>
      <c r="AB555">
        <v>0.83707388006131289</v>
      </c>
      <c r="AC555">
        <v>0.82354960334657168</v>
      </c>
      <c r="AD555">
        <v>0.58672068105024344</v>
      </c>
      <c r="AE555">
        <v>140.13427305018902</v>
      </c>
      <c r="AF555">
        <v>1121.9203355450859</v>
      </c>
      <c r="AG555">
        <v>1686.7132937921372</v>
      </c>
      <c r="AH555">
        <v>10740.915684308338</v>
      </c>
      <c r="AI555">
        <v>15455.157852755794</v>
      </c>
      <c r="AJ555">
        <v>39032.740179021057</v>
      </c>
      <c r="AK555">
        <v>14732.763841892265</v>
      </c>
      <c r="AL555">
        <v>1718.4961210461031</v>
      </c>
      <c r="AM555">
        <v>345.00087449136208</v>
      </c>
      <c r="AO555">
        <v>43261.588933859843</v>
      </c>
      <c r="AP555">
        <v>13.733430108235822</v>
      </c>
      <c r="AQ555">
        <v>45831.796267412014</v>
      </c>
      <c r="AR555">
        <v>13.912196306037362</v>
      </c>
      <c r="AS555" s="2">
        <f t="shared" si="57"/>
        <v>2570.2073335521709</v>
      </c>
      <c r="AT555" s="2">
        <f t="shared" si="58"/>
        <v>0.17876619780154002</v>
      </c>
      <c r="AV555">
        <f t="shared" si="59"/>
        <v>1330081.4218897223</v>
      </c>
      <c r="AW555">
        <f t="shared" si="60"/>
        <v>1345387.8343363244</v>
      </c>
      <c r="AY555">
        <f t="shared" si="61"/>
        <v>0</v>
      </c>
      <c r="AZ555">
        <f t="shared" si="62"/>
        <v>1</v>
      </c>
    </row>
    <row r="556" spans="1:52" x14ac:dyDescent="0.2">
      <c r="A556">
        <f t="shared" si="56"/>
        <v>552</v>
      </c>
      <c r="B556">
        <v>2.9576996758110319E-2</v>
      </c>
      <c r="C556">
        <v>3.6237313842257861E-2</v>
      </c>
      <c r="D556">
        <v>2.3992252201793858E-2</v>
      </c>
      <c r="E556">
        <v>4.2262424352541173E-3</v>
      </c>
      <c r="F556">
        <v>3.2879119871230666E-3</v>
      </c>
      <c r="G556">
        <v>3.2046726997566499E-2</v>
      </c>
      <c r="H556">
        <v>3.7629078149978623E-2</v>
      </c>
      <c r="I556">
        <v>0.11874664458341322</v>
      </c>
      <c r="J556">
        <v>0</v>
      </c>
      <c r="K556">
        <v>0.40152004982659067</v>
      </c>
      <c r="L556">
        <v>0.23659215718968674</v>
      </c>
      <c r="M556">
        <v>0.76340784281031326</v>
      </c>
      <c r="N556">
        <v>4.3669379410067086E-2</v>
      </c>
      <c r="O556" s="72">
        <v>0.99936885893842187</v>
      </c>
      <c r="P556">
        <v>0.97685430101489124</v>
      </c>
      <c r="Q556">
        <v>0.98121626172708332</v>
      </c>
      <c r="R556">
        <v>0.43513164480824407</v>
      </c>
      <c r="S556">
        <v>0.46261667712328414</v>
      </c>
      <c r="T556">
        <v>0.28468922379452621</v>
      </c>
      <c r="U556">
        <v>0.78876805819499418</v>
      </c>
      <c r="V556">
        <v>0.68158567983570095</v>
      </c>
      <c r="W556">
        <v>0.50243124033063902</v>
      </c>
      <c r="X556">
        <v>0.45752342918704647</v>
      </c>
      <c r="Y556">
        <v>0.41919254143246604</v>
      </c>
      <c r="Z556">
        <v>0.46555812693044563</v>
      </c>
      <c r="AA556">
        <v>0.64340548500424055</v>
      </c>
      <c r="AB556">
        <v>0.88293963457683167</v>
      </c>
      <c r="AC556">
        <v>0.73098354877232219</v>
      </c>
      <c r="AD556">
        <v>0.59705236884266466</v>
      </c>
      <c r="AE556">
        <v>229.93496062060694</v>
      </c>
      <c r="AF556">
        <v>1169.223998371494</v>
      </c>
      <c r="AG556">
        <v>1931.677730859132</v>
      </c>
      <c r="AH556">
        <v>13122.543676133619</v>
      </c>
      <c r="AI556">
        <v>11207.415616936918</v>
      </c>
      <c r="AJ556">
        <v>34929.442295063549</v>
      </c>
      <c r="AK556">
        <v>14417.258254829399</v>
      </c>
      <c r="AL556">
        <v>2102.2420292706902</v>
      </c>
      <c r="AM556">
        <v>306.40306390424183</v>
      </c>
      <c r="AO556">
        <v>43541.382945313089</v>
      </c>
      <c r="AP556">
        <v>14.167923953710886</v>
      </c>
      <c r="AQ556">
        <v>46007.298115238344</v>
      </c>
      <c r="AR556">
        <v>14.392718017328265</v>
      </c>
      <c r="AS556" s="2">
        <f t="shared" si="57"/>
        <v>2465.9151699252543</v>
      </c>
      <c r="AT556" s="2">
        <f t="shared" si="58"/>
        <v>0.22479406361737908</v>
      </c>
      <c r="AV556">
        <f t="shared" si="59"/>
        <v>1373251.0124257754</v>
      </c>
      <c r="AW556">
        <f t="shared" si="60"/>
        <v>1393264.5036175882</v>
      </c>
      <c r="AY556">
        <f t="shared" si="61"/>
        <v>0</v>
      </c>
      <c r="AZ556">
        <f t="shared" si="62"/>
        <v>1</v>
      </c>
    </row>
    <row r="557" spans="1:52" x14ac:dyDescent="0.2">
      <c r="A557">
        <f t="shared" si="56"/>
        <v>553</v>
      </c>
      <c r="B557">
        <v>2.1335412484565715E-2</v>
      </c>
      <c r="C557">
        <v>3.7982593069291637E-2</v>
      </c>
      <c r="D557">
        <v>3.2316632437983543E-2</v>
      </c>
      <c r="E557">
        <v>4.6656898057115918E-3</v>
      </c>
      <c r="F557">
        <v>3.3692385011112602E-3</v>
      </c>
      <c r="G557">
        <v>1.4441951356521043E-2</v>
      </c>
      <c r="H557">
        <v>2.2463606401400375E-2</v>
      </c>
      <c r="I557">
        <v>0.11862038178248165</v>
      </c>
      <c r="J557">
        <v>0</v>
      </c>
      <c r="K557">
        <v>0.42554627879157109</v>
      </c>
      <c r="L557">
        <v>0.17383160633771716</v>
      </c>
      <c r="M557">
        <v>0.82616839366228279</v>
      </c>
      <c r="N557">
        <v>5.1268669742381867E-2</v>
      </c>
      <c r="O557" s="72">
        <v>0.88466146252282596</v>
      </c>
      <c r="P557">
        <v>0.99503494574603391</v>
      </c>
      <c r="Q557">
        <v>0.9820842682567078</v>
      </c>
      <c r="R557">
        <v>0.50754336954619839</v>
      </c>
      <c r="S557">
        <v>0.40577859843714814</v>
      </c>
      <c r="T557">
        <v>0.2814748965840207</v>
      </c>
      <c r="U557">
        <v>0.78914149045141935</v>
      </c>
      <c r="V557">
        <v>0.6849727010060489</v>
      </c>
      <c r="W557">
        <v>0.60284081589678429</v>
      </c>
      <c r="X557">
        <v>0.47396638736349939</v>
      </c>
      <c r="Y557">
        <v>0.46924654699994162</v>
      </c>
      <c r="Z557">
        <v>0.44213842450658453</v>
      </c>
      <c r="AA557">
        <v>0.66700466528892066</v>
      </c>
      <c r="AB557">
        <v>0.74231314138957794</v>
      </c>
      <c r="AC557">
        <v>0.7166986645064356</v>
      </c>
      <c r="AD557">
        <v>0.68578094040322157</v>
      </c>
      <c r="AE557">
        <v>206.45441212996096</v>
      </c>
      <c r="AF557">
        <v>863.42890126003579</v>
      </c>
      <c r="AG557">
        <v>2270.721186221132</v>
      </c>
      <c r="AH557">
        <v>12950.819039393946</v>
      </c>
      <c r="AI557">
        <v>14389.854753925192</v>
      </c>
      <c r="AJ557">
        <v>41349.626812006063</v>
      </c>
      <c r="AK557">
        <v>14850.034176875441</v>
      </c>
      <c r="AL557">
        <v>1355.3143050873316</v>
      </c>
      <c r="AM557">
        <v>373.81907037345735</v>
      </c>
      <c r="AO557">
        <v>41359.657238085427</v>
      </c>
      <c r="AP557">
        <v>12.491036417376925</v>
      </c>
      <c r="AQ557">
        <v>47009.276065751721</v>
      </c>
      <c r="AR557">
        <v>12.540500259164281</v>
      </c>
      <c r="AS557" s="2">
        <f t="shared" si="57"/>
        <v>5649.6188276662942</v>
      </c>
      <c r="AT557" s="2">
        <f t="shared" si="58"/>
        <v>4.9463841787355634E-2</v>
      </c>
      <c r="AV557">
        <f t="shared" si="59"/>
        <v>1207743.984499607</v>
      </c>
      <c r="AW557">
        <f t="shared" si="60"/>
        <v>1207040.7498506764</v>
      </c>
      <c r="AY557">
        <f t="shared" si="61"/>
        <v>1</v>
      </c>
      <c r="AZ557">
        <f t="shared" si="62"/>
        <v>0</v>
      </c>
    </row>
    <row r="558" spans="1:52" x14ac:dyDescent="0.2">
      <c r="A558">
        <f t="shared" si="56"/>
        <v>554</v>
      </c>
      <c r="B558">
        <v>2.2610851959217082E-2</v>
      </c>
      <c r="C558">
        <v>2.9734550894681331E-2</v>
      </c>
      <c r="D558">
        <v>4.3831405637680398E-2</v>
      </c>
      <c r="E558">
        <v>3.0072290656914177E-3</v>
      </c>
      <c r="F558">
        <v>3.3450960937585483E-3</v>
      </c>
      <c r="G558">
        <v>1.0061329466745013E-2</v>
      </c>
      <c r="H558">
        <v>3.3534273355750654E-2</v>
      </c>
      <c r="I558">
        <v>0.13230659062789585</v>
      </c>
      <c r="J558">
        <v>0</v>
      </c>
      <c r="K558">
        <v>0.52159647436996637</v>
      </c>
      <c r="L558">
        <v>0.22156118732239283</v>
      </c>
      <c r="M558">
        <v>0.77843881267760717</v>
      </c>
      <c r="N558">
        <v>3.8123671709014859E-2</v>
      </c>
      <c r="O558" s="72">
        <v>0.99959730705386052</v>
      </c>
      <c r="P558">
        <v>0.91503580280691477</v>
      </c>
      <c r="Q558">
        <v>0.96528937580691876</v>
      </c>
      <c r="R558">
        <v>0.52709671125002044</v>
      </c>
      <c r="S558">
        <v>0.46196768226137175</v>
      </c>
      <c r="T558">
        <v>0.30748236995348732</v>
      </c>
      <c r="U558">
        <v>0.75148679208538582</v>
      </c>
      <c r="V558">
        <v>0.71752377009709933</v>
      </c>
      <c r="W558">
        <v>0.51713742815183061</v>
      </c>
      <c r="X558">
        <v>0.41473621017689494</v>
      </c>
      <c r="Y558">
        <v>0.45435324492572338</v>
      </c>
      <c r="Z558">
        <v>0.47569305235666037</v>
      </c>
      <c r="AA558">
        <v>0.60951228917214129</v>
      </c>
      <c r="AB558">
        <v>0.8466030490053178</v>
      </c>
      <c r="AC558">
        <v>0.72934550054126412</v>
      </c>
      <c r="AD558">
        <v>0.55696590535060153</v>
      </c>
      <c r="AE558">
        <v>243.92573533528113</v>
      </c>
      <c r="AF558">
        <v>1044.7852412595312</v>
      </c>
      <c r="AG558">
        <v>1934.2786783352999</v>
      </c>
      <c r="AH558">
        <v>10318.030115961175</v>
      </c>
      <c r="AI558">
        <v>12049.045117652182</v>
      </c>
      <c r="AJ558">
        <v>38253.554836951233</v>
      </c>
      <c r="AK558">
        <v>12298.25212864979</v>
      </c>
      <c r="AL558">
        <v>2608.2771988398204</v>
      </c>
      <c r="AM558">
        <v>400.02893850418877</v>
      </c>
      <c r="AO558">
        <v>39830.736499038416</v>
      </c>
      <c r="AP558">
        <v>13.676027354829825</v>
      </c>
      <c r="AQ558">
        <v>49601.459078173051</v>
      </c>
      <c r="AR558">
        <v>13.822247538980298</v>
      </c>
      <c r="AS558" s="2">
        <f t="shared" si="57"/>
        <v>9770.7225791346355</v>
      </c>
      <c r="AT558" s="2">
        <f t="shared" si="58"/>
        <v>0.14622018415047222</v>
      </c>
      <c r="AV558">
        <f t="shared" si="59"/>
        <v>1327771.9989839441</v>
      </c>
      <c r="AW558">
        <f t="shared" si="60"/>
        <v>1332623.2948198565</v>
      </c>
      <c r="AY558">
        <f t="shared" si="61"/>
        <v>0</v>
      </c>
      <c r="AZ558">
        <f t="shared" si="62"/>
        <v>1</v>
      </c>
    </row>
    <row r="559" spans="1:52" x14ac:dyDescent="0.2">
      <c r="A559">
        <f t="shared" si="56"/>
        <v>555</v>
      </c>
      <c r="B559">
        <v>2.578907324575952E-2</v>
      </c>
      <c r="C559">
        <v>3.130725664036383E-2</v>
      </c>
      <c r="D559">
        <v>2.7986973224723374E-2</v>
      </c>
      <c r="E559">
        <v>8.4416453135478641E-3</v>
      </c>
      <c r="F559">
        <v>3.2537492950167799E-3</v>
      </c>
      <c r="G559">
        <v>1.7521590118437569E-2</v>
      </c>
      <c r="H559">
        <v>4.5694102481655285E-2</v>
      </c>
      <c r="I559">
        <v>0.13170355094086772</v>
      </c>
      <c r="J559">
        <v>0</v>
      </c>
      <c r="K559">
        <v>0.43372925384660632</v>
      </c>
      <c r="L559">
        <v>0.21719486071794358</v>
      </c>
      <c r="M559">
        <v>0.78280513928205642</v>
      </c>
      <c r="N559">
        <v>5.9099418382829283E-2</v>
      </c>
      <c r="O559" s="72">
        <v>0.99591390958442572</v>
      </c>
      <c r="P559">
        <v>0.99999971976069457</v>
      </c>
      <c r="Q559">
        <v>0.9369598382033385</v>
      </c>
      <c r="R559">
        <v>0.45392529533791104</v>
      </c>
      <c r="S559">
        <v>0.47000121066342615</v>
      </c>
      <c r="T559">
        <v>0.1880733813677874</v>
      </c>
      <c r="U559">
        <v>0.79662299125798364</v>
      </c>
      <c r="V559">
        <v>0.64166910087385798</v>
      </c>
      <c r="W559">
        <v>0.55391498101733794</v>
      </c>
      <c r="X559">
        <v>0.46171418756857474</v>
      </c>
      <c r="Y559">
        <v>0.45442293008645085</v>
      </c>
      <c r="Z559">
        <v>0.47951337781242043</v>
      </c>
      <c r="AA559">
        <v>0.64547883575218701</v>
      </c>
      <c r="AB559">
        <v>0.74943364977531979</v>
      </c>
      <c r="AC559">
        <v>0.69350340704145319</v>
      </c>
      <c r="AD559">
        <v>0.70387920015787409</v>
      </c>
      <c r="AE559">
        <v>226.67211282603932</v>
      </c>
      <c r="AF559">
        <v>985.21707359649076</v>
      </c>
      <c r="AG559">
        <v>1639.6487747263552</v>
      </c>
      <c r="AH559">
        <v>13679.805872762252</v>
      </c>
      <c r="AI559">
        <v>14925.837618490323</v>
      </c>
      <c r="AJ559">
        <v>44083.883846266297</v>
      </c>
      <c r="AK559">
        <v>24172.824133063561</v>
      </c>
      <c r="AL559">
        <v>1980.4378298327397</v>
      </c>
      <c r="AM559">
        <v>334.25809073905793</v>
      </c>
      <c r="AO559">
        <v>44599.797151390128</v>
      </c>
      <c r="AP559">
        <v>12.512846325448736</v>
      </c>
      <c r="AQ559">
        <v>45857.646831291982</v>
      </c>
      <c r="AR559">
        <v>12.621063490043278</v>
      </c>
      <c r="AS559" s="2">
        <f t="shared" si="57"/>
        <v>1257.849679901854</v>
      </c>
      <c r="AT559" s="2">
        <f t="shared" si="58"/>
        <v>0.10821716459454223</v>
      </c>
      <c r="AV559">
        <f t="shared" si="59"/>
        <v>1206684.8353934833</v>
      </c>
      <c r="AW559">
        <f t="shared" si="60"/>
        <v>1216248.7021730358</v>
      </c>
      <c r="AY559">
        <f t="shared" si="61"/>
        <v>0</v>
      </c>
      <c r="AZ559">
        <f t="shared" si="62"/>
        <v>1</v>
      </c>
    </row>
    <row r="560" spans="1:52" x14ac:dyDescent="0.2">
      <c r="A560">
        <f t="shared" si="56"/>
        <v>556</v>
      </c>
      <c r="B560">
        <v>2.1120185711035543E-2</v>
      </c>
      <c r="C560">
        <v>4.1627049072434641E-2</v>
      </c>
      <c r="D560">
        <v>3.2689550495895225E-2</v>
      </c>
      <c r="E560">
        <v>4.5104293428601672E-3</v>
      </c>
      <c r="F560">
        <v>3.3085619246455409E-3</v>
      </c>
      <c r="G560">
        <v>3.0917884951388447E-3</v>
      </c>
      <c r="H560">
        <v>2.1427339332444961E-2</v>
      </c>
      <c r="I560">
        <v>0.11636246921162298</v>
      </c>
      <c r="J560">
        <v>0</v>
      </c>
      <c r="K560">
        <v>0.43087969001947934</v>
      </c>
      <c r="L560">
        <v>0.17183602893793293</v>
      </c>
      <c r="M560">
        <v>0.82816397106206707</v>
      </c>
      <c r="N560">
        <v>3.1975490375051131E-2</v>
      </c>
      <c r="O560" s="72">
        <v>0.98978104048942417</v>
      </c>
      <c r="P560">
        <v>0.99986664390946356</v>
      </c>
      <c r="Q560">
        <v>0.85255128029363503</v>
      </c>
      <c r="R560">
        <v>0.51977201752277125</v>
      </c>
      <c r="S560">
        <v>0.33744516108947953</v>
      </c>
      <c r="T560">
        <v>0.23767366444618665</v>
      </c>
      <c r="U560">
        <v>0.76419636726673346</v>
      </c>
      <c r="V560">
        <v>0.69716886569742209</v>
      </c>
      <c r="W560">
        <v>0.58080519468060854</v>
      </c>
      <c r="X560">
        <v>0.44124042360922827</v>
      </c>
      <c r="Y560">
        <v>0.38901216618452117</v>
      </c>
      <c r="Z560">
        <v>0.43295439406006431</v>
      </c>
      <c r="AA560">
        <v>0.73481245791085814</v>
      </c>
      <c r="AB560">
        <v>0.82006775082715966</v>
      </c>
      <c r="AC560">
        <v>0.81536808086138046</v>
      </c>
      <c r="AD560">
        <v>0.61684418615558645</v>
      </c>
      <c r="AE560">
        <v>190.53760805139598</v>
      </c>
      <c r="AF560">
        <v>1178.1239143693847</v>
      </c>
      <c r="AG560">
        <v>1230.5018862692198</v>
      </c>
      <c r="AH560">
        <v>12916.211674345152</v>
      </c>
      <c r="AI560">
        <v>15175.115472081794</v>
      </c>
      <c r="AJ560">
        <v>33504.488702505179</v>
      </c>
      <c r="AK560">
        <v>12458.970305734279</v>
      </c>
      <c r="AL560">
        <v>2522.7500642166619</v>
      </c>
      <c r="AM560">
        <v>402.16334348309334</v>
      </c>
      <c r="AO560">
        <v>42675.012760942096</v>
      </c>
      <c r="AP560">
        <v>13.549867313618901</v>
      </c>
      <c r="AQ560">
        <v>47268.60827708312</v>
      </c>
      <c r="AR560">
        <v>13.700485727142848</v>
      </c>
      <c r="AS560" s="2">
        <f t="shared" si="57"/>
        <v>4593.5955161410238</v>
      </c>
      <c r="AT560" s="2">
        <f t="shared" si="58"/>
        <v>0.15061841352394723</v>
      </c>
      <c r="AV560">
        <f t="shared" si="59"/>
        <v>1312311.7186009479</v>
      </c>
      <c r="AW560">
        <f t="shared" si="60"/>
        <v>1322779.9644372016</v>
      </c>
      <c r="AY560">
        <f t="shared" si="61"/>
        <v>0</v>
      </c>
      <c r="AZ560">
        <f t="shared" si="62"/>
        <v>1</v>
      </c>
    </row>
    <row r="561" spans="1:52" x14ac:dyDescent="0.2">
      <c r="A561">
        <f t="shared" si="56"/>
        <v>557</v>
      </c>
      <c r="B561">
        <v>2.015658989844708E-2</v>
      </c>
      <c r="C561">
        <v>2.9212220580143975E-2</v>
      </c>
      <c r="D561">
        <v>2.5470672360639244E-2</v>
      </c>
      <c r="E561">
        <v>1.2687351745292563E-2</v>
      </c>
      <c r="F561">
        <v>3.1835935665537503E-3</v>
      </c>
      <c r="G561">
        <v>9.7298014269776318E-3</v>
      </c>
      <c r="H561">
        <v>2.477271874514108E-2</v>
      </c>
      <c r="I561">
        <v>0.14219822863978915</v>
      </c>
      <c r="J561">
        <v>0</v>
      </c>
      <c r="K561">
        <v>0.42351374898084565</v>
      </c>
      <c r="L561">
        <v>0.20871070306061534</v>
      </c>
      <c r="M561">
        <v>0.79128929693938466</v>
      </c>
      <c r="N561">
        <v>6.9872442267560397E-2</v>
      </c>
      <c r="O561" s="72">
        <v>0.98952091665072317</v>
      </c>
      <c r="P561">
        <v>0.99947335916356683</v>
      </c>
      <c r="Q561">
        <v>0.88504453015720774</v>
      </c>
      <c r="R561">
        <v>0.52015282302419474</v>
      </c>
      <c r="S561">
        <v>0.35655761160692412</v>
      </c>
      <c r="T561">
        <v>0.25453099538110269</v>
      </c>
      <c r="U561">
        <v>0.76870391789604775</v>
      </c>
      <c r="V561">
        <v>0.6806224572770917</v>
      </c>
      <c r="W561">
        <v>0.50426882870219125</v>
      </c>
      <c r="X561">
        <v>0.46291641856604948</v>
      </c>
      <c r="Y561">
        <v>0.46784117587992535</v>
      </c>
      <c r="Z561">
        <v>0.49259318791307416</v>
      </c>
      <c r="AA561">
        <v>0.71162528480843246</v>
      </c>
      <c r="AB561">
        <v>0.8415001687311231</v>
      </c>
      <c r="AC561">
        <v>0.65654943095969498</v>
      </c>
      <c r="AD561">
        <v>0.6674922072852113</v>
      </c>
      <c r="AE561">
        <v>170.02537250111465</v>
      </c>
      <c r="AF561">
        <v>1185.7066205026661</v>
      </c>
      <c r="AG561">
        <v>1744.3176861771913</v>
      </c>
      <c r="AH561">
        <v>10578.154987468537</v>
      </c>
      <c r="AI561">
        <v>11641.334575344388</v>
      </c>
      <c r="AJ561">
        <v>42690.737818444279</v>
      </c>
      <c r="AK561">
        <v>19919.115988083115</v>
      </c>
      <c r="AL561">
        <v>2487.2663401745326</v>
      </c>
      <c r="AM561">
        <v>368.20806141517755</v>
      </c>
      <c r="AO561">
        <v>41353.468789067694</v>
      </c>
      <c r="AP561">
        <v>13.598313914201071</v>
      </c>
      <c r="AQ561">
        <v>46540.30082148809</v>
      </c>
      <c r="AR561">
        <v>13.778419329567447</v>
      </c>
      <c r="AS561" s="2">
        <f t="shared" si="57"/>
        <v>5186.832032420396</v>
      </c>
      <c r="AT561" s="2">
        <f t="shared" si="58"/>
        <v>0.18010541536637525</v>
      </c>
      <c r="AV561">
        <f t="shared" si="59"/>
        <v>1318477.9226310395</v>
      </c>
      <c r="AW561">
        <f t="shared" si="60"/>
        <v>1331301.6321352567</v>
      </c>
      <c r="AY561">
        <f t="shared" si="61"/>
        <v>0</v>
      </c>
      <c r="AZ561">
        <f t="shared" si="62"/>
        <v>1</v>
      </c>
    </row>
    <row r="562" spans="1:52" x14ac:dyDescent="0.2">
      <c r="A562">
        <f t="shared" si="56"/>
        <v>558</v>
      </c>
      <c r="B562">
        <v>2.2595030687945966E-2</v>
      </c>
      <c r="C562">
        <v>3.6180362317393605E-2</v>
      </c>
      <c r="D562">
        <v>2.5695992132720811E-2</v>
      </c>
      <c r="E562">
        <v>1.7095936001469837E-3</v>
      </c>
      <c r="F562">
        <v>3.4550411284741678E-3</v>
      </c>
      <c r="G562">
        <v>2.6422272910123112E-2</v>
      </c>
      <c r="H562">
        <v>2.3077529205504023E-2</v>
      </c>
      <c r="I562">
        <v>0.12284761714246976</v>
      </c>
      <c r="J562">
        <v>0</v>
      </c>
      <c r="K562">
        <v>0.44797481246680382</v>
      </c>
      <c r="L562">
        <v>0.19945966341541915</v>
      </c>
      <c r="M562">
        <v>0.8005403365845809</v>
      </c>
      <c r="N562">
        <v>6.0048361093617775E-2</v>
      </c>
      <c r="O562" s="72">
        <v>0.99983328299130414</v>
      </c>
      <c r="P562">
        <v>0.98540401866058847</v>
      </c>
      <c r="Q562">
        <v>0.98051201320000569</v>
      </c>
      <c r="R562">
        <v>0.47742177204034508</v>
      </c>
      <c r="S562">
        <v>0.38476405098398581</v>
      </c>
      <c r="T562">
        <v>0.20144020530200646</v>
      </c>
      <c r="U562">
        <v>0.74371066637936678</v>
      </c>
      <c r="V562">
        <v>0.69726335292045882</v>
      </c>
      <c r="W562">
        <v>0.59310381042300397</v>
      </c>
      <c r="X562">
        <v>0.47911343492574376</v>
      </c>
      <c r="Y562">
        <v>0.45731123327644574</v>
      </c>
      <c r="Z562">
        <v>0.42878300117637946</v>
      </c>
      <c r="AA562">
        <v>0.64480442271149374</v>
      </c>
      <c r="AB562">
        <v>0.80198462250007441</v>
      </c>
      <c r="AC562">
        <v>0.64873143791053189</v>
      </c>
      <c r="AD562">
        <v>0.5360537920900349</v>
      </c>
      <c r="AE562">
        <v>181.78340206123966</v>
      </c>
      <c r="AF562">
        <v>1039.5100183998015</v>
      </c>
      <c r="AG562">
        <v>2088.4001680885813</v>
      </c>
      <c r="AH562">
        <v>11053.68856275681</v>
      </c>
      <c r="AI562">
        <v>9213.3891593613753</v>
      </c>
      <c r="AJ562">
        <v>41449.20008781863</v>
      </c>
      <c r="AK562">
        <v>8685.590717186984</v>
      </c>
      <c r="AL562">
        <v>2441.0141041303355</v>
      </c>
      <c r="AM562">
        <v>257.83299635701729</v>
      </c>
      <c r="AO562">
        <v>42837.023997803379</v>
      </c>
      <c r="AP562">
        <v>12.919846853094144</v>
      </c>
      <c r="AQ562">
        <v>44901.829106254321</v>
      </c>
      <c r="AR562">
        <v>13.038866493198084</v>
      </c>
      <c r="AS562" s="2">
        <f t="shared" si="57"/>
        <v>2064.8051084509425</v>
      </c>
      <c r="AT562" s="2">
        <f t="shared" si="58"/>
        <v>0.11901964010393939</v>
      </c>
      <c r="AV562">
        <f t="shared" si="59"/>
        <v>1249147.6613116111</v>
      </c>
      <c r="AW562">
        <f t="shared" si="60"/>
        <v>1258984.8202135542</v>
      </c>
      <c r="AY562">
        <f t="shared" si="61"/>
        <v>0</v>
      </c>
      <c r="AZ562">
        <f t="shared" si="62"/>
        <v>1</v>
      </c>
    </row>
    <row r="563" spans="1:52" x14ac:dyDescent="0.2">
      <c r="A563">
        <f t="shared" si="56"/>
        <v>559</v>
      </c>
      <c r="B563">
        <v>2.6394616654394576E-2</v>
      </c>
      <c r="C563">
        <v>3.2012160570597387E-2</v>
      </c>
      <c r="D563">
        <v>5.6790926795450836E-2</v>
      </c>
      <c r="E563">
        <v>8.2066388115718224E-3</v>
      </c>
      <c r="F563">
        <v>3.3919534140482988E-3</v>
      </c>
      <c r="G563">
        <v>1.2863127915897388E-2</v>
      </c>
      <c r="H563">
        <v>4.902718666624184E-2</v>
      </c>
      <c r="I563">
        <v>0.12805163941363504</v>
      </c>
      <c r="J563">
        <v>0</v>
      </c>
      <c r="K563">
        <v>0.38980422835206091</v>
      </c>
      <c r="L563">
        <v>0.2027123244999432</v>
      </c>
      <c r="M563">
        <v>0.79728767550005686</v>
      </c>
      <c r="N563">
        <v>5.611889297233396E-2</v>
      </c>
      <c r="O563" s="72">
        <v>0.99986865559549309</v>
      </c>
      <c r="P563">
        <v>0.99920342863225553</v>
      </c>
      <c r="Q563">
        <v>0.99717637987904517</v>
      </c>
      <c r="R563">
        <v>0.52280427242495697</v>
      </c>
      <c r="S563">
        <v>0.35110309731329459</v>
      </c>
      <c r="T563">
        <v>0.20297580023912698</v>
      </c>
      <c r="U563">
        <v>0.77231872590386663</v>
      </c>
      <c r="V563">
        <v>0.57970421873689548</v>
      </c>
      <c r="W563">
        <v>0.5494804862894187</v>
      </c>
      <c r="X563">
        <v>0.41679658338492537</v>
      </c>
      <c r="Y563">
        <v>0.44970729053872882</v>
      </c>
      <c r="Z563">
        <v>0.42269855979970222</v>
      </c>
      <c r="AA563">
        <v>0.65994775447800402</v>
      </c>
      <c r="AB563">
        <v>0.89261130166059743</v>
      </c>
      <c r="AC563">
        <v>0.73605936124267424</v>
      </c>
      <c r="AD563">
        <v>0.55261234860126074</v>
      </c>
      <c r="AE563">
        <v>246.99610983445891</v>
      </c>
      <c r="AF563">
        <v>893.59371071213843</v>
      </c>
      <c r="AG563">
        <v>1238.0909586468235</v>
      </c>
      <c r="AH563">
        <v>17588.5738823262</v>
      </c>
      <c r="AI563">
        <v>14196.646522777035</v>
      </c>
      <c r="AJ563">
        <v>43364.591297264713</v>
      </c>
      <c r="AK563">
        <v>7525.4993609777666</v>
      </c>
      <c r="AL563">
        <v>2582.812420166299</v>
      </c>
      <c r="AM563">
        <v>411.57136500816421</v>
      </c>
      <c r="AO563">
        <v>43515.944710209027</v>
      </c>
      <c r="AP563">
        <v>14.203672283509901</v>
      </c>
      <c r="AQ563">
        <v>46920.602218644191</v>
      </c>
      <c r="AR563">
        <v>14.477722752757229</v>
      </c>
      <c r="AS563" s="2">
        <f t="shared" si="57"/>
        <v>3404.6575084351643</v>
      </c>
      <c r="AT563" s="2">
        <f t="shared" si="58"/>
        <v>0.27405046924732801</v>
      </c>
      <c r="AV563">
        <f t="shared" si="59"/>
        <v>1376851.283640781</v>
      </c>
      <c r="AW563">
        <f t="shared" si="60"/>
        <v>1400851.6730570786</v>
      </c>
      <c r="AY563">
        <f t="shared" si="61"/>
        <v>0</v>
      </c>
      <c r="AZ563">
        <f t="shared" si="62"/>
        <v>1</v>
      </c>
    </row>
    <row r="564" spans="1:52" x14ac:dyDescent="0.2">
      <c r="A564">
        <f t="shared" si="56"/>
        <v>560</v>
      </c>
      <c r="B564">
        <v>2.2916574513083116E-2</v>
      </c>
      <c r="C564">
        <v>3.3456567707742087E-2</v>
      </c>
      <c r="D564">
        <v>3.3942446599018648E-2</v>
      </c>
      <c r="E564">
        <v>9.5397341945034197E-3</v>
      </c>
      <c r="F564">
        <v>3.2635241665210438E-3</v>
      </c>
      <c r="G564">
        <v>1.1717147033696196E-2</v>
      </c>
      <c r="H564">
        <v>2.5291822113209492E-2</v>
      </c>
      <c r="I564">
        <v>0.14006817386458581</v>
      </c>
      <c r="J564">
        <v>0</v>
      </c>
      <c r="K564">
        <v>0.39988292723092483</v>
      </c>
      <c r="L564">
        <v>0.29165867369346599</v>
      </c>
      <c r="M564">
        <v>0.70834132630653401</v>
      </c>
      <c r="N564">
        <v>6.2670368480663208E-2</v>
      </c>
      <c r="O564" s="72">
        <v>0.97742082399399888</v>
      </c>
      <c r="P564">
        <v>0.99570780659967417</v>
      </c>
      <c r="Q564">
        <v>0.99206229075395436</v>
      </c>
      <c r="R564">
        <v>0.47054208295738442</v>
      </c>
      <c r="S564">
        <v>0.35751427074607656</v>
      </c>
      <c r="T564">
        <v>0.18084501304484613</v>
      </c>
      <c r="U564">
        <v>0.74877201833044815</v>
      </c>
      <c r="V564">
        <v>0.61636768557112553</v>
      </c>
      <c r="W564">
        <v>0.62464964821830604</v>
      </c>
      <c r="X564">
        <v>0.48005596747196433</v>
      </c>
      <c r="Y564">
        <v>0.43418100748691102</v>
      </c>
      <c r="Z564">
        <v>0.44589057365907775</v>
      </c>
      <c r="AA564">
        <v>0.69458129365038945</v>
      </c>
      <c r="AB564">
        <v>0.88445757814185089</v>
      </c>
      <c r="AC564">
        <v>0.70837455930905457</v>
      </c>
      <c r="AD564">
        <v>0.67439965226151655</v>
      </c>
      <c r="AE564">
        <v>225.66267664218111</v>
      </c>
      <c r="AF564">
        <v>1044.9091882858756</v>
      </c>
      <c r="AG564">
        <v>1299.1409506540583</v>
      </c>
      <c r="AH564">
        <v>13850.299682948436</v>
      </c>
      <c r="AI564">
        <v>12361.480177790383</v>
      </c>
      <c r="AJ564">
        <v>40690.912389356854</v>
      </c>
      <c r="AK564">
        <v>9452.3937837569392</v>
      </c>
      <c r="AL564">
        <v>2944.1221594070234</v>
      </c>
      <c r="AM564">
        <v>331.34269544481145</v>
      </c>
      <c r="AO564">
        <v>44962.022401174923</v>
      </c>
      <c r="AP564">
        <v>14.179699860106469</v>
      </c>
      <c r="AQ564">
        <v>45788.449316713733</v>
      </c>
      <c r="AR564">
        <v>14.480800482128895</v>
      </c>
      <c r="AS564" s="2">
        <f t="shared" si="57"/>
        <v>826.42691553881014</v>
      </c>
      <c r="AT564" s="2">
        <f t="shared" si="58"/>
        <v>0.30110062202242638</v>
      </c>
      <c r="AV564">
        <f t="shared" si="59"/>
        <v>1373007.9636094719</v>
      </c>
      <c r="AW564">
        <f t="shared" si="60"/>
        <v>1402291.5988961759</v>
      </c>
      <c r="AY564">
        <f t="shared" si="61"/>
        <v>0</v>
      </c>
      <c r="AZ564">
        <f t="shared" si="62"/>
        <v>1</v>
      </c>
    </row>
    <row r="565" spans="1:52" x14ac:dyDescent="0.2">
      <c r="A565">
        <f t="shared" si="56"/>
        <v>561</v>
      </c>
      <c r="B565">
        <v>2.3997756622568832E-2</v>
      </c>
      <c r="C565">
        <v>2.8402473413331703E-2</v>
      </c>
      <c r="D565">
        <v>3.5851995810946558E-2</v>
      </c>
      <c r="E565">
        <v>3.0799449050734173E-2</v>
      </c>
      <c r="F565">
        <v>3.5205044542819808E-3</v>
      </c>
      <c r="G565">
        <v>1.0551766443100847E-2</v>
      </c>
      <c r="H565">
        <v>2.0257567177321804E-2</v>
      </c>
      <c r="I565">
        <v>0.12705274028126917</v>
      </c>
      <c r="J565">
        <v>0</v>
      </c>
      <c r="K565">
        <v>0.40428096386474532</v>
      </c>
      <c r="L565">
        <v>0.187339194723744</v>
      </c>
      <c r="M565">
        <v>0.81266080527625606</v>
      </c>
      <c r="N565">
        <v>5.3547724561426001E-2</v>
      </c>
      <c r="O565" s="72">
        <v>0.99690375932784014</v>
      </c>
      <c r="P565">
        <v>0.92611895299520286</v>
      </c>
      <c r="Q565">
        <v>0.94710345883613345</v>
      </c>
      <c r="R565">
        <v>0.43328922218762955</v>
      </c>
      <c r="S565">
        <v>0.52203791359031781</v>
      </c>
      <c r="T565">
        <v>0.27502170029131734</v>
      </c>
      <c r="U565">
        <v>0.767377665023247</v>
      </c>
      <c r="V565">
        <v>0.60575104353640175</v>
      </c>
      <c r="W565">
        <v>0.71313226586965639</v>
      </c>
      <c r="X565">
        <v>0.44837425317556673</v>
      </c>
      <c r="Y565">
        <v>0.46380146653996646</v>
      </c>
      <c r="Z565">
        <v>0.493655719657907</v>
      </c>
      <c r="AA565">
        <v>0.74587597403398298</v>
      </c>
      <c r="AB565">
        <v>0.82327753653582603</v>
      </c>
      <c r="AC565">
        <v>0.73329921140576571</v>
      </c>
      <c r="AD565">
        <v>0.69291389464030206</v>
      </c>
      <c r="AE565">
        <v>202.53331751532033</v>
      </c>
      <c r="AF565">
        <v>1285.5593830365613</v>
      </c>
      <c r="AG565">
        <v>1456.496654876265</v>
      </c>
      <c r="AH565">
        <v>14238.53470893347</v>
      </c>
      <c r="AI565">
        <v>10581.106432614248</v>
      </c>
      <c r="AJ565">
        <v>35913.206301608116</v>
      </c>
      <c r="AK565">
        <v>12656.181800523256</v>
      </c>
      <c r="AL565">
        <v>2927.1772462341041</v>
      </c>
      <c r="AM565">
        <v>394.75247198525551</v>
      </c>
      <c r="AO565">
        <v>44369.403237928243</v>
      </c>
      <c r="AP565">
        <v>13.497111675720236</v>
      </c>
      <c r="AQ565">
        <v>49246.903569942559</v>
      </c>
      <c r="AR565">
        <v>13.693836694261947</v>
      </c>
      <c r="AS565" s="2">
        <f t="shared" si="57"/>
        <v>4877.5003320143151</v>
      </c>
      <c r="AT565" s="2">
        <f t="shared" si="58"/>
        <v>0.19672501854171109</v>
      </c>
      <c r="AV565">
        <f t="shared" si="59"/>
        <v>1305341.7643340954</v>
      </c>
      <c r="AW565">
        <f t="shared" si="60"/>
        <v>1320136.7658562521</v>
      </c>
      <c r="AY565">
        <f t="shared" si="61"/>
        <v>0</v>
      </c>
      <c r="AZ565">
        <f t="shared" si="62"/>
        <v>1</v>
      </c>
    </row>
    <row r="566" spans="1:52" x14ac:dyDescent="0.2">
      <c r="A566">
        <f t="shared" si="56"/>
        <v>562</v>
      </c>
      <c r="B566">
        <v>2.3860752625283928E-2</v>
      </c>
      <c r="C566">
        <v>3.5367564904390733E-2</v>
      </c>
      <c r="D566">
        <v>3.6590729464409937E-2</v>
      </c>
      <c r="E566">
        <v>1.8282193072379216E-2</v>
      </c>
      <c r="F566">
        <v>3.3547869987196055E-3</v>
      </c>
      <c r="G566">
        <v>1.3880777684603607E-2</v>
      </c>
      <c r="H566">
        <v>4.1129115364756053E-2</v>
      </c>
      <c r="I566">
        <v>0.13461015033075574</v>
      </c>
      <c r="J566">
        <v>0</v>
      </c>
      <c r="K566">
        <v>0.4401789183391891</v>
      </c>
      <c r="L566">
        <v>0.25500197269056069</v>
      </c>
      <c r="M566">
        <v>0.74499802730943931</v>
      </c>
      <c r="N566">
        <v>4.4938435473348699E-2</v>
      </c>
      <c r="O566" s="72">
        <v>0.99981102626937535</v>
      </c>
      <c r="P566">
        <v>0.99896578793095625</v>
      </c>
      <c r="Q566">
        <v>0.97586809365425631</v>
      </c>
      <c r="R566">
        <v>0.51725455990174463</v>
      </c>
      <c r="S566">
        <v>0.344322652075846</v>
      </c>
      <c r="T566">
        <v>0.32167852752700188</v>
      </c>
      <c r="U566">
        <v>0.76031462827726715</v>
      </c>
      <c r="V566">
        <v>0.71754427349262651</v>
      </c>
      <c r="W566">
        <v>0.5054908078588306</v>
      </c>
      <c r="X566">
        <v>0.41189333827310731</v>
      </c>
      <c r="Y566">
        <v>0.46118170173765183</v>
      </c>
      <c r="Z566">
        <v>0.46230457467680175</v>
      </c>
      <c r="AA566">
        <v>0.59103702456702867</v>
      </c>
      <c r="AB566">
        <v>0.89169418340524986</v>
      </c>
      <c r="AC566">
        <v>0.72447594865588938</v>
      </c>
      <c r="AD566">
        <v>0.61358815591587679</v>
      </c>
      <c r="AE566">
        <v>240.48449269633247</v>
      </c>
      <c r="AF566">
        <v>961.5986288450398</v>
      </c>
      <c r="AG566">
        <v>2271.167292252228</v>
      </c>
      <c r="AH566">
        <v>12116.993512599302</v>
      </c>
      <c r="AI566">
        <v>13350.680427261743</v>
      </c>
      <c r="AJ566">
        <v>32754.620444915348</v>
      </c>
      <c r="AK566">
        <v>16615.644059909064</v>
      </c>
      <c r="AL566">
        <v>2943.573642353439</v>
      </c>
      <c r="AM566">
        <v>357.89407781580212</v>
      </c>
      <c r="AO566">
        <v>40830.53991688128</v>
      </c>
      <c r="AP566">
        <v>14.293974805601705</v>
      </c>
      <c r="AQ566">
        <v>46132.131529293212</v>
      </c>
      <c r="AR566">
        <v>14.525735462082197</v>
      </c>
      <c r="AS566" s="2">
        <f t="shared" si="57"/>
        <v>5301.5916124119321</v>
      </c>
      <c r="AT566" s="2">
        <f t="shared" si="58"/>
        <v>0.2317606564804926</v>
      </c>
      <c r="AV566">
        <f t="shared" si="59"/>
        <v>1388566.9406432891</v>
      </c>
      <c r="AW566">
        <f t="shared" si="60"/>
        <v>1406441.4146789266</v>
      </c>
      <c r="AY566">
        <f t="shared" si="61"/>
        <v>0</v>
      </c>
      <c r="AZ566">
        <f t="shared" si="62"/>
        <v>1</v>
      </c>
    </row>
    <row r="567" spans="1:52" x14ac:dyDescent="0.2">
      <c r="A567">
        <f t="shared" si="56"/>
        <v>563</v>
      </c>
      <c r="B567">
        <v>3.0161862046588883E-2</v>
      </c>
      <c r="C567">
        <v>4.1748219676242426E-2</v>
      </c>
      <c r="D567">
        <v>3.548580970585153E-2</v>
      </c>
      <c r="E567">
        <v>3.3979909260129948E-2</v>
      </c>
      <c r="F567">
        <v>3.3353550957118602E-3</v>
      </c>
      <c r="G567">
        <v>1.0096272735301894E-2</v>
      </c>
      <c r="H567">
        <v>2.0271542560022206E-2</v>
      </c>
      <c r="I567">
        <v>0.12319069863973901</v>
      </c>
      <c r="J567">
        <v>0</v>
      </c>
      <c r="K567">
        <v>0.36419470670641896</v>
      </c>
      <c r="L567">
        <v>0.24205224963005967</v>
      </c>
      <c r="M567">
        <v>0.75794775036994033</v>
      </c>
      <c r="N567">
        <v>6.6307679970251221E-2</v>
      </c>
      <c r="O567" s="72">
        <v>0.99999999041886767</v>
      </c>
      <c r="P567">
        <v>0.99998053804640641</v>
      </c>
      <c r="Q567">
        <v>0.96529043962271088</v>
      </c>
      <c r="R567">
        <v>0.51153079477720897</v>
      </c>
      <c r="S567">
        <v>0.41850062709731861</v>
      </c>
      <c r="T567">
        <v>0.22849678891471537</v>
      </c>
      <c r="U567">
        <v>0.7669470524597074</v>
      </c>
      <c r="V567">
        <v>0.72675208175214823</v>
      </c>
      <c r="W567">
        <v>0.53392111208221671</v>
      </c>
      <c r="X567">
        <v>0.52706537403121734</v>
      </c>
      <c r="Y567">
        <v>0.4516540579995082</v>
      </c>
      <c r="Z567">
        <v>0.50465315482080275</v>
      </c>
      <c r="AA567">
        <v>0.65743627740522148</v>
      </c>
      <c r="AB567">
        <v>0.86106541686765425</v>
      </c>
      <c r="AC567">
        <v>0.71541778810428924</v>
      </c>
      <c r="AD567">
        <v>0.71910778098193395</v>
      </c>
      <c r="AE567">
        <v>172.36831909781532</v>
      </c>
      <c r="AF567">
        <v>1007.6281409231777</v>
      </c>
      <c r="AG567">
        <v>1548.4118774354804</v>
      </c>
      <c r="AH567">
        <v>13109.300397121269</v>
      </c>
      <c r="AI567">
        <v>14601.741924413414</v>
      </c>
      <c r="AJ567">
        <v>39020.448095834778</v>
      </c>
      <c r="AK567">
        <v>14569.28462563728</v>
      </c>
      <c r="AL567">
        <v>2476.5213180301853</v>
      </c>
      <c r="AM567">
        <v>231.41794631979903</v>
      </c>
      <c r="AO567">
        <v>39549.536987241467</v>
      </c>
      <c r="AP567">
        <v>13.940713240042616</v>
      </c>
      <c r="AQ567">
        <v>44079.269112215057</v>
      </c>
      <c r="AR567">
        <v>14.230446404956984</v>
      </c>
      <c r="AS567" s="2">
        <f t="shared" si="57"/>
        <v>4529.7321249735905</v>
      </c>
      <c r="AT567" s="2">
        <f t="shared" si="58"/>
        <v>0.2897331649143684</v>
      </c>
      <c r="AV567">
        <f t="shared" si="59"/>
        <v>1354521.7870170202</v>
      </c>
      <c r="AW567">
        <f t="shared" si="60"/>
        <v>1378965.3713834833</v>
      </c>
      <c r="AY567">
        <f t="shared" si="61"/>
        <v>0</v>
      </c>
      <c r="AZ567">
        <f t="shared" si="62"/>
        <v>1</v>
      </c>
    </row>
    <row r="568" spans="1:52" x14ac:dyDescent="0.2">
      <c r="A568">
        <f t="shared" si="56"/>
        <v>564</v>
      </c>
      <c r="B568">
        <v>2.8715294838432603E-2</v>
      </c>
      <c r="C568">
        <v>3.9308083729921672E-2</v>
      </c>
      <c r="D568">
        <v>4.2315575842758912E-2</v>
      </c>
      <c r="E568">
        <v>8.2175666807719708E-3</v>
      </c>
      <c r="F568">
        <v>3.2469481805399913E-3</v>
      </c>
      <c r="G568">
        <v>2.3691751173867237E-2</v>
      </c>
      <c r="H568">
        <v>2.0344723444351343E-2</v>
      </c>
      <c r="I568">
        <v>0.12392294583151971</v>
      </c>
      <c r="J568">
        <v>0</v>
      </c>
      <c r="K568">
        <v>0.37467498446530267</v>
      </c>
      <c r="L568">
        <v>0.19748507059694431</v>
      </c>
      <c r="M568">
        <v>0.80251492940305569</v>
      </c>
      <c r="N568">
        <v>5.8711720945034629E-2</v>
      </c>
      <c r="O568" s="72">
        <v>0.99975129737296176</v>
      </c>
      <c r="P568">
        <v>0.99999952564569672</v>
      </c>
      <c r="Q568">
        <v>0.98679407128352892</v>
      </c>
      <c r="R568">
        <v>0.49663786605731652</v>
      </c>
      <c r="S568">
        <v>0.39059093260601685</v>
      </c>
      <c r="T568">
        <v>0.28694876290963667</v>
      </c>
      <c r="U568">
        <v>0.7657198222854219</v>
      </c>
      <c r="V568">
        <v>0.64063169967021505</v>
      </c>
      <c r="W568">
        <v>0.58247510402542824</v>
      </c>
      <c r="X568">
        <v>0.49521393973352001</v>
      </c>
      <c r="Y568">
        <v>0.46926102492394017</v>
      </c>
      <c r="Z568">
        <v>0.48182531003035445</v>
      </c>
      <c r="AA568">
        <v>0.64132443152186913</v>
      </c>
      <c r="AB568">
        <v>0.86276379055229446</v>
      </c>
      <c r="AC568">
        <v>0.80561378155655383</v>
      </c>
      <c r="AD568">
        <v>0.53583238550910839</v>
      </c>
      <c r="AE568">
        <v>158.75769748189344</v>
      </c>
      <c r="AF568">
        <v>952.56171653600563</v>
      </c>
      <c r="AG568">
        <v>1575.2604566975244</v>
      </c>
      <c r="AH568">
        <v>14221.704363839655</v>
      </c>
      <c r="AI568">
        <v>12292.906296250878</v>
      </c>
      <c r="AJ568">
        <v>35332.569411888209</v>
      </c>
      <c r="AK568">
        <v>17467.958691653021</v>
      </c>
      <c r="AL568">
        <v>2289.9258293608809</v>
      </c>
      <c r="AM568">
        <v>325.35401795434325</v>
      </c>
      <c r="AO568">
        <v>41104.242482001522</v>
      </c>
      <c r="AP568">
        <v>13.971088384571152</v>
      </c>
      <c r="AQ568">
        <v>45464.145424554597</v>
      </c>
      <c r="AR568">
        <v>14.167832518412393</v>
      </c>
      <c r="AS568" s="2">
        <f t="shared" si="57"/>
        <v>4359.9029425530753</v>
      </c>
      <c r="AT568" s="2">
        <f t="shared" si="58"/>
        <v>0.19674413384124101</v>
      </c>
      <c r="AV568">
        <f t="shared" si="59"/>
        <v>1356004.5959751138</v>
      </c>
      <c r="AW568">
        <f t="shared" si="60"/>
        <v>1371319.1064166846</v>
      </c>
      <c r="AY568">
        <f t="shared" si="61"/>
        <v>0</v>
      </c>
      <c r="AZ568">
        <f t="shared" si="62"/>
        <v>1</v>
      </c>
    </row>
    <row r="569" spans="1:52" x14ac:dyDescent="0.2">
      <c r="A569">
        <f t="shared" si="56"/>
        <v>565</v>
      </c>
      <c r="B569">
        <v>1.9869061824254686E-2</v>
      </c>
      <c r="C569">
        <v>4.7273545615543089E-2</v>
      </c>
      <c r="D569">
        <v>4.4406823941072315E-2</v>
      </c>
      <c r="E569">
        <v>2.104402141722761E-2</v>
      </c>
      <c r="F569">
        <v>3.2489403741454994E-3</v>
      </c>
      <c r="G569">
        <v>1.0351972457877013E-2</v>
      </c>
      <c r="H569">
        <v>4.105389914573454E-2</v>
      </c>
      <c r="I569">
        <v>0.13287420536157857</v>
      </c>
      <c r="J569">
        <v>0</v>
      </c>
      <c r="K569">
        <v>0.42731577993710623</v>
      </c>
      <c r="L569">
        <v>0.1866185464061331</v>
      </c>
      <c r="M569">
        <v>0.81338145359386693</v>
      </c>
      <c r="N569">
        <v>6.9495012729954175E-2</v>
      </c>
      <c r="O569" s="72">
        <v>0.99907390703004118</v>
      </c>
      <c r="P569">
        <v>0.995546521145666</v>
      </c>
      <c r="Q569">
        <v>0.98792830599377812</v>
      </c>
      <c r="R569">
        <v>0.46871823499265364</v>
      </c>
      <c r="S569">
        <v>0.38764466142184173</v>
      </c>
      <c r="T569">
        <v>0.25822242226636505</v>
      </c>
      <c r="U569">
        <v>0.77506460352169038</v>
      </c>
      <c r="V569">
        <v>0.6541812361833651</v>
      </c>
      <c r="W569">
        <v>0.62098950735845837</v>
      </c>
      <c r="X569">
        <v>0.46633938651715878</v>
      </c>
      <c r="Y569">
        <v>0.47377803742345526</v>
      </c>
      <c r="Z569">
        <v>0.3944819850273879</v>
      </c>
      <c r="AA569">
        <v>0.63715007894488807</v>
      </c>
      <c r="AB569">
        <v>0.80283236536410174</v>
      </c>
      <c r="AC569">
        <v>0.6195729803055916</v>
      </c>
      <c r="AD569">
        <v>0.60971688142977798</v>
      </c>
      <c r="AE569">
        <v>258.68097341934646</v>
      </c>
      <c r="AF569">
        <v>876.16702369624136</v>
      </c>
      <c r="AG569">
        <v>1657.0276547892477</v>
      </c>
      <c r="AH569">
        <v>13114.369061275011</v>
      </c>
      <c r="AI569">
        <v>13380.614013630233</v>
      </c>
      <c r="AJ569">
        <v>41174.111962509945</v>
      </c>
      <c r="AK569">
        <v>12515.469149760005</v>
      </c>
      <c r="AL569">
        <v>2041.0257497422281</v>
      </c>
      <c r="AM569">
        <v>410.28171208027061</v>
      </c>
      <c r="AO569">
        <v>44193.008760400247</v>
      </c>
      <c r="AP569">
        <v>12.938132518672987</v>
      </c>
      <c r="AQ569">
        <v>46987.68569868162</v>
      </c>
      <c r="AR569">
        <v>13.100591714065757</v>
      </c>
      <c r="AS569" s="2">
        <f t="shared" si="57"/>
        <v>2794.6769382813727</v>
      </c>
      <c r="AT569" s="2">
        <f t="shared" si="58"/>
        <v>0.16245919539277054</v>
      </c>
      <c r="AV569">
        <f t="shared" si="59"/>
        <v>1249620.2431068984</v>
      </c>
      <c r="AW569">
        <f t="shared" si="60"/>
        <v>1263071.4857078942</v>
      </c>
      <c r="AY569">
        <f t="shared" si="61"/>
        <v>0</v>
      </c>
      <c r="AZ569">
        <f t="shared" si="62"/>
        <v>1</v>
      </c>
    </row>
    <row r="570" spans="1:52" x14ac:dyDescent="0.2">
      <c r="A570">
        <f t="shared" si="56"/>
        <v>566</v>
      </c>
      <c r="B570">
        <v>1.6667217760061751E-2</v>
      </c>
      <c r="C570">
        <v>3.5783021611312783E-2</v>
      </c>
      <c r="D570">
        <v>5.0997537819904348E-2</v>
      </c>
      <c r="E570">
        <v>1.4190537094162736E-2</v>
      </c>
      <c r="F570">
        <v>3.2384118257087441E-3</v>
      </c>
      <c r="G570">
        <v>1.7619355141492488E-2</v>
      </c>
      <c r="H570">
        <v>3.157785824342918E-2</v>
      </c>
      <c r="I570">
        <v>0.13152399032427975</v>
      </c>
      <c r="J570">
        <v>0</v>
      </c>
      <c r="K570">
        <v>0.36458039681617288</v>
      </c>
      <c r="L570">
        <v>0.16085043675400845</v>
      </c>
      <c r="M570">
        <v>0.83914956324599155</v>
      </c>
      <c r="N570">
        <v>4.9634936003518898E-2</v>
      </c>
      <c r="O570" s="72">
        <v>0.99732536755946144</v>
      </c>
      <c r="P570">
        <v>0.98161098570314742</v>
      </c>
      <c r="Q570">
        <v>0.95872622971510002</v>
      </c>
      <c r="R570">
        <v>0.47684803105531814</v>
      </c>
      <c r="S570">
        <v>0.40465886879571122</v>
      </c>
      <c r="T570">
        <v>0.23407348545286077</v>
      </c>
      <c r="U570">
        <v>0.77314054668534227</v>
      </c>
      <c r="V570">
        <v>0.72394999765876</v>
      </c>
      <c r="W570">
        <v>0.5794461552534067</v>
      </c>
      <c r="X570">
        <v>0.45397428398364226</v>
      </c>
      <c r="Y570">
        <v>0.47910892652535231</v>
      </c>
      <c r="Z570">
        <v>0.47692032979834831</v>
      </c>
      <c r="AA570">
        <v>0.55837297356242355</v>
      </c>
      <c r="AB570">
        <v>0.81023199746945973</v>
      </c>
      <c r="AC570">
        <v>0.75788772545753968</v>
      </c>
      <c r="AD570">
        <v>0.6036008766266876</v>
      </c>
      <c r="AE570">
        <v>199.61146177821365</v>
      </c>
      <c r="AF570">
        <v>1219.4366783094974</v>
      </c>
      <c r="AG570">
        <v>1579.83483291109</v>
      </c>
      <c r="AH570">
        <v>16339.857023164293</v>
      </c>
      <c r="AI570">
        <v>10595.066431978503</v>
      </c>
      <c r="AJ570">
        <v>42608.16072118689</v>
      </c>
      <c r="AK570">
        <v>13301.988370045343</v>
      </c>
      <c r="AL570">
        <v>1811.082732874828</v>
      </c>
      <c r="AM570">
        <v>458.15144380176838</v>
      </c>
      <c r="AO570">
        <v>44873.188717542114</v>
      </c>
      <c r="AP570">
        <v>13.281688863221264</v>
      </c>
      <c r="AQ570">
        <v>48329.487193704277</v>
      </c>
      <c r="AR570">
        <v>13.442879365074791</v>
      </c>
      <c r="AS570" s="2">
        <f t="shared" si="57"/>
        <v>3456.2984761621628</v>
      </c>
      <c r="AT570" s="2">
        <f t="shared" si="58"/>
        <v>0.16119050185352712</v>
      </c>
      <c r="AV570">
        <f t="shared" si="59"/>
        <v>1283295.6976045843</v>
      </c>
      <c r="AW570">
        <f t="shared" si="60"/>
        <v>1295958.4493137747</v>
      </c>
      <c r="AY570">
        <f t="shared" si="61"/>
        <v>0</v>
      </c>
      <c r="AZ570">
        <f t="shared" si="62"/>
        <v>1</v>
      </c>
    </row>
    <row r="571" spans="1:52" x14ac:dyDescent="0.2">
      <c r="A571">
        <f t="shared" si="56"/>
        <v>567</v>
      </c>
      <c r="B571">
        <v>2.5238552299362449E-2</v>
      </c>
      <c r="C571">
        <v>3.3361144222266499E-2</v>
      </c>
      <c r="D571">
        <v>3.914752496021856E-2</v>
      </c>
      <c r="E571">
        <v>1.9127570729991161E-2</v>
      </c>
      <c r="F571">
        <v>3.457411310545444E-3</v>
      </c>
      <c r="G571">
        <v>1.405586771911449E-2</v>
      </c>
      <c r="H571">
        <v>3.4330769399054439E-2</v>
      </c>
      <c r="I571">
        <v>0.13840649148599182</v>
      </c>
      <c r="J571">
        <v>0</v>
      </c>
      <c r="K571">
        <v>0.41720708058227235</v>
      </c>
      <c r="L571">
        <v>0.17605614393419336</v>
      </c>
      <c r="M571">
        <v>0.82394385606580667</v>
      </c>
      <c r="N571">
        <v>6.3887596714879979E-2</v>
      </c>
      <c r="O571" s="72">
        <v>0.99999992664510351</v>
      </c>
      <c r="P571">
        <v>0.99999999367290782</v>
      </c>
      <c r="Q571">
        <v>0.93781367319374742</v>
      </c>
      <c r="R571">
        <v>0.50369581055409063</v>
      </c>
      <c r="S571">
        <v>0.46545950227231814</v>
      </c>
      <c r="T571">
        <v>0.25501482858274316</v>
      </c>
      <c r="U571">
        <v>0.7856705276894691</v>
      </c>
      <c r="V571">
        <v>0.66127832378198859</v>
      </c>
      <c r="W571">
        <v>0.57000510850042097</v>
      </c>
      <c r="X571">
        <v>0.46859437009370741</v>
      </c>
      <c r="Y571">
        <v>0.39915201187718585</v>
      </c>
      <c r="Z571">
        <v>0.47328115038636509</v>
      </c>
      <c r="AA571">
        <v>0.67887506937496034</v>
      </c>
      <c r="AB571">
        <v>0.83907663069219651</v>
      </c>
      <c r="AC571">
        <v>0.75872948529261119</v>
      </c>
      <c r="AD571">
        <v>0.61487579194406883</v>
      </c>
      <c r="AE571">
        <v>181.15834129037339</v>
      </c>
      <c r="AF571">
        <v>1321.8408905554588</v>
      </c>
      <c r="AG571">
        <v>1401.3587820677299</v>
      </c>
      <c r="AH571">
        <v>16760.101909495166</v>
      </c>
      <c r="AI571">
        <v>15307.842657668803</v>
      </c>
      <c r="AJ571">
        <v>39724.811050354416</v>
      </c>
      <c r="AK571">
        <v>16471.211943481052</v>
      </c>
      <c r="AL571">
        <v>2380.076962181457</v>
      </c>
      <c r="AM571">
        <v>368.39162932823865</v>
      </c>
      <c r="AO571">
        <v>41221.027066579132</v>
      </c>
      <c r="AP571">
        <v>13.680977000146626</v>
      </c>
      <c r="AQ571">
        <v>46418.993563720658</v>
      </c>
      <c r="AR571">
        <v>13.858707447474179</v>
      </c>
      <c r="AS571" s="2">
        <f t="shared" si="57"/>
        <v>5197.9664971415259</v>
      </c>
      <c r="AT571" s="2">
        <f t="shared" si="58"/>
        <v>0.17773044732755316</v>
      </c>
      <c r="AV571">
        <f t="shared" si="59"/>
        <v>1326876.6729480836</v>
      </c>
      <c r="AW571">
        <f t="shared" si="60"/>
        <v>1339451.7511836973</v>
      </c>
      <c r="AY571">
        <f t="shared" si="61"/>
        <v>0</v>
      </c>
      <c r="AZ571">
        <f t="shared" si="62"/>
        <v>1</v>
      </c>
    </row>
    <row r="572" spans="1:52" x14ac:dyDescent="0.2">
      <c r="A572">
        <f t="shared" si="56"/>
        <v>568</v>
      </c>
      <c r="B572">
        <v>2.2354565657492369E-2</v>
      </c>
      <c r="C572">
        <v>2.8185327264470924E-2</v>
      </c>
      <c r="D572">
        <v>4.5541561178891188E-2</v>
      </c>
      <c r="E572">
        <v>1.5566951757169267E-2</v>
      </c>
      <c r="F572">
        <v>3.2688724644182486E-3</v>
      </c>
      <c r="G572">
        <v>1.626672473140589E-2</v>
      </c>
      <c r="H572">
        <v>2.048334531323389E-2</v>
      </c>
      <c r="I572">
        <v>0.13381592556453403</v>
      </c>
      <c r="J572">
        <v>0</v>
      </c>
      <c r="K572">
        <v>0.43268521021970363</v>
      </c>
      <c r="L572">
        <v>0.28269688874346011</v>
      </c>
      <c r="M572">
        <v>0.71730311125653989</v>
      </c>
      <c r="N572">
        <v>6.3229611651232864E-2</v>
      </c>
      <c r="O572" s="72">
        <v>0.99585208583202678</v>
      </c>
      <c r="P572">
        <v>0.99988754807285574</v>
      </c>
      <c r="Q572">
        <v>0.88949441976179267</v>
      </c>
      <c r="R572">
        <v>0.44323694433393013</v>
      </c>
      <c r="S572">
        <v>0.3662860317572102</v>
      </c>
      <c r="T572">
        <v>0.25445602868431605</v>
      </c>
      <c r="U572">
        <v>0.75794859188938624</v>
      </c>
      <c r="V572">
        <v>0.67201102200447704</v>
      </c>
      <c r="W572">
        <v>0.61850060229995596</v>
      </c>
      <c r="X572">
        <v>0.43320111169467984</v>
      </c>
      <c r="Y572">
        <v>0.43673732135600341</v>
      </c>
      <c r="Z572">
        <v>0.49817029540847257</v>
      </c>
      <c r="AA572">
        <v>0.67928366197145096</v>
      </c>
      <c r="AB572">
        <v>0.85403464615632174</v>
      </c>
      <c r="AC572">
        <v>0.73880523534751985</v>
      </c>
      <c r="AD572">
        <v>0.60040641087220037</v>
      </c>
      <c r="AE572">
        <v>144.0935479968104</v>
      </c>
      <c r="AF572">
        <v>1034.4050887449869</v>
      </c>
      <c r="AG572">
        <v>1358.4091321237329</v>
      </c>
      <c r="AH572">
        <v>15941.158149042083</v>
      </c>
      <c r="AI572">
        <v>8929.769225378086</v>
      </c>
      <c r="AJ572">
        <v>46054.593082604253</v>
      </c>
      <c r="AK572">
        <v>9212.4718681441354</v>
      </c>
      <c r="AL572">
        <v>2896.6224673350835</v>
      </c>
      <c r="AM572">
        <v>341.69209432734198</v>
      </c>
      <c r="AO572">
        <v>44854.289788471193</v>
      </c>
      <c r="AP572">
        <v>13.775662988266177</v>
      </c>
      <c r="AQ572">
        <v>46116.400501584736</v>
      </c>
      <c r="AR572">
        <v>14.008345369938624</v>
      </c>
      <c r="AS572" s="2">
        <f t="shared" si="57"/>
        <v>1262.1107131135432</v>
      </c>
      <c r="AT572" s="2">
        <f t="shared" si="58"/>
        <v>0.23268238167244704</v>
      </c>
      <c r="AV572">
        <f t="shared" si="59"/>
        <v>1332712.0090381464</v>
      </c>
      <c r="AW572">
        <f t="shared" si="60"/>
        <v>1354718.1364922777</v>
      </c>
      <c r="AY572">
        <f t="shared" si="61"/>
        <v>0</v>
      </c>
      <c r="AZ572">
        <f t="shared" si="62"/>
        <v>1</v>
      </c>
    </row>
    <row r="573" spans="1:52" x14ac:dyDescent="0.2">
      <c r="A573">
        <f t="shared" si="56"/>
        <v>569</v>
      </c>
      <c r="B573">
        <v>2.331265573169888E-2</v>
      </c>
      <c r="C573">
        <v>4.3904934073497937E-2</v>
      </c>
      <c r="D573">
        <v>3.6639243281302074E-2</v>
      </c>
      <c r="E573">
        <v>5.5495095922809805E-3</v>
      </c>
      <c r="F573">
        <v>3.2436767032695511E-3</v>
      </c>
      <c r="G573">
        <v>9.5731100154364483E-3</v>
      </c>
      <c r="H573">
        <v>2.2029763144704194E-2</v>
      </c>
      <c r="I573">
        <v>0.11938250699749163</v>
      </c>
      <c r="J573">
        <v>0</v>
      </c>
      <c r="K573">
        <v>0.43155411759496753</v>
      </c>
      <c r="L573">
        <v>0.20118598677630517</v>
      </c>
      <c r="M573">
        <v>0.79881401322369483</v>
      </c>
      <c r="N573">
        <v>6.4823758940486642E-2</v>
      </c>
      <c r="O573" s="72">
        <v>0.99992281126138405</v>
      </c>
      <c r="P573">
        <v>0.9950642925614982</v>
      </c>
      <c r="Q573">
        <v>0.89762507533039049</v>
      </c>
      <c r="R573">
        <v>0.5055553697241405</v>
      </c>
      <c r="S573">
        <v>0.4422088734485069</v>
      </c>
      <c r="T573">
        <v>0.25475991372777906</v>
      </c>
      <c r="U573">
        <v>0.74917734155004245</v>
      </c>
      <c r="V573">
        <v>0.70664971114780384</v>
      </c>
      <c r="W573">
        <v>0.6225486317600869</v>
      </c>
      <c r="X573">
        <v>0.48237970415760933</v>
      </c>
      <c r="Y573">
        <v>0.45958451771242592</v>
      </c>
      <c r="Z573">
        <v>0.41536577561769356</v>
      </c>
      <c r="AA573">
        <v>0.71387290710419893</v>
      </c>
      <c r="AB573">
        <v>0.84421722381030195</v>
      </c>
      <c r="AC573">
        <v>0.79010180683088382</v>
      </c>
      <c r="AD573">
        <v>0.54354642715071533</v>
      </c>
      <c r="AE573">
        <v>200.55942346265155</v>
      </c>
      <c r="AF573">
        <v>1334.5042688371914</v>
      </c>
      <c r="AG573">
        <v>1789.1105695253279</v>
      </c>
      <c r="AH573">
        <v>11234.23573977175</v>
      </c>
      <c r="AI573">
        <v>13204.440041838861</v>
      </c>
      <c r="AJ573">
        <v>36409.594200284759</v>
      </c>
      <c r="AK573">
        <v>10566.937180506175</v>
      </c>
      <c r="AL573">
        <v>1383.8549239395097</v>
      </c>
      <c r="AM573">
        <v>365.80638852768197</v>
      </c>
      <c r="AO573">
        <v>41305.263672138753</v>
      </c>
      <c r="AP573">
        <v>13.740913053726992</v>
      </c>
      <c r="AQ573">
        <v>46627.809311349003</v>
      </c>
      <c r="AR573">
        <v>13.891900693958673</v>
      </c>
      <c r="AS573" s="2">
        <f t="shared" si="57"/>
        <v>5322.5456392102496</v>
      </c>
      <c r="AT573" s="2">
        <f t="shared" si="58"/>
        <v>0.15098764023168165</v>
      </c>
      <c r="AV573">
        <f t="shared" si="59"/>
        <v>1332786.0417005604</v>
      </c>
      <c r="AW573">
        <f t="shared" si="60"/>
        <v>1342562.2600845185</v>
      </c>
      <c r="AY573">
        <f t="shared" si="61"/>
        <v>0</v>
      </c>
      <c r="AZ573">
        <f t="shared" si="62"/>
        <v>1</v>
      </c>
    </row>
    <row r="574" spans="1:52" x14ac:dyDescent="0.2">
      <c r="A574">
        <f t="shared" si="56"/>
        <v>570</v>
      </c>
      <c r="B574">
        <v>2.592442678610174E-2</v>
      </c>
      <c r="C574">
        <v>3.9880338561537054E-2</v>
      </c>
      <c r="D574">
        <v>4.4636346392846638E-2</v>
      </c>
      <c r="E574">
        <v>8.5379847763671669E-3</v>
      </c>
      <c r="F574">
        <v>3.4076253382402388E-3</v>
      </c>
      <c r="G574">
        <v>2.3526151183189348E-2</v>
      </c>
      <c r="H574">
        <v>1.8086176179532294E-2</v>
      </c>
      <c r="I574">
        <v>0.12641076059008569</v>
      </c>
      <c r="J574">
        <v>0</v>
      </c>
      <c r="K574">
        <v>0.41889988977247139</v>
      </c>
      <c r="L574">
        <v>0.19037469645903243</v>
      </c>
      <c r="M574">
        <v>0.80962530354096751</v>
      </c>
      <c r="N574">
        <v>5.7262265459921968E-2</v>
      </c>
      <c r="O574" s="72">
        <v>0.98391637434294243</v>
      </c>
      <c r="P574">
        <v>0.99927889792933955</v>
      </c>
      <c r="Q574">
        <v>0.93726601898907469</v>
      </c>
      <c r="R574">
        <v>0.49804223829774785</v>
      </c>
      <c r="S574">
        <v>0.42480429044515744</v>
      </c>
      <c r="T574">
        <v>0.21800625491979908</v>
      </c>
      <c r="U574">
        <v>0.79130090850449875</v>
      </c>
      <c r="V574">
        <v>0.68268054438446213</v>
      </c>
      <c r="W574">
        <v>0.48913611150857389</v>
      </c>
      <c r="X574">
        <v>0.48282008119136877</v>
      </c>
      <c r="Y574">
        <v>0.41611067700572468</v>
      </c>
      <c r="Z574">
        <v>0.42592701598546984</v>
      </c>
      <c r="AA574">
        <v>0.66808785010850968</v>
      </c>
      <c r="AB574">
        <v>0.80490294071166935</v>
      </c>
      <c r="AC574">
        <v>0.71270640169671873</v>
      </c>
      <c r="AD574">
        <v>0.54757547809156504</v>
      </c>
      <c r="AE574">
        <v>165.04297823626715</v>
      </c>
      <c r="AF574">
        <v>1062.6044568480279</v>
      </c>
      <c r="AG574">
        <v>912.3926806322861</v>
      </c>
      <c r="AH574">
        <v>15459.646193817995</v>
      </c>
      <c r="AI574">
        <v>10924.144072560812</v>
      </c>
      <c r="AJ574">
        <v>40109.081516171413</v>
      </c>
      <c r="AK574">
        <v>16793.350784044971</v>
      </c>
      <c r="AL574">
        <v>1802.4501350667113</v>
      </c>
      <c r="AM574">
        <v>395.7240209241844</v>
      </c>
      <c r="AO574">
        <v>42795.517098348624</v>
      </c>
      <c r="AP574">
        <v>13.062475587662062</v>
      </c>
      <c r="AQ574">
        <v>46831.858549759694</v>
      </c>
      <c r="AR574">
        <v>13.210059295450405</v>
      </c>
      <c r="AS574" s="2">
        <f t="shared" si="57"/>
        <v>4036.34145141107</v>
      </c>
      <c r="AT574" s="2">
        <f t="shared" si="58"/>
        <v>0.14758370778834262</v>
      </c>
      <c r="AV574">
        <f t="shared" si="59"/>
        <v>1263452.0416678577</v>
      </c>
      <c r="AW574">
        <f t="shared" si="60"/>
        <v>1274174.0709952808</v>
      </c>
      <c r="AY574">
        <f t="shared" si="61"/>
        <v>0</v>
      </c>
      <c r="AZ574">
        <f t="shared" si="62"/>
        <v>1</v>
      </c>
    </row>
    <row r="575" spans="1:52" x14ac:dyDescent="0.2">
      <c r="A575">
        <f t="shared" si="56"/>
        <v>571</v>
      </c>
      <c r="B575">
        <v>2.0882719147818848E-2</v>
      </c>
      <c r="C575">
        <v>3.6568759501423249E-2</v>
      </c>
      <c r="D575">
        <v>2.814849529868934E-2</v>
      </c>
      <c r="E575">
        <v>2.1257731960102055E-2</v>
      </c>
      <c r="F575">
        <v>3.295792371538432E-3</v>
      </c>
      <c r="G575">
        <v>2.2767809038938158E-2</v>
      </c>
      <c r="H575">
        <v>1.0670382695580648E-2</v>
      </c>
      <c r="I575">
        <v>0.13538111917750906</v>
      </c>
      <c r="J575">
        <v>0</v>
      </c>
      <c r="K575">
        <v>0.46775364120897367</v>
      </c>
      <c r="L575">
        <v>0.16514626112567998</v>
      </c>
      <c r="M575">
        <v>0.83485373887432002</v>
      </c>
      <c r="N575">
        <v>4.963688387569274E-2</v>
      </c>
      <c r="O575" s="72">
        <v>0.99490663433645776</v>
      </c>
      <c r="P575">
        <v>0.99991558574984718</v>
      </c>
      <c r="Q575">
        <v>0.98836191352024227</v>
      </c>
      <c r="R575">
        <v>0.49630878050966865</v>
      </c>
      <c r="S575">
        <v>0.37685571168189169</v>
      </c>
      <c r="T575">
        <v>0.27118483071601862</v>
      </c>
      <c r="U575">
        <v>0.7690529521505669</v>
      </c>
      <c r="V575">
        <v>0.68801474140783525</v>
      </c>
      <c r="W575">
        <v>0.61679169822244684</v>
      </c>
      <c r="X575">
        <v>0.4930495721160022</v>
      </c>
      <c r="Y575">
        <v>0.45035004898042763</v>
      </c>
      <c r="Z575">
        <v>0.45914659367197219</v>
      </c>
      <c r="AA575">
        <v>0.76265318203492916</v>
      </c>
      <c r="AB575">
        <v>0.77353268606130388</v>
      </c>
      <c r="AC575">
        <v>0.76893272681649716</v>
      </c>
      <c r="AD575">
        <v>0.61469042250142447</v>
      </c>
      <c r="AE575">
        <v>204.9599788370839</v>
      </c>
      <c r="AF575">
        <v>1096.848961194253</v>
      </c>
      <c r="AG575">
        <v>1250.6699609567027</v>
      </c>
      <c r="AH575">
        <v>12875.747501617128</v>
      </c>
      <c r="AI575">
        <v>11826.238984170541</v>
      </c>
      <c r="AJ575">
        <v>42200.870103452064</v>
      </c>
      <c r="AK575">
        <v>11336.393586608659</v>
      </c>
      <c r="AL575">
        <v>3044.42320304029</v>
      </c>
      <c r="AM575">
        <v>433.05643585009381</v>
      </c>
      <c r="AO575">
        <v>42811.972433102746</v>
      </c>
      <c r="AP575">
        <v>12.863362716891455</v>
      </c>
      <c r="AQ575">
        <v>47156.553668756911</v>
      </c>
      <c r="AR575">
        <v>12.970837208480265</v>
      </c>
      <c r="AS575" s="2">
        <f t="shared" si="57"/>
        <v>4344.5812356541646</v>
      </c>
      <c r="AT575" s="2">
        <f t="shared" si="58"/>
        <v>0.10747449158881039</v>
      </c>
      <c r="AV575">
        <f t="shared" si="59"/>
        <v>1243524.2992560428</v>
      </c>
      <c r="AW575">
        <f t="shared" si="60"/>
        <v>1249927.1671792695</v>
      </c>
      <c r="AY575">
        <f t="shared" si="61"/>
        <v>0</v>
      </c>
      <c r="AZ575">
        <f t="shared" si="62"/>
        <v>1</v>
      </c>
    </row>
    <row r="576" spans="1:52" x14ac:dyDescent="0.2">
      <c r="A576">
        <f t="shared" ref="A576:A639" si="63">A575+1</f>
        <v>572</v>
      </c>
      <c r="B576">
        <v>2.5741780971676342E-2</v>
      </c>
      <c r="C576">
        <v>2.992769428310469E-2</v>
      </c>
      <c r="D576">
        <v>2.3556745889051888E-2</v>
      </c>
      <c r="E576">
        <v>1.7665674413164689E-2</v>
      </c>
      <c r="F576">
        <v>3.2894368947373066E-3</v>
      </c>
      <c r="G576">
        <v>6.8815747420873687E-3</v>
      </c>
      <c r="H576">
        <v>2.5726266041875057E-2</v>
      </c>
      <c r="I576">
        <v>0.14406138588789874</v>
      </c>
      <c r="J576">
        <v>0</v>
      </c>
      <c r="K576">
        <v>0.44856414802887723</v>
      </c>
      <c r="L576">
        <v>0.25556325445490136</v>
      </c>
      <c r="M576">
        <v>0.74443674554509864</v>
      </c>
      <c r="N576">
        <v>6.2212106496616015E-2</v>
      </c>
      <c r="O576" s="72">
        <v>0.9946949102394812</v>
      </c>
      <c r="P576">
        <v>0.99826332523184147</v>
      </c>
      <c r="Q576">
        <v>0.93891932516549736</v>
      </c>
      <c r="R576">
        <v>0.5110834660112048</v>
      </c>
      <c r="S576">
        <v>0.45583433166158471</v>
      </c>
      <c r="T576">
        <v>0.23184610724473309</v>
      </c>
      <c r="U576">
        <v>0.76743400445771848</v>
      </c>
      <c r="V576">
        <v>0.64064123826551367</v>
      </c>
      <c r="W576">
        <v>0.55558433478580016</v>
      </c>
      <c r="X576">
        <v>0.46547937847603293</v>
      </c>
      <c r="Y576">
        <v>0.43056772499362439</v>
      </c>
      <c r="Z576">
        <v>0.46989747016177108</v>
      </c>
      <c r="AA576">
        <v>0.65465679966856805</v>
      </c>
      <c r="AB576">
        <v>0.82996583300133842</v>
      </c>
      <c r="AC576">
        <v>0.73635310983593505</v>
      </c>
      <c r="AD576">
        <v>0.72197795280563104</v>
      </c>
      <c r="AE576">
        <v>178.64538688792112</v>
      </c>
      <c r="AF576">
        <v>1143.8724932736484</v>
      </c>
      <c r="AG576">
        <v>1772.8405750169834</v>
      </c>
      <c r="AH576">
        <v>17367.997434146782</v>
      </c>
      <c r="AI576">
        <v>13698.210134246976</v>
      </c>
      <c r="AJ576">
        <v>40227.136207512827</v>
      </c>
      <c r="AK576">
        <v>15373.06347985946</v>
      </c>
      <c r="AL576">
        <v>1986.7605064277509</v>
      </c>
      <c r="AM576">
        <v>407.54421152584843</v>
      </c>
      <c r="AO576">
        <v>41936.855367740201</v>
      </c>
      <c r="AP576">
        <v>13.633723181091751</v>
      </c>
      <c r="AQ576">
        <v>47103.064461916161</v>
      </c>
      <c r="AR576">
        <v>13.838476960745357</v>
      </c>
      <c r="AS576" s="2">
        <f t="shared" si="57"/>
        <v>5166.2090941759598</v>
      </c>
      <c r="AT576" s="2">
        <f t="shared" si="58"/>
        <v>0.20475377965360586</v>
      </c>
      <c r="AV576">
        <f t="shared" si="59"/>
        <v>1321435.462741435</v>
      </c>
      <c r="AW576">
        <f t="shared" si="60"/>
        <v>1336744.6316126194</v>
      </c>
      <c r="AY576">
        <f t="shared" si="61"/>
        <v>0</v>
      </c>
      <c r="AZ576">
        <f t="shared" si="62"/>
        <v>1</v>
      </c>
    </row>
    <row r="577" spans="1:52" x14ac:dyDescent="0.2">
      <c r="A577">
        <f t="shared" si="63"/>
        <v>573</v>
      </c>
      <c r="B577">
        <v>1.7737187707447137E-2</v>
      </c>
      <c r="C577">
        <v>4.249376428308238E-2</v>
      </c>
      <c r="D577">
        <v>3.6762304273643708E-2</v>
      </c>
      <c r="E577">
        <v>2.5542902321147753E-2</v>
      </c>
      <c r="F577">
        <v>3.3200966627601443E-3</v>
      </c>
      <c r="G577">
        <v>3.898023855072989E-3</v>
      </c>
      <c r="H577">
        <v>3.7701767858730584E-2</v>
      </c>
      <c r="I577">
        <v>0.12722032521358453</v>
      </c>
      <c r="J577">
        <v>0</v>
      </c>
      <c r="K577">
        <v>0.39951241393699927</v>
      </c>
      <c r="L577">
        <v>0.19947765400799103</v>
      </c>
      <c r="M577">
        <v>0.800522345992009</v>
      </c>
      <c r="N577">
        <v>5.7972250135381431E-2</v>
      </c>
      <c r="O577" s="72">
        <v>0.96794744244555464</v>
      </c>
      <c r="P577">
        <v>0.97075664446062626</v>
      </c>
      <c r="Q577">
        <v>0.99074241711487387</v>
      </c>
      <c r="R577">
        <v>0.47733402635483835</v>
      </c>
      <c r="S577">
        <v>0.54879056311675156</v>
      </c>
      <c r="T577">
        <v>0.35366581993900548</v>
      </c>
      <c r="U577">
        <v>0.79277447595131634</v>
      </c>
      <c r="V577">
        <v>0.63974765409215073</v>
      </c>
      <c r="W577">
        <v>0.53004842820743636</v>
      </c>
      <c r="X577">
        <v>0.4393808842516887</v>
      </c>
      <c r="Y577">
        <v>0.44423047367132895</v>
      </c>
      <c r="Z577">
        <v>0.44105644773290881</v>
      </c>
      <c r="AA577">
        <v>0.71159640545608704</v>
      </c>
      <c r="AB577">
        <v>0.81184099874592375</v>
      </c>
      <c r="AC577">
        <v>0.69219972000225061</v>
      </c>
      <c r="AD577">
        <v>0.61541929833398523</v>
      </c>
      <c r="AE577">
        <v>238.22713580978746</v>
      </c>
      <c r="AF577">
        <v>1152.948526838936</v>
      </c>
      <c r="AG577">
        <v>1837.7271753247423</v>
      </c>
      <c r="AH577">
        <v>15975.411194334989</v>
      </c>
      <c r="AI577">
        <v>14463.386282016607</v>
      </c>
      <c r="AJ577">
        <v>43084.279961812965</v>
      </c>
      <c r="AK577">
        <v>8575.5518409413344</v>
      </c>
      <c r="AL577">
        <v>1654.7032136205253</v>
      </c>
      <c r="AM577">
        <v>410.59346238465588</v>
      </c>
      <c r="AO577">
        <v>41341.099776810886</v>
      </c>
      <c r="AP577">
        <v>13.23710379507413</v>
      </c>
      <c r="AQ577">
        <v>48007.341863181988</v>
      </c>
      <c r="AR577">
        <v>13.363222420518015</v>
      </c>
      <c r="AS577" s="2">
        <f t="shared" si="57"/>
        <v>6666.2420863711013</v>
      </c>
      <c r="AT577" s="2">
        <f t="shared" si="58"/>
        <v>0.12611862544388508</v>
      </c>
      <c r="AV577">
        <f t="shared" si="59"/>
        <v>1282369.2797306022</v>
      </c>
      <c r="AW577">
        <f t="shared" si="60"/>
        <v>1288314.9001886197</v>
      </c>
      <c r="AY577">
        <f t="shared" si="61"/>
        <v>0</v>
      </c>
      <c r="AZ577">
        <f t="shared" si="62"/>
        <v>1</v>
      </c>
    </row>
    <row r="578" spans="1:52" x14ac:dyDescent="0.2">
      <c r="A578">
        <f t="shared" si="63"/>
        <v>574</v>
      </c>
      <c r="B578">
        <v>2.3366091617655033E-2</v>
      </c>
      <c r="C578">
        <v>3.4315442161810025E-2</v>
      </c>
      <c r="D578">
        <v>3.3248826135820746E-2</v>
      </c>
      <c r="E578">
        <v>1.4252501864460032E-2</v>
      </c>
      <c r="F578">
        <v>3.3455862198548125E-3</v>
      </c>
      <c r="G578">
        <v>2.2595970072107176E-3</v>
      </c>
      <c r="H578">
        <v>4.6231833344715145E-2</v>
      </c>
      <c r="I578">
        <v>0.12250677299029651</v>
      </c>
      <c r="J578">
        <v>0</v>
      </c>
      <c r="K578">
        <v>0.39494638470931681</v>
      </c>
      <c r="L578">
        <v>0.17738795602170868</v>
      </c>
      <c r="M578">
        <v>0.82261204397829135</v>
      </c>
      <c r="N578">
        <v>5.4587491155057795E-2</v>
      </c>
      <c r="O578" s="72">
        <v>0.99974911826993562</v>
      </c>
      <c r="P578">
        <v>0.99964959842115764</v>
      </c>
      <c r="Q578">
        <v>0.91938719544108727</v>
      </c>
      <c r="R578">
        <v>0.48337773715607502</v>
      </c>
      <c r="S578">
        <v>0.36658290509127567</v>
      </c>
      <c r="T578">
        <v>0.14526016275151232</v>
      </c>
      <c r="U578">
        <v>0.78587069568520207</v>
      </c>
      <c r="V578">
        <v>0.66541907471363348</v>
      </c>
      <c r="W578">
        <v>0.60380479149681299</v>
      </c>
      <c r="X578">
        <v>0.43138113839578124</v>
      </c>
      <c r="Y578">
        <v>0.47544345589999504</v>
      </c>
      <c r="Z578">
        <v>0.43473428326193803</v>
      </c>
      <c r="AA578">
        <v>0.62258724883517469</v>
      </c>
      <c r="AB578">
        <v>0.82748924101551924</v>
      </c>
      <c r="AC578">
        <v>0.73209218457985292</v>
      </c>
      <c r="AD578">
        <v>0.65651012677659226</v>
      </c>
      <c r="AE578">
        <v>216.31794558328011</v>
      </c>
      <c r="AF578">
        <v>1181.5807938724686</v>
      </c>
      <c r="AG578">
        <v>1386.865037572142</v>
      </c>
      <c r="AH578">
        <v>12402.582815247759</v>
      </c>
      <c r="AI578">
        <v>12875.553322524551</v>
      </c>
      <c r="AJ578">
        <v>39191.607885914309</v>
      </c>
      <c r="AK578">
        <v>12941.540577621396</v>
      </c>
      <c r="AL578">
        <v>3315.3894754786384</v>
      </c>
      <c r="AM578">
        <v>323.77733284264485</v>
      </c>
      <c r="AO578">
        <v>45214.181142037618</v>
      </c>
      <c r="AP578">
        <v>13.49021695185073</v>
      </c>
      <c r="AQ578">
        <v>45746.64290587062</v>
      </c>
      <c r="AR578">
        <v>13.707703641390516</v>
      </c>
      <c r="AS578" s="2">
        <f t="shared" si="57"/>
        <v>532.4617638330019</v>
      </c>
      <c r="AT578" s="2">
        <f t="shared" si="58"/>
        <v>0.21748668953978623</v>
      </c>
      <c r="AV578">
        <f t="shared" si="59"/>
        <v>1303807.5140430355</v>
      </c>
      <c r="AW578">
        <f t="shared" si="60"/>
        <v>1325023.721233181</v>
      </c>
      <c r="AY578">
        <f t="shared" si="61"/>
        <v>0</v>
      </c>
      <c r="AZ578">
        <f t="shared" si="62"/>
        <v>1</v>
      </c>
    </row>
    <row r="579" spans="1:52" x14ac:dyDescent="0.2">
      <c r="A579">
        <f t="shared" si="63"/>
        <v>575</v>
      </c>
      <c r="B579">
        <v>2.4771561085892225E-2</v>
      </c>
      <c r="C579">
        <v>4.2334262759666674E-2</v>
      </c>
      <c r="D579">
        <v>2.4762141590090068E-2</v>
      </c>
      <c r="E579">
        <v>9.5456091409593449E-3</v>
      </c>
      <c r="F579">
        <v>3.3445727983052453E-3</v>
      </c>
      <c r="G579">
        <v>7.6893410894014634E-3</v>
      </c>
      <c r="H579">
        <v>2.2105729673545089E-2</v>
      </c>
      <c r="I579">
        <v>0.13985873798832704</v>
      </c>
      <c r="J579">
        <v>0</v>
      </c>
      <c r="K579">
        <v>0.42882013625947757</v>
      </c>
      <c r="L579">
        <v>0.21640978911753239</v>
      </c>
      <c r="M579">
        <v>0.78359021088246761</v>
      </c>
      <c r="N579">
        <v>7.0179412446766287E-2</v>
      </c>
      <c r="O579" s="72">
        <v>0.99999644801657817</v>
      </c>
      <c r="P579">
        <v>0.99126129376423255</v>
      </c>
      <c r="Q579">
        <v>0.97682742451400573</v>
      </c>
      <c r="R579">
        <v>0.49042395951724427</v>
      </c>
      <c r="S579">
        <v>0.41987769284792686</v>
      </c>
      <c r="T579">
        <v>0.2869873827882703</v>
      </c>
      <c r="U579">
        <v>0.78107989691946944</v>
      </c>
      <c r="V579">
        <v>0.64095671075465666</v>
      </c>
      <c r="W579">
        <v>0.5301023365402846</v>
      </c>
      <c r="X579">
        <v>0.37884573895635032</v>
      </c>
      <c r="Y579">
        <v>0.49185712494395106</v>
      </c>
      <c r="Z579">
        <v>0.41418892352604031</v>
      </c>
      <c r="AA579">
        <v>0.73420994166301345</v>
      </c>
      <c r="AB579">
        <v>0.82525784631132704</v>
      </c>
      <c r="AC579">
        <v>0.75757926813073295</v>
      </c>
      <c r="AD579">
        <v>0.64505838837740348</v>
      </c>
      <c r="AE579">
        <v>223.96512620325629</v>
      </c>
      <c r="AF579">
        <v>1063.261272280017</v>
      </c>
      <c r="AG579">
        <v>1123.2464202769202</v>
      </c>
      <c r="AH579">
        <v>13996.864748775857</v>
      </c>
      <c r="AI579">
        <v>11590.292758488255</v>
      </c>
      <c r="AJ579">
        <v>37555.328467505016</v>
      </c>
      <c r="AK579">
        <v>12280.195560673008</v>
      </c>
      <c r="AL579">
        <v>2633.4053587752987</v>
      </c>
      <c r="AM579">
        <v>347.18958741562636</v>
      </c>
      <c r="AO579">
        <v>41279.091857768457</v>
      </c>
      <c r="AP579">
        <v>13.549996296977321</v>
      </c>
      <c r="AQ579">
        <v>46131.326118460354</v>
      </c>
      <c r="AR579">
        <v>13.706234921307228</v>
      </c>
      <c r="AS579" s="2">
        <f t="shared" si="57"/>
        <v>4852.2342606918974</v>
      </c>
      <c r="AT579" s="2">
        <f t="shared" si="58"/>
        <v>0.15623862432990698</v>
      </c>
      <c r="AV579">
        <f t="shared" si="59"/>
        <v>1313720.5378399638</v>
      </c>
      <c r="AW579">
        <f t="shared" si="60"/>
        <v>1324492.1660122625</v>
      </c>
      <c r="AY579">
        <f t="shared" si="61"/>
        <v>0</v>
      </c>
      <c r="AZ579">
        <f t="shared" si="62"/>
        <v>1</v>
      </c>
    </row>
    <row r="580" spans="1:52" x14ac:dyDescent="0.2">
      <c r="A580">
        <f t="shared" si="63"/>
        <v>576</v>
      </c>
      <c r="B580">
        <v>2.773440235984459E-2</v>
      </c>
      <c r="C580">
        <v>3.6272086768268423E-2</v>
      </c>
      <c r="D580">
        <v>3.0715100807716569E-2</v>
      </c>
      <c r="E580">
        <v>1.0957564158097765E-2</v>
      </c>
      <c r="F580">
        <v>3.398910040512626E-3</v>
      </c>
      <c r="G580">
        <v>2.8122753645686172E-2</v>
      </c>
      <c r="H580">
        <v>5.1166393827371093E-2</v>
      </c>
      <c r="I580">
        <v>0.11150965008147926</v>
      </c>
      <c r="J580">
        <v>0</v>
      </c>
      <c r="K580">
        <v>0.42407233174505304</v>
      </c>
      <c r="L580">
        <v>0.18796696152981973</v>
      </c>
      <c r="M580">
        <v>0.81203303847018027</v>
      </c>
      <c r="N580">
        <v>4.4040598951459085E-2</v>
      </c>
      <c r="O580" s="72">
        <v>0.99956824054772908</v>
      </c>
      <c r="P580">
        <v>0.99999987350450192</v>
      </c>
      <c r="Q580">
        <v>0.88724904590232601</v>
      </c>
      <c r="R580">
        <v>0.51227566283373838</v>
      </c>
      <c r="S580">
        <v>0.41496665248863351</v>
      </c>
      <c r="T580">
        <v>7.1139594785941451E-2</v>
      </c>
      <c r="U580">
        <v>0.7478182449234283</v>
      </c>
      <c r="V580">
        <v>0.67496344582313905</v>
      </c>
      <c r="W580">
        <v>0.59821987066176885</v>
      </c>
      <c r="X580">
        <v>0.47717909077841902</v>
      </c>
      <c r="Y580">
        <v>0.48999485401862275</v>
      </c>
      <c r="Z580">
        <v>0.40517087845673144</v>
      </c>
      <c r="AA580">
        <v>0.72506454515143015</v>
      </c>
      <c r="AB580">
        <v>0.80160503602896527</v>
      </c>
      <c r="AC580">
        <v>0.64673520860214184</v>
      </c>
      <c r="AD580">
        <v>0.62659272657827547</v>
      </c>
      <c r="AE580">
        <v>171.94820930773346</v>
      </c>
      <c r="AF580">
        <v>947.03262535984572</v>
      </c>
      <c r="AG580">
        <v>2029.254915555061</v>
      </c>
      <c r="AH580">
        <v>16794.672866333793</v>
      </c>
      <c r="AI580">
        <v>8241.4082759937392</v>
      </c>
      <c r="AJ580">
        <v>42025.850971143715</v>
      </c>
      <c r="AK580">
        <v>16481.60803385832</v>
      </c>
      <c r="AL580">
        <v>1979.5373227190164</v>
      </c>
      <c r="AM580">
        <v>414.04706152953315</v>
      </c>
      <c r="AO580">
        <v>49117.364014664978</v>
      </c>
      <c r="AP580">
        <v>12.917744835209644</v>
      </c>
      <c r="AQ580">
        <v>47359.953583828807</v>
      </c>
      <c r="AR580">
        <v>13.154373573910098</v>
      </c>
      <c r="AS580" s="2">
        <f t="shared" si="57"/>
        <v>-1757.4104308361711</v>
      </c>
      <c r="AT580" s="2">
        <f t="shared" si="58"/>
        <v>0.23662873870045331</v>
      </c>
      <c r="AV580">
        <f t="shared" si="59"/>
        <v>1242657.1195062995</v>
      </c>
      <c r="AW580">
        <f t="shared" si="60"/>
        <v>1268077.4038071809</v>
      </c>
      <c r="AY580">
        <f t="shared" si="61"/>
        <v>0</v>
      </c>
      <c r="AZ580">
        <f t="shared" si="62"/>
        <v>1</v>
      </c>
    </row>
    <row r="581" spans="1:52" x14ac:dyDescent="0.2">
      <c r="A581">
        <f t="shared" si="63"/>
        <v>577</v>
      </c>
      <c r="B581">
        <v>1.7631406612924005E-2</v>
      </c>
      <c r="C581">
        <v>4.208588972530436E-2</v>
      </c>
      <c r="D581">
        <v>3.0908929174129872E-2</v>
      </c>
      <c r="E581">
        <v>8.4789929941411768E-3</v>
      </c>
      <c r="F581">
        <v>3.2893942818969309E-3</v>
      </c>
      <c r="G581">
        <v>2.0854878588575709E-2</v>
      </c>
      <c r="H581">
        <v>3.550008165926144E-2</v>
      </c>
      <c r="I581">
        <v>0.12978640507099137</v>
      </c>
      <c r="J581">
        <v>0</v>
      </c>
      <c r="K581">
        <v>0.42025819158449534</v>
      </c>
      <c r="L581">
        <v>0.19904001503355534</v>
      </c>
      <c r="M581">
        <v>0.8009599849664446</v>
      </c>
      <c r="N581">
        <v>6.5692817297459127E-2</v>
      </c>
      <c r="O581" s="72">
        <v>0.99122188404949108</v>
      </c>
      <c r="P581">
        <v>0.99777446233910061</v>
      </c>
      <c r="Q581">
        <v>0.99142123885543543</v>
      </c>
      <c r="R581">
        <v>0.45786244378658048</v>
      </c>
      <c r="S581">
        <v>0.44384288204218203</v>
      </c>
      <c r="T581">
        <v>0.23453653083862513</v>
      </c>
      <c r="U581">
        <v>0.76255642950363667</v>
      </c>
      <c r="V581">
        <v>0.6865715112247639</v>
      </c>
      <c r="W581">
        <v>0.53029455714722262</v>
      </c>
      <c r="X581">
        <v>0.47956775544643693</v>
      </c>
      <c r="Y581">
        <v>0.42798764754708468</v>
      </c>
      <c r="Z581">
        <v>0.45676632791009752</v>
      </c>
      <c r="AA581">
        <v>0.71597948161731328</v>
      </c>
      <c r="AB581">
        <v>0.83791782051949892</v>
      </c>
      <c r="AC581">
        <v>0.76980399231912089</v>
      </c>
      <c r="AD581">
        <v>0.61146491171304085</v>
      </c>
      <c r="AE581">
        <v>201.10604212280549</v>
      </c>
      <c r="AF581">
        <v>1089.0451364391195</v>
      </c>
      <c r="AG581">
        <v>1716.4009921823981</v>
      </c>
      <c r="AH581">
        <v>13716.998828967904</v>
      </c>
      <c r="AI581">
        <v>14072.898945896161</v>
      </c>
      <c r="AJ581">
        <v>43888.393319520772</v>
      </c>
      <c r="AK581">
        <v>14177.769663299081</v>
      </c>
      <c r="AL581">
        <v>1769.4462419447759</v>
      </c>
      <c r="AM581">
        <v>325.15179408218472</v>
      </c>
      <c r="AO581">
        <v>43433.793009087516</v>
      </c>
      <c r="AP581">
        <v>13.673747985373618</v>
      </c>
      <c r="AQ581">
        <v>45598.935115397711</v>
      </c>
      <c r="AR581">
        <v>13.861519868934925</v>
      </c>
      <c r="AS581" s="2">
        <f t="shared" si="57"/>
        <v>2165.1421063101952</v>
      </c>
      <c r="AT581" s="2">
        <f t="shared" si="58"/>
        <v>0.18777188356130736</v>
      </c>
      <c r="AV581">
        <f t="shared" si="59"/>
        <v>1323941.0055282745</v>
      </c>
      <c r="AW581">
        <f t="shared" si="60"/>
        <v>1340553.0517780948</v>
      </c>
      <c r="AY581">
        <f t="shared" si="61"/>
        <v>0</v>
      </c>
      <c r="AZ581">
        <f t="shared" si="62"/>
        <v>1</v>
      </c>
    </row>
    <row r="582" spans="1:52" x14ac:dyDescent="0.2">
      <c r="A582">
        <f t="shared" si="63"/>
        <v>578</v>
      </c>
      <c r="B582">
        <v>2.0754938351842042E-2</v>
      </c>
      <c r="C582">
        <v>2.7245324395092026E-2</v>
      </c>
      <c r="D582">
        <v>5.8753002739929672E-2</v>
      </c>
      <c r="E582">
        <v>3.4420200852677718E-2</v>
      </c>
      <c r="F582">
        <v>3.3084681353436371E-3</v>
      </c>
      <c r="G582">
        <v>3.476599228077447E-3</v>
      </c>
      <c r="H582">
        <v>2.1636037692733309E-2</v>
      </c>
      <c r="I582">
        <v>0.13295004077117856</v>
      </c>
      <c r="J582">
        <v>0</v>
      </c>
      <c r="K582">
        <v>0.42670534288336259</v>
      </c>
      <c r="L582">
        <v>0.19716208016651229</v>
      </c>
      <c r="M582">
        <v>0.80283791983348773</v>
      </c>
      <c r="N582">
        <v>5.4528006605043047E-2</v>
      </c>
      <c r="O582" s="72">
        <v>0.99826548939921067</v>
      </c>
      <c r="P582">
        <v>0.99999998095575438</v>
      </c>
      <c r="Q582">
        <v>0.97219188105753662</v>
      </c>
      <c r="R582">
        <v>0.51148310775390904</v>
      </c>
      <c r="S582">
        <v>0.40100511952472506</v>
      </c>
      <c r="T582">
        <v>0.23117590752155659</v>
      </c>
      <c r="U582">
        <v>0.76286984501137778</v>
      </c>
      <c r="V582">
        <v>0.67979987275358333</v>
      </c>
      <c r="W582">
        <v>0.54481550136980617</v>
      </c>
      <c r="X582">
        <v>0.4863130007816252</v>
      </c>
      <c r="Y582">
        <v>0.501356315461712</v>
      </c>
      <c r="Z582">
        <v>0.49204572846258399</v>
      </c>
      <c r="AA582">
        <v>0.70062505143486464</v>
      </c>
      <c r="AB582">
        <v>0.76561599971770578</v>
      </c>
      <c r="AC582">
        <v>0.72313144462518486</v>
      </c>
      <c r="AD582">
        <v>0.59965255617547775</v>
      </c>
      <c r="AE582">
        <v>240.34199758748838</v>
      </c>
      <c r="AF582">
        <v>1084.2989153387387</v>
      </c>
      <c r="AG582">
        <v>1859.2779010671729</v>
      </c>
      <c r="AH582">
        <v>11707.179943890798</v>
      </c>
      <c r="AI582">
        <v>17966.833305114134</v>
      </c>
      <c r="AJ582">
        <v>37395.947891145806</v>
      </c>
      <c r="AK582">
        <v>16486.07899939948</v>
      </c>
      <c r="AL582">
        <v>2646.0786100610148</v>
      </c>
      <c r="AM582">
        <v>428.21603432808382</v>
      </c>
      <c r="AO582">
        <v>42608.479077155564</v>
      </c>
      <c r="AP582">
        <v>12.585685191547547</v>
      </c>
      <c r="AQ582">
        <v>47197.885369731055</v>
      </c>
      <c r="AR582">
        <v>12.757151363616503</v>
      </c>
      <c r="AS582" s="2">
        <f t="shared" ref="AS582:AS645" si="64">AQ582-AO582</f>
        <v>4589.4062925754915</v>
      </c>
      <c r="AT582" s="2">
        <f t="shared" ref="AT582:AT645" si="65">AR582-AP582</f>
        <v>0.1714661720689552</v>
      </c>
      <c r="AV582">
        <f t="shared" ref="AV582:AV645" si="66">$AW$1*AP582-AO582</f>
        <v>1215960.0400775992</v>
      </c>
      <c r="AW582">
        <f t="shared" ref="AW582:AW645" si="67">$AW$1*AR582-AQ582</f>
        <v>1228517.2509919191</v>
      </c>
      <c r="AY582">
        <f t="shared" ref="AY582:AY645" si="68">IF(AV582=MAX($AV582:$AW582),1,0)</f>
        <v>0</v>
      </c>
      <c r="AZ582">
        <f t="shared" ref="AZ582:AZ645" si="69">IF(AW582=MAX($AV582:$AW582),1,0)</f>
        <v>1</v>
      </c>
    </row>
    <row r="583" spans="1:52" x14ac:dyDescent="0.2">
      <c r="A583">
        <f t="shared" si="63"/>
        <v>579</v>
      </c>
      <c r="B583">
        <v>2.2989822844731566E-2</v>
      </c>
      <c r="C583">
        <v>3.6030558844892882E-2</v>
      </c>
      <c r="D583">
        <v>4.6770584080443767E-2</v>
      </c>
      <c r="E583">
        <v>2.0624639353983176E-2</v>
      </c>
      <c r="F583">
        <v>3.3335583322474946E-3</v>
      </c>
      <c r="G583">
        <v>2.8927585940481237E-3</v>
      </c>
      <c r="H583">
        <v>4.7060504360333155E-2</v>
      </c>
      <c r="I583">
        <v>0.13263931487739877</v>
      </c>
      <c r="J583">
        <v>0</v>
      </c>
      <c r="K583">
        <v>0.39564391329648657</v>
      </c>
      <c r="L583">
        <v>0.12654509731008595</v>
      </c>
      <c r="M583">
        <v>0.8734549026899141</v>
      </c>
      <c r="N583">
        <v>3.4562551177464117E-2</v>
      </c>
      <c r="O583" s="72">
        <v>0.99835124785850593</v>
      </c>
      <c r="P583">
        <v>0.99170864630023592</v>
      </c>
      <c r="Q583">
        <v>0.97096946824748243</v>
      </c>
      <c r="R583">
        <v>0.48114804675572254</v>
      </c>
      <c r="S583">
        <v>0.36025892456734021</v>
      </c>
      <c r="T583">
        <v>0.18521023601391429</v>
      </c>
      <c r="U583">
        <v>0.77357863659641457</v>
      </c>
      <c r="V583">
        <v>0.70079964658257987</v>
      </c>
      <c r="W583">
        <v>0.52480755088437392</v>
      </c>
      <c r="X583">
        <v>0.46716895396072788</v>
      </c>
      <c r="Y583">
        <v>0.42244468587337297</v>
      </c>
      <c r="Z583">
        <v>0.46810445290803959</v>
      </c>
      <c r="AA583">
        <v>0.70882399011619468</v>
      </c>
      <c r="AB583">
        <v>0.82683915769492844</v>
      </c>
      <c r="AC583">
        <v>0.82024057823642138</v>
      </c>
      <c r="AD583">
        <v>0.70085750803493985</v>
      </c>
      <c r="AE583">
        <v>161.68336895493059</v>
      </c>
      <c r="AF583">
        <v>990.60944669180844</v>
      </c>
      <c r="AG583">
        <v>1785.0715399288551</v>
      </c>
      <c r="AH583">
        <v>13898.857359724427</v>
      </c>
      <c r="AI583">
        <v>11686.417711724303</v>
      </c>
      <c r="AJ583">
        <v>36272.252615393394</v>
      </c>
      <c r="AK583">
        <v>11544.798799449654</v>
      </c>
      <c r="AL583">
        <v>1354.8844813435653</v>
      </c>
      <c r="AM583">
        <v>387.89567711495744</v>
      </c>
      <c r="AO583">
        <v>45003.105379105727</v>
      </c>
      <c r="AP583">
        <v>13.652836794369614</v>
      </c>
      <c r="AQ583">
        <v>46785.657152789383</v>
      </c>
      <c r="AR583">
        <v>13.921168748579491</v>
      </c>
      <c r="AS583" s="2">
        <f t="shared" si="64"/>
        <v>1782.5517736836555</v>
      </c>
      <c r="AT583" s="2">
        <f t="shared" si="65"/>
        <v>0.26833195420987721</v>
      </c>
      <c r="AV583">
        <f t="shared" si="66"/>
        <v>1320280.5740578556</v>
      </c>
      <c r="AW583">
        <f t="shared" si="67"/>
        <v>1345331.2177051597</v>
      </c>
      <c r="AY583">
        <f t="shared" si="68"/>
        <v>0</v>
      </c>
      <c r="AZ583">
        <f t="shared" si="69"/>
        <v>1</v>
      </c>
    </row>
    <row r="584" spans="1:52" x14ac:dyDescent="0.2">
      <c r="A584">
        <f t="shared" si="63"/>
        <v>580</v>
      </c>
      <c r="B584">
        <v>2.703373607958115E-2</v>
      </c>
      <c r="C584">
        <v>3.097519969813374E-2</v>
      </c>
      <c r="D584">
        <v>5.8979269975318327E-2</v>
      </c>
      <c r="E584">
        <v>8.0360926369376917E-3</v>
      </c>
      <c r="F584">
        <v>3.3669297837256584E-3</v>
      </c>
      <c r="G584">
        <v>8.2106875325608109E-3</v>
      </c>
      <c r="H584">
        <v>3.6161730257421199E-2</v>
      </c>
      <c r="I584">
        <v>0.12100750398480774</v>
      </c>
      <c r="J584">
        <v>0</v>
      </c>
      <c r="K584">
        <v>0.45673335077052679</v>
      </c>
      <c r="L584">
        <v>0.24534622602303457</v>
      </c>
      <c r="M584">
        <v>0.75465377397696543</v>
      </c>
      <c r="N584">
        <v>4.586697470142681E-2</v>
      </c>
      <c r="O584" s="72">
        <v>0.9987805762930726</v>
      </c>
      <c r="P584">
        <v>0.999546611054143</v>
      </c>
      <c r="Q584">
        <v>0.99774116423055925</v>
      </c>
      <c r="R584">
        <v>0.44544211750952067</v>
      </c>
      <c r="S584">
        <v>0.39236775718191752</v>
      </c>
      <c r="T584">
        <v>0.15121620801804225</v>
      </c>
      <c r="U584">
        <v>0.78019230874578416</v>
      </c>
      <c r="V584">
        <v>0.67753229506144863</v>
      </c>
      <c r="W584">
        <v>0.45070065033360207</v>
      </c>
      <c r="X584">
        <v>0.43530769153958176</v>
      </c>
      <c r="Y584">
        <v>0.46057421556909273</v>
      </c>
      <c r="Z584">
        <v>0.49234572265254728</v>
      </c>
      <c r="AA584">
        <v>0.66410584703674669</v>
      </c>
      <c r="AB584">
        <v>0.8625781655479694</v>
      </c>
      <c r="AC584">
        <v>0.65061764690848234</v>
      </c>
      <c r="AD584">
        <v>0.57254129553625344</v>
      </c>
      <c r="AE584">
        <v>181.79190957004593</v>
      </c>
      <c r="AF584">
        <v>988.43472655875826</v>
      </c>
      <c r="AG584">
        <v>1188.1577884545973</v>
      </c>
      <c r="AH584">
        <v>9270.4312188074036</v>
      </c>
      <c r="AI584">
        <v>12729.239346947536</v>
      </c>
      <c r="AJ584">
        <v>31880.922376773673</v>
      </c>
      <c r="AK584">
        <v>13221.970821384006</v>
      </c>
      <c r="AL584">
        <v>2468.6683487436067</v>
      </c>
      <c r="AM584">
        <v>439.39291057325408</v>
      </c>
      <c r="AO584">
        <v>47819.237373731732</v>
      </c>
      <c r="AP584">
        <v>13.612651637258757</v>
      </c>
      <c r="AQ584">
        <v>47141.756829345701</v>
      </c>
      <c r="AR584">
        <v>13.93460399278144</v>
      </c>
      <c r="AS584" s="2">
        <f t="shared" si="64"/>
        <v>-677.4805443860314</v>
      </c>
      <c r="AT584" s="2">
        <f t="shared" si="65"/>
        <v>0.32195235552268286</v>
      </c>
      <c r="AV584">
        <f t="shared" si="66"/>
        <v>1313445.926352144</v>
      </c>
      <c r="AW584">
        <f t="shared" si="67"/>
        <v>1346318.6424487985</v>
      </c>
      <c r="AY584">
        <f t="shared" si="68"/>
        <v>0</v>
      </c>
      <c r="AZ584">
        <f t="shared" si="69"/>
        <v>1</v>
      </c>
    </row>
    <row r="585" spans="1:52" x14ac:dyDescent="0.2">
      <c r="A585">
        <f t="shared" si="63"/>
        <v>581</v>
      </c>
      <c r="B585">
        <v>2.9115161902501741E-2</v>
      </c>
      <c r="C585">
        <v>4.0899633221605947E-2</v>
      </c>
      <c r="D585">
        <v>2.6206810039587563E-2</v>
      </c>
      <c r="E585">
        <v>1.7107520195704273E-2</v>
      </c>
      <c r="F585">
        <v>3.4264710201181714E-3</v>
      </c>
      <c r="G585">
        <v>1.2099173845966371E-2</v>
      </c>
      <c r="H585">
        <v>2.6005298879420657E-2</v>
      </c>
      <c r="I585">
        <v>0.14121825058675508</v>
      </c>
      <c r="J585">
        <v>0</v>
      </c>
      <c r="K585">
        <v>0.41229566805015921</v>
      </c>
      <c r="L585">
        <v>0.22296183417472837</v>
      </c>
      <c r="M585">
        <v>0.77703816582527163</v>
      </c>
      <c r="N585">
        <v>6.8215988425048835E-2</v>
      </c>
      <c r="O585" s="72">
        <v>0.99457099510548208</v>
      </c>
      <c r="P585">
        <v>0.99999625789938729</v>
      </c>
      <c r="Q585">
        <v>0.96820122986420143</v>
      </c>
      <c r="R585">
        <v>0.45454584293984646</v>
      </c>
      <c r="S585">
        <v>0.36473961995223181</v>
      </c>
      <c r="T585">
        <v>0.18336347495959016</v>
      </c>
      <c r="U585">
        <v>0.77773226763242254</v>
      </c>
      <c r="V585">
        <v>0.7049731889866202</v>
      </c>
      <c r="W585">
        <v>0.49236391241336191</v>
      </c>
      <c r="X585">
        <v>0.49039476115642988</v>
      </c>
      <c r="Y585">
        <v>0.45585205777106796</v>
      </c>
      <c r="Z585">
        <v>0.49558788816401667</v>
      </c>
      <c r="AA585">
        <v>0.6764427576348746</v>
      </c>
      <c r="AB585">
        <v>0.83284483836035095</v>
      </c>
      <c r="AC585">
        <v>0.82029108519177818</v>
      </c>
      <c r="AD585">
        <v>0.64305318202250672</v>
      </c>
      <c r="AE585">
        <v>162.20549945916605</v>
      </c>
      <c r="AF585">
        <v>1011.7906024074726</v>
      </c>
      <c r="AG585">
        <v>1286.5534795607055</v>
      </c>
      <c r="AH585">
        <v>8525.4381334067875</v>
      </c>
      <c r="AI585">
        <v>16350.765382413701</v>
      </c>
      <c r="AJ585">
        <v>36263.380672514533</v>
      </c>
      <c r="AK585">
        <v>11151.76434553527</v>
      </c>
      <c r="AL585">
        <v>2292.4174580160202</v>
      </c>
      <c r="AM585">
        <v>393.94940009232727</v>
      </c>
      <c r="AO585">
        <v>46228.237365802634</v>
      </c>
      <c r="AP585">
        <v>13.685228062553948</v>
      </c>
      <c r="AQ585">
        <v>46495.088597612565</v>
      </c>
      <c r="AR585">
        <v>13.923495344388497</v>
      </c>
      <c r="AS585" s="2">
        <f t="shared" si="64"/>
        <v>266.85123180993105</v>
      </c>
      <c r="AT585" s="2">
        <f t="shared" si="65"/>
        <v>0.23826728183454904</v>
      </c>
      <c r="AV585">
        <f t="shared" si="66"/>
        <v>1322294.5688895923</v>
      </c>
      <c r="AW585">
        <f t="shared" si="67"/>
        <v>1345854.4458412372</v>
      </c>
      <c r="AY585">
        <f t="shared" si="68"/>
        <v>0</v>
      </c>
      <c r="AZ585">
        <f t="shared" si="69"/>
        <v>1</v>
      </c>
    </row>
    <row r="586" spans="1:52" x14ac:dyDescent="0.2">
      <c r="A586">
        <f t="shared" si="63"/>
        <v>582</v>
      </c>
      <c r="B586">
        <v>2.2698587986913168E-2</v>
      </c>
      <c r="C586">
        <v>2.3806993011354059E-2</v>
      </c>
      <c r="D586">
        <v>4.6714684222034619E-2</v>
      </c>
      <c r="E586">
        <v>1.5972385804947241E-3</v>
      </c>
      <c r="F586">
        <v>3.3427001594017458E-3</v>
      </c>
      <c r="G586">
        <v>2.4233766015122282E-2</v>
      </c>
      <c r="H586">
        <v>2.6646274111796618E-2</v>
      </c>
      <c r="I586">
        <v>0.1158315742347318</v>
      </c>
      <c r="J586">
        <v>0</v>
      </c>
      <c r="K586">
        <v>0.40751120972713606</v>
      </c>
      <c r="L586">
        <v>0.19048502169062881</v>
      </c>
      <c r="M586">
        <v>0.80951497830937114</v>
      </c>
      <c r="N586">
        <v>5.0163177928640862E-2</v>
      </c>
      <c r="O586" s="72">
        <v>0.99502361234721048</v>
      </c>
      <c r="P586">
        <v>0.98948982921047779</v>
      </c>
      <c r="Q586">
        <v>0.85122950951151388</v>
      </c>
      <c r="R586">
        <v>0.44388408877533447</v>
      </c>
      <c r="S586">
        <v>0.37479271011680393</v>
      </c>
      <c r="T586">
        <v>0.19919841181798348</v>
      </c>
      <c r="U586">
        <v>0.76535962645772038</v>
      </c>
      <c r="V586">
        <v>0.65577994090208835</v>
      </c>
      <c r="W586">
        <v>0.52927463653152718</v>
      </c>
      <c r="X586">
        <v>0.4587699833573351</v>
      </c>
      <c r="Y586">
        <v>0.4775804216835472</v>
      </c>
      <c r="Z586">
        <v>0.42154678185594463</v>
      </c>
      <c r="AA586">
        <v>0.64191594774505845</v>
      </c>
      <c r="AB586">
        <v>0.72887175729403297</v>
      </c>
      <c r="AC586">
        <v>0.69402872460493381</v>
      </c>
      <c r="AD586">
        <v>0.57255860953701243</v>
      </c>
      <c r="AE586">
        <v>175.57204745905455</v>
      </c>
      <c r="AF586">
        <v>1030.9310104361161</v>
      </c>
      <c r="AG586">
        <v>2497.1043316417426</v>
      </c>
      <c r="AH586">
        <v>11725.59274922363</v>
      </c>
      <c r="AI586">
        <v>15079.923775521607</v>
      </c>
      <c r="AJ586">
        <v>43829.890189947946</v>
      </c>
      <c r="AK586">
        <v>16652.846385212681</v>
      </c>
      <c r="AL586">
        <v>1399.8305954398618</v>
      </c>
      <c r="AM586">
        <v>487.94718413503955</v>
      </c>
      <c r="AO586">
        <v>48311.610339687402</v>
      </c>
      <c r="AP586">
        <v>12.080008162401233</v>
      </c>
      <c r="AQ586">
        <v>48981.326673052259</v>
      </c>
      <c r="AR586">
        <v>12.154490866287343</v>
      </c>
      <c r="AS586" s="2">
        <f t="shared" si="64"/>
        <v>669.71633336485684</v>
      </c>
      <c r="AT586" s="2">
        <f t="shared" si="65"/>
        <v>7.4482703886110002E-2</v>
      </c>
      <c r="AV586">
        <f t="shared" si="66"/>
        <v>1159689.2059004358</v>
      </c>
      <c r="AW586">
        <f t="shared" si="67"/>
        <v>1166467.7599556821</v>
      </c>
      <c r="AY586">
        <f t="shared" si="68"/>
        <v>0</v>
      </c>
      <c r="AZ586">
        <f t="shared" si="69"/>
        <v>1</v>
      </c>
    </row>
    <row r="587" spans="1:52" x14ac:dyDescent="0.2">
      <c r="A587">
        <f t="shared" si="63"/>
        <v>583</v>
      </c>
      <c r="B587">
        <v>2.0798169283511879E-2</v>
      </c>
      <c r="C587">
        <v>3.1557403062571328E-2</v>
      </c>
      <c r="D587">
        <v>5.6076285648451685E-2</v>
      </c>
      <c r="E587">
        <v>3.1283374138884202E-3</v>
      </c>
      <c r="F587">
        <v>3.329166467451438E-3</v>
      </c>
      <c r="G587">
        <v>5.585961583721895E-3</v>
      </c>
      <c r="H587">
        <v>3.154176482389881E-2</v>
      </c>
      <c r="I587">
        <v>0.14533114100521649</v>
      </c>
      <c r="J587">
        <v>0</v>
      </c>
      <c r="K587">
        <v>0.41545147521554221</v>
      </c>
      <c r="L587">
        <v>0.18941849214110595</v>
      </c>
      <c r="M587">
        <v>0.81058150785889405</v>
      </c>
      <c r="N587">
        <v>6.6554158882109138E-2</v>
      </c>
      <c r="O587" s="72">
        <v>0.99999761412298149</v>
      </c>
      <c r="P587">
        <v>0.99999952493547828</v>
      </c>
      <c r="Q587">
        <v>0.92196573649595281</v>
      </c>
      <c r="R587">
        <v>0.55333848889977055</v>
      </c>
      <c r="S587">
        <v>0.41413915824392544</v>
      </c>
      <c r="T587">
        <v>0.20907123434026531</v>
      </c>
      <c r="U587">
        <v>0.75659925747575674</v>
      </c>
      <c r="V587">
        <v>0.70099220312749311</v>
      </c>
      <c r="W587">
        <v>0.50474870243981018</v>
      </c>
      <c r="X587">
        <v>0.41319155595466356</v>
      </c>
      <c r="Y587">
        <v>0.50763214868662643</v>
      </c>
      <c r="Z587">
        <v>0.44706202696346276</v>
      </c>
      <c r="AA587">
        <v>0.74662953037367052</v>
      </c>
      <c r="AB587">
        <v>0.80828654142029577</v>
      </c>
      <c r="AC587">
        <v>0.67153784518489679</v>
      </c>
      <c r="AD587">
        <v>0.62600633247977555</v>
      </c>
      <c r="AE587">
        <v>196.79078569318361</v>
      </c>
      <c r="AF587">
        <v>903.95200717886939</v>
      </c>
      <c r="AG587">
        <v>1228.8785652446177</v>
      </c>
      <c r="AH587">
        <v>11430.67556686309</v>
      </c>
      <c r="AI587">
        <v>11826.937105622797</v>
      </c>
      <c r="AJ587">
        <v>39805.495535837734</v>
      </c>
      <c r="AK587">
        <v>11909.352668817353</v>
      </c>
      <c r="AL587">
        <v>1895.537911280145</v>
      </c>
      <c r="AM587">
        <v>322.08281181647192</v>
      </c>
      <c r="AO587">
        <v>39373.783178694423</v>
      </c>
      <c r="AP587">
        <v>13.104064747589181</v>
      </c>
      <c r="AQ587">
        <v>45581.267603781627</v>
      </c>
      <c r="AR587">
        <v>13.287755381468518</v>
      </c>
      <c r="AS587" s="2">
        <f t="shared" si="64"/>
        <v>6207.4844250872047</v>
      </c>
      <c r="AT587" s="2">
        <f t="shared" si="65"/>
        <v>0.18369063387933693</v>
      </c>
      <c r="AV587">
        <f t="shared" si="66"/>
        <v>1271032.6915802239</v>
      </c>
      <c r="AW587">
        <f t="shared" si="67"/>
        <v>1283194.2705430703</v>
      </c>
      <c r="AY587">
        <f t="shared" si="68"/>
        <v>0</v>
      </c>
      <c r="AZ587">
        <f t="shared" si="69"/>
        <v>1</v>
      </c>
    </row>
    <row r="588" spans="1:52" x14ac:dyDescent="0.2">
      <c r="A588">
        <f t="shared" si="63"/>
        <v>584</v>
      </c>
      <c r="B588">
        <v>3.0080540467057215E-2</v>
      </c>
      <c r="C588">
        <v>4.5182935227583654E-2</v>
      </c>
      <c r="D588">
        <v>3.5260348276308244E-2</v>
      </c>
      <c r="E588">
        <v>6.0807500799481204E-3</v>
      </c>
      <c r="F588">
        <v>3.3752370658610698E-3</v>
      </c>
      <c r="G588">
        <v>1.0353882482845177E-2</v>
      </c>
      <c r="H588">
        <v>2.186869777972281E-2</v>
      </c>
      <c r="I588">
        <v>0.12281254337130187</v>
      </c>
      <c r="J588">
        <v>0</v>
      </c>
      <c r="K588">
        <v>0.48766075712923729</v>
      </c>
      <c r="L588">
        <v>0.23050539064323372</v>
      </c>
      <c r="M588">
        <v>0.76949460935676628</v>
      </c>
      <c r="N588">
        <v>6.0371276066832902E-2</v>
      </c>
      <c r="O588" s="72">
        <v>0.99996512044409425</v>
      </c>
      <c r="P588">
        <v>0.99874653152528425</v>
      </c>
      <c r="Q588">
        <v>0.96061235724989802</v>
      </c>
      <c r="R588">
        <v>0.44934072647274559</v>
      </c>
      <c r="S588">
        <v>0.40275806783690382</v>
      </c>
      <c r="T588">
        <v>0.18615926983697451</v>
      </c>
      <c r="U588">
        <v>0.77271259576016971</v>
      </c>
      <c r="V588">
        <v>0.6766760958112481</v>
      </c>
      <c r="W588">
        <v>0.45769228192992817</v>
      </c>
      <c r="X588">
        <v>0.42838258416884289</v>
      </c>
      <c r="Y588">
        <v>0.41060205199618077</v>
      </c>
      <c r="Z588">
        <v>0.40827097110693</v>
      </c>
      <c r="AA588">
        <v>0.62865160258983455</v>
      </c>
      <c r="AB588">
        <v>0.88049823193097287</v>
      </c>
      <c r="AC588">
        <v>0.71242461305254567</v>
      </c>
      <c r="AD588">
        <v>0.65217394588061384</v>
      </c>
      <c r="AE588">
        <v>163.05783901266932</v>
      </c>
      <c r="AF588">
        <v>988.76411164228557</v>
      </c>
      <c r="AG588">
        <v>2240.6583039015986</v>
      </c>
      <c r="AH588">
        <v>19566.024151278849</v>
      </c>
      <c r="AI588">
        <v>12173.572327731648</v>
      </c>
      <c r="AJ588">
        <v>36893.603181319319</v>
      </c>
      <c r="AK588">
        <v>15640.839567294088</v>
      </c>
      <c r="AL588">
        <v>1882.098012200905</v>
      </c>
      <c r="AM588">
        <v>370.66657680542528</v>
      </c>
      <c r="AO588">
        <v>46841.278769385819</v>
      </c>
      <c r="AP588">
        <v>14.07469164749673</v>
      </c>
      <c r="AQ588">
        <v>46511.950191902055</v>
      </c>
      <c r="AR588">
        <v>14.401011156797161</v>
      </c>
      <c r="AS588" s="2">
        <f t="shared" si="64"/>
        <v>-329.32857748376409</v>
      </c>
      <c r="AT588" s="2">
        <f t="shared" si="65"/>
        <v>0.32631950930043097</v>
      </c>
      <c r="AV588">
        <f t="shared" si="66"/>
        <v>1360627.8859802871</v>
      </c>
      <c r="AW588">
        <f t="shared" si="67"/>
        <v>1393589.165487814</v>
      </c>
      <c r="AY588">
        <f t="shared" si="68"/>
        <v>0</v>
      </c>
      <c r="AZ588">
        <f t="shared" si="69"/>
        <v>1</v>
      </c>
    </row>
    <row r="589" spans="1:52" x14ac:dyDescent="0.2">
      <c r="A589">
        <f t="shared" si="63"/>
        <v>585</v>
      </c>
      <c r="B589">
        <v>1.532459914875319E-2</v>
      </c>
      <c r="C589">
        <v>2.8642043583368068E-2</v>
      </c>
      <c r="D589">
        <v>4.4086182520637673E-2</v>
      </c>
      <c r="E589">
        <v>1.600097225339181E-2</v>
      </c>
      <c r="F589">
        <v>3.3197252108441268E-3</v>
      </c>
      <c r="G589">
        <v>8.0048025358609737E-3</v>
      </c>
      <c r="H589">
        <v>3.0857097703418601E-2</v>
      </c>
      <c r="I589">
        <v>0.14137291168675303</v>
      </c>
      <c r="J589">
        <v>0</v>
      </c>
      <c r="K589">
        <v>0.44473403770688458</v>
      </c>
      <c r="L589">
        <v>0.26660261228136828</v>
      </c>
      <c r="M589">
        <v>0.73339738771863172</v>
      </c>
      <c r="N589">
        <v>7.9850758406428413E-2</v>
      </c>
      <c r="O589" s="72">
        <v>0.9947276830874775</v>
      </c>
      <c r="P589">
        <v>0.99977869306240519</v>
      </c>
      <c r="Q589">
        <v>0.99058920738474476</v>
      </c>
      <c r="R589">
        <v>0.48458375479138738</v>
      </c>
      <c r="S589">
        <v>0.53697049450642687</v>
      </c>
      <c r="T589">
        <v>0.21971714135827403</v>
      </c>
      <c r="U589">
        <v>0.7736716394271862</v>
      </c>
      <c r="V589">
        <v>0.60610458022000491</v>
      </c>
      <c r="W589">
        <v>0.62964620670943072</v>
      </c>
      <c r="X589">
        <v>0.39927148048308081</v>
      </c>
      <c r="Y589">
        <v>0.47818608536674123</v>
      </c>
      <c r="Z589">
        <v>0.46539306620735199</v>
      </c>
      <c r="AA589">
        <v>0.6923710784395446</v>
      </c>
      <c r="AB589">
        <v>0.8493561606845339</v>
      </c>
      <c r="AC589">
        <v>0.67667189520676196</v>
      </c>
      <c r="AD589">
        <v>0.55001097233675822</v>
      </c>
      <c r="AE589">
        <v>194.07029349254591</v>
      </c>
      <c r="AF589">
        <v>967.93546664197527</v>
      </c>
      <c r="AG589">
        <v>1856.3279819169529</v>
      </c>
      <c r="AH589">
        <v>11095.586416151238</v>
      </c>
      <c r="AI589">
        <v>12192.134315053099</v>
      </c>
      <c r="AJ589">
        <v>45426.24637265224</v>
      </c>
      <c r="AK589">
        <v>15601.855075831641</v>
      </c>
      <c r="AL589">
        <v>1420.4242092680399</v>
      </c>
      <c r="AM589">
        <v>347.40786291373848</v>
      </c>
      <c r="AO589">
        <v>41610.853514753966</v>
      </c>
      <c r="AP589">
        <v>13.587861793766141</v>
      </c>
      <c r="AQ589">
        <v>45812.601379083637</v>
      </c>
      <c r="AR589">
        <v>13.765398379873462</v>
      </c>
      <c r="AS589" s="2">
        <f t="shared" si="64"/>
        <v>4201.7478643296708</v>
      </c>
      <c r="AT589" s="2">
        <f t="shared" si="65"/>
        <v>0.17753658610732082</v>
      </c>
      <c r="AV589">
        <f t="shared" si="66"/>
        <v>1317175.3258618601</v>
      </c>
      <c r="AW589">
        <f t="shared" si="67"/>
        <v>1330727.2366082624</v>
      </c>
      <c r="AY589">
        <f t="shared" si="68"/>
        <v>0</v>
      </c>
      <c r="AZ589">
        <f t="shared" si="69"/>
        <v>1</v>
      </c>
    </row>
    <row r="590" spans="1:52" x14ac:dyDescent="0.2">
      <c r="A590">
        <f t="shared" si="63"/>
        <v>586</v>
      </c>
      <c r="B590">
        <v>2.2216522301268568E-2</v>
      </c>
      <c r="C590">
        <v>4.7076579368550697E-2</v>
      </c>
      <c r="D590">
        <v>4.4669395393319711E-2</v>
      </c>
      <c r="E590">
        <v>2.1445463013631261E-2</v>
      </c>
      <c r="F590">
        <v>3.2862399645888635E-3</v>
      </c>
      <c r="G590">
        <v>1.0721018138441576E-2</v>
      </c>
      <c r="H590">
        <v>2.1248823056327019E-2</v>
      </c>
      <c r="I590">
        <v>0.14490294978792362</v>
      </c>
      <c r="J590">
        <v>0</v>
      </c>
      <c r="K590">
        <v>0.43577344228249171</v>
      </c>
      <c r="L590">
        <v>0.21656962991276474</v>
      </c>
      <c r="M590">
        <v>0.78343037008723526</v>
      </c>
      <c r="N590">
        <v>5.0731895915341503E-2</v>
      </c>
      <c r="O590" s="72">
        <v>0.99995737127518447</v>
      </c>
      <c r="P590">
        <v>0.99895551729476406</v>
      </c>
      <c r="Q590">
        <v>0.8913279086185637</v>
      </c>
      <c r="R590">
        <v>0.43758665910339989</v>
      </c>
      <c r="S590">
        <v>0.32889663914464129</v>
      </c>
      <c r="T590">
        <v>0.1587317772146335</v>
      </c>
      <c r="U590">
        <v>0.79988777019428081</v>
      </c>
      <c r="V590">
        <v>0.6774030995786714</v>
      </c>
      <c r="W590">
        <v>0.52115719067565014</v>
      </c>
      <c r="X590">
        <v>0.45128675067054491</v>
      </c>
      <c r="Y590">
        <v>0.47820911878428018</v>
      </c>
      <c r="Z590">
        <v>0.4182982754106504</v>
      </c>
      <c r="AA590">
        <v>0.68101373174519697</v>
      </c>
      <c r="AB590">
        <v>0.73316778761010859</v>
      </c>
      <c r="AC590">
        <v>0.68492610773782914</v>
      </c>
      <c r="AD590">
        <v>0.50996815273162655</v>
      </c>
      <c r="AE590">
        <v>213.55424854056665</v>
      </c>
      <c r="AF590">
        <v>939.47158668163434</v>
      </c>
      <c r="AG590">
        <v>1311.5240108435582</v>
      </c>
      <c r="AH590">
        <v>13998.484118647804</v>
      </c>
      <c r="AI590">
        <v>15183.962676454197</v>
      </c>
      <c r="AJ590">
        <v>42678.164063139891</v>
      </c>
      <c r="AK590">
        <v>12178.231648696528</v>
      </c>
      <c r="AL590">
        <v>1401.6350554170608</v>
      </c>
      <c r="AM590">
        <v>497.7127633692935</v>
      </c>
      <c r="AO590">
        <v>50134.780773318729</v>
      </c>
      <c r="AP590">
        <v>12.012331419794361</v>
      </c>
      <c r="AQ590">
        <v>48559.264673115664</v>
      </c>
      <c r="AR590">
        <v>12.111659058057485</v>
      </c>
      <c r="AS590" s="2">
        <f t="shared" si="64"/>
        <v>-1575.5161002030654</v>
      </c>
      <c r="AT590" s="2">
        <f t="shared" si="65"/>
        <v>9.932763826312474E-2</v>
      </c>
      <c r="AV590">
        <f t="shared" si="66"/>
        <v>1151098.3612061173</v>
      </c>
      <c r="AW590">
        <f t="shared" si="67"/>
        <v>1162606.641132633</v>
      </c>
      <c r="AY590">
        <f t="shared" si="68"/>
        <v>0</v>
      </c>
      <c r="AZ590">
        <f t="shared" si="69"/>
        <v>1</v>
      </c>
    </row>
    <row r="591" spans="1:52" x14ac:dyDescent="0.2">
      <c r="A591">
        <f t="shared" si="63"/>
        <v>587</v>
      </c>
      <c r="B591">
        <v>3.1539399478046515E-2</v>
      </c>
      <c r="C591">
        <v>3.6237608295627298E-2</v>
      </c>
      <c r="D591">
        <v>5.2219839020520409E-2</v>
      </c>
      <c r="E591">
        <v>1.6221376087814154E-2</v>
      </c>
      <c r="F591">
        <v>3.3648400015672264E-3</v>
      </c>
      <c r="G591">
        <v>3.8204633259962531E-3</v>
      </c>
      <c r="H591">
        <v>4.339590324041831E-2</v>
      </c>
      <c r="I591">
        <v>0.13842145775371995</v>
      </c>
      <c r="J591">
        <v>0</v>
      </c>
      <c r="K591">
        <v>0.41394489615189223</v>
      </c>
      <c r="L591">
        <v>0.117276022112717</v>
      </c>
      <c r="M591">
        <v>0.88272397788728296</v>
      </c>
      <c r="N591">
        <v>5.7705932791152326E-2</v>
      </c>
      <c r="O591" s="72">
        <v>0.99836826007087898</v>
      </c>
      <c r="P591">
        <v>0.98444450914116721</v>
      </c>
      <c r="Q591">
        <v>0.88052186169579938</v>
      </c>
      <c r="R591">
        <v>0.48991664475498009</v>
      </c>
      <c r="S591">
        <v>0.43675771890144499</v>
      </c>
      <c r="T591">
        <v>0.17092896245836176</v>
      </c>
      <c r="U591">
        <v>0.77179551512406674</v>
      </c>
      <c r="V591">
        <v>0.7045251154319121</v>
      </c>
      <c r="W591">
        <v>0.53371035053055438</v>
      </c>
      <c r="X591">
        <v>0.49093337181037688</v>
      </c>
      <c r="Y591">
        <v>0.46470873364030829</v>
      </c>
      <c r="Z591">
        <v>0.39195855480936631</v>
      </c>
      <c r="AA591">
        <v>0.67137899527828826</v>
      </c>
      <c r="AB591">
        <v>0.84424385880145558</v>
      </c>
      <c r="AC591">
        <v>0.73395745269178259</v>
      </c>
      <c r="AD591">
        <v>0.64152105972549534</v>
      </c>
      <c r="AE591">
        <v>218.24187768953132</v>
      </c>
      <c r="AF591">
        <v>973.60457817509621</v>
      </c>
      <c r="AG591">
        <v>1524.6018214350986</v>
      </c>
      <c r="AH591">
        <v>18012.446500172471</v>
      </c>
      <c r="AI591">
        <v>12098.886405201125</v>
      </c>
      <c r="AJ591">
        <v>32847.686321142217</v>
      </c>
      <c r="AK591">
        <v>18930.369134627108</v>
      </c>
      <c r="AL591">
        <v>1387.9612424171271</v>
      </c>
      <c r="AM591">
        <v>207.23254031511638</v>
      </c>
      <c r="AO591">
        <v>41774.165787876198</v>
      </c>
      <c r="AP591">
        <v>13.648506728346868</v>
      </c>
      <c r="AQ591">
        <v>44645.557385195592</v>
      </c>
      <c r="AR591">
        <v>13.918002392982359</v>
      </c>
      <c r="AS591" s="2">
        <f t="shared" si="64"/>
        <v>2871.3915973193944</v>
      </c>
      <c r="AT591" s="2">
        <f t="shared" si="65"/>
        <v>0.26949566463549068</v>
      </c>
      <c r="AV591">
        <f t="shared" si="66"/>
        <v>1323076.5070468108</v>
      </c>
      <c r="AW591">
        <f t="shared" si="67"/>
        <v>1347154.6819130403</v>
      </c>
      <c r="AY591">
        <f t="shared" si="68"/>
        <v>0</v>
      </c>
      <c r="AZ591">
        <f t="shared" si="69"/>
        <v>1</v>
      </c>
    </row>
    <row r="592" spans="1:52" x14ac:dyDescent="0.2">
      <c r="A592">
        <f t="shared" si="63"/>
        <v>588</v>
      </c>
      <c r="B592">
        <v>2.2627331861472498E-2</v>
      </c>
      <c r="C592">
        <v>4.7741071149639658E-2</v>
      </c>
      <c r="D592">
        <v>5.7858143443359933E-2</v>
      </c>
      <c r="E592">
        <v>2.0561703103424978E-2</v>
      </c>
      <c r="F592">
        <v>3.3765447254968661E-3</v>
      </c>
      <c r="G592">
        <v>1.4559931336132204E-2</v>
      </c>
      <c r="H592">
        <v>2.1184203286964957E-2</v>
      </c>
      <c r="I592">
        <v>0.12710061710104684</v>
      </c>
      <c r="J592">
        <v>0</v>
      </c>
      <c r="K592">
        <v>0.45305888659768856</v>
      </c>
      <c r="L592">
        <v>0.24338329995742103</v>
      </c>
      <c r="M592">
        <v>0.75661670004257897</v>
      </c>
      <c r="N592">
        <v>8.0138782260771313E-2</v>
      </c>
      <c r="O592" s="72">
        <v>0.99971112199188794</v>
      </c>
      <c r="P592">
        <v>0.99995111115454649</v>
      </c>
      <c r="Q592">
        <v>0.93291968624982924</v>
      </c>
      <c r="R592">
        <v>0.48148579583855833</v>
      </c>
      <c r="S592">
        <v>0.38067928732091016</v>
      </c>
      <c r="T592">
        <v>0.18791360595809337</v>
      </c>
      <c r="U592">
        <v>0.78073064060618458</v>
      </c>
      <c r="V592">
        <v>0.61526188005050542</v>
      </c>
      <c r="W592">
        <v>0.57754312972434363</v>
      </c>
      <c r="X592">
        <v>0.48720966649115516</v>
      </c>
      <c r="Y592">
        <v>0.48646815409001243</v>
      </c>
      <c r="Z592">
        <v>0.43747491488222373</v>
      </c>
      <c r="AA592">
        <v>0.62711651281460201</v>
      </c>
      <c r="AB592">
        <v>0.86577785975118904</v>
      </c>
      <c r="AC592">
        <v>0.73874861813646064</v>
      </c>
      <c r="AD592">
        <v>0.64950023065731799</v>
      </c>
      <c r="AE592">
        <v>178.68878599895098</v>
      </c>
      <c r="AF592">
        <v>1141.3529118688257</v>
      </c>
      <c r="AG592">
        <v>1719.243166520303</v>
      </c>
      <c r="AH592">
        <v>12538.849233188852</v>
      </c>
      <c r="AI592">
        <v>8447.990640560889</v>
      </c>
      <c r="AJ592">
        <v>35246.571698902881</v>
      </c>
      <c r="AK592">
        <v>18648.387130801439</v>
      </c>
      <c r="AL592">
        <v>1722.0350557587442</v>
      </c>
      <c r="AM592">
        <v>303.86306178228688</v>
      </c>
      <c r="AO592">
        <v>43358.405043772771</v>
      </c>
      <c r="AP592">
        <v>13.928347507246471</v>
      </c>
      <c r="AQ592">
        <v>45347.711600974973</v>
      </c>
      <c r="AR592">
        <v>14.239336832967529</v>
      </c>
      <c r="AS592" s="2">
        <f t="shared" si="64"/>
        <v>1989.3065572022024</v>
      </c>
      <c r="AT592" s="2">
        <f t="shared" si="65"/>
        <v>0.31098932572105831</v>
      </c>
      <c r="AV592">
        <f t="shared" si="66"/>
        <v>1349476.3456808743</v>
      </c>
      <c r="AW592">
        <f t="shared" si="67"/>
        <v>1378585.971695778</v>
      </c>
      <c r="AY592">
        <f t="shared" si="68"/>
        <v>0</v>
      </c>
      <c r="AZ592">
        <f t="shared" si="69"/>
        <v>1</v>
      </c>
    </row>
    <row r="593" spans="1:52" x14ac:dyDescent="0.2">
      <c r="A593">
        <f t="shared" si="63"/>
        <v>589</v>
      </c>
      <c r="B593">
        <v>3.4000784376998716E-2</v>
      </c>
      <c r="C593">
        <v>4.6077049932103709E-2</v>
      </c>
      <c r="D593">
        <v>3.3017057335318331E-2</v>
      </c>
      <c r="E593">
        <v>4.8048823706075897E-3</v>
      </c>
      <c r="F593">
        <v>3.285990181027279E-3</v>
      </c>
      <c r="G593">
        <v>4.5589901032708768E-3</v>
      </c>
      <c r="H593">
        <v>2.4862676015915915E-2</v>
      </c>
      <c r="I593">
        <v>0.1123914379276663</v>
      </c>
      <c r="J593">
        <v>0</v>
      </c>
      <c r="K593">
        <v>0.34526185249122343</v>
      </c>
      <c r="L593">
        <v>0.22981667504264369</v>
      </c>
      <c r="M593">
        <v>0.77018332495735631</v>
      </c>
      <c r="N593">
        <v>5.5738296633343162E-2</v>
      </c>
      <c r="O593" s="72">
        <v>0.99738803398519615</v>
      </c>
      <c r="P593">
        <v>0.98868662849675082</v>
      </c>
      <c r="Q593">
        <v>0.99146553663921544</v>
      </c>
      <c r="R593">
        <v>0.46603928863900634</v>
      </c>
      <c r="S593">
        <v>0.46653554427870392</v>
      </c>
      <c r="T593">
        <v>0.21965005074355148</v>
      </c>
      <c r="U593">
        <v>0.74610836864895924</v>
      </c>
      <c r="V593">
        <v>0.66010920017944286</v>
      </c>
      <c r="W593">
        <v>0.60741441937639529</v>
      </c>
      <c r="X593">
        <v>0.47235088918402768</v>
      </c>
      <c r="Y593">
        <v>0.45322870203598886</v>
      </c>
      <c r="Z593">
        <v>0.46146881658507033</v>
      </c>
      <c r="AA593">
        <v>0.65337681653457058</v>
      </c>
      <c r="AB593">
        <v>0.85738371701647764</v>
      </c>
      <c r="AC593">
        <v>0.67555519788859941</v>
      </c>
      <c r="AD593">
        <v>0.62238536741655737</v>
      </c>
      <c r="AE593">
        <v>206.76962282909335</v>
      </c>
      <c r="AF593">
        <v>1128.2267427435831</v>
      </c>
      <c r="AG593">
        <v>1504.3430918309634</v>
      </c>
      <c r="AH593">
        <v>11261.15354705211</v>
      </c>
      <c r="AI593">
        <v>10133.212666158539</v>
      </c>
      <c r="AJ593">
        <v>37701.797693020046</v>
      </c>
      <c r="AK593">
        <v>19147.784176154262</v>
      </c>
      <c r="AL593">
        <v>2306.9634452224836</v>
      </c>
      <c r="AM593">
        <v>391.66374926412431</v>
      </c>
      <c r="AO593">
        <v>44078.847548601268</v>
      </c>
      <c r="AP593">
        <v>13.727377591533671</v>
      </c>
      <c r="AQ593">
        <v>46874.607377675573</v>
      </c>
      <c r="AR593">
        <v>13.975304454068537</v>
      </c>
      <c r="AS593" s="2">
        <f t="shared" si="64"/>
        <v>2795.7598290743044</v>
      </c>
      <c r="AT593" s="2">
        <f t="shared" si="65"/>
        <v>0.24792686253486629</v>
      </c>
      <c r="AV593">
        <f t="shared" si="66"/>
        <v>1328658.9116047658</v>
      </c>
      <c r="AW593">
        <f t="shared" si="67"/>
        <v>1350655.8380291781</v>
      </c>
      <c r="AY593">
        <f t="shared" si="68"/>
        <v>0</v>
      </c>
      <c r="AZ593">
        <f t="shared" si="69"/>
        <v>1</v>
      </c>
    </row>
    <row r="594" spans="1:52" x14ac:dyDescent="0.2">
      <c r="A594">
        <f t="shared" si="63"/>
        <v>590</v>
      </c>
      <c r="B594">
        <v>2.4328964721677167E-2</v>
      </c>
      <c r="C594">
        <v>5.2726593810988542E-2</v>
      </c>
      <c r="D594">
        <v>4.6192237972212058E-2</v>
      </c>
      <c r="E594">
        <v>1.0537619777026937E-2</v>
      </c>
      <c r="F594">
        <v>3.4602643437869895E-3</v>
      </c>
      <c r="G594">
        <v>1.4392395391137569E-2</v>
      </c>
      <c r="H594">
        <v>3.0145157147597357E-2</v>
      </c>
      <c r="I594">
        <v>0.13762822938640185</v>
      </c>
      <c r="J594">
        <v>0</v>
      </c>
      <c r="K594">
        <v>0.44574383232843218</v>
      </c>
      <c r="L594">
        <v>0.13626007233290863</v>
      </c>
      <c r="M594">
        <v>0.8637399276670914</v>
      </c>
      <c r="N594">
        <v>3.9655327065336664E-2</v>
      </c>
      <c r="O594" s="72">
        <v>0.99771642714391062</v>
      </c>
      <c r="P594">
        <v>0.99945798768126104</v>
      </c>
      <c r="Q594">
        <v>0.97656541733239799</v>
      </c>
      <c r="R594">
        <v>0.50781858897412935</v>
      </c>
      <c r="S594">
        <v>0.32396770148014709</v>
      </c>
      <c r="T594">
        <v>0.21632626371025043</v>
      </c>
      <c r="U594">
        <v>0.78976649899856854</v>
      </c>
      <c r="V594">
        <v>0.65003099453328039</v>
      </c>
      <c r="W594">
        <v>0.5368555480741708</v>
      </c>
      <c r="X594">
        <v>0.37723882842995043</v>
      </c>
      <c r="Y594">
        <v>0.48014075642056087</v>
      </c>
      <c r="Z594">
        <v>0.42887202915127759</v>
      </c>
      <c r="AA594">
        <v>0.64325686792405623</v>
      </c>
      <c r="AB594">
        <v>0.7874075752680938</v>
      </c>
      <c r="AC594">
        <v>0.71753350539850769</v>
      </c>
      <c r="AD594">
        <v>0.59790523169593246</v>
      </c>
      <c r="AE594">
        <v>197.96437358382056</v>
      </c>
      <c r="AF594">
        <v>769.10665019719249</v>
      </c>
      <c r="AG594">
        <v>1773.605147767993</v>
      </c>
      <c r="AH594">
        <v>9565.2645008993331</v>
      </c>
      <c r="AI594">
        <v>9628.9280674267429</v>
      </c>
      <c r="AJ594">
        <v>36839.096919042189</v>
      </c>
      <c r="AK594">
        <v>8270.1214163741333</v>
      </c>
      <c r="AL594">
        <v>1233.357578148496</v>
      </c>
      <c r="AM594">
        <v>314.93745797284072</v>
      </c>
      <c r="AO594">
        <v>42277.9389794569</v>
      </c>
      <c r="AP594">
        <v>12.874810057546703</v>
      </c>
      <c r="AQ594">
        <v>45295.175124539477</v>
      </c>
      <c r="AR594">
        <v>13.044488668773081</v>
      </c>
      <c r="AS594" s="2">
        <f t="shared" si="64"/>
        <v>3017.2361450825774</v>
      </c>
      <c r="AT594" s="2">
        <f t="shared" si="65"/>
        <v>0.16967861122637728</v>
      </c>
      <c r="AV594">
        <f t="shared" si="66"/>
        <v>1245203.0667752135</v>
      </c>
      <c r="AW594">
        <f t="shared" si="67"/>
        <v>1259153.6917527686</v>
      </c>
      <c r="AY594">
        <f t="shared" si="68"/>
        <v>0</v>
      </c>
      <c r="AZ594">
        <f t="shared" si="69"/>
        <v>1</v>
      </c>
    </row>
    <row r="595" spans="1:52" x14ac:dyDescent="0.2">
      <c r="A595">
        <f t="shared" si="63"/>
        <v>591</v>
      </c>
      <c r="B595">
        <v>2.6876575276590264E-2</v>
      </c>
      <c r="C595">
        <v>2.4819639815679362E-2</v>
      </c>
      <c r="D595">
        <v>3.0150250375603496E-2</v>
      </c>
      <c r="E595">
        <v>2.1812326570918472E-2</v>
      </c>
      <c r="F595">
        <v>3.2685385450381575E-3</v>
      </c>
      <c r="G595">
        <v>5.8208034435094829E-3</v>
      </c>
      <c r="H595">
        <v>5.3043426712671038E-2</v>
      </c>
      <c r="I595">
        <v>0.14087588479400737</v>
      </c>
      <c r="J595">
        <v>0</v>
      </c>
      <c r="K595">
        <v>0.45159362632476585</v>
      </c>
      <c r="L595">
        <v>0.25481007600057259</v>
      </c>
      <c r="M595">
        <v>0.74518992399942741</v>
      </c>
      <c r="N595">
        <v>6.8842606775935455E-2</v>
      </c>
      <c r="O595" s="72">
        <v>0.99588907340701038</v>
      </c>
      <c r="P595">
        <v>0.99836446677467983</v>
      </c>
      <c r="Q595">
        <v>0.90671512218954986</v>
      </c>
      <c r="R595">
        <v>0.45634274975164424</v>
      </c>
      <c r="S595">
        <v>0.34446586480249686</v>
      </c>
      <c r="T595">
        <v>0.22116915218636002</v>
      </c>
      <c r="U595">
        <v>0.79155491312367765</v>
      </c>
      <c r="V595">
        <v>0.71679879820359305</v>
      </c>
      <c r="W595">
        <v>0.51256262594926283</v>
      </c>
      <c r="X595">
        <v>0.46453239387155354</v>
      </c>
      <c r="Y595">
        <v>0.47659641036587308</v>
      </c>
      <c r="Z595">
        <v>0.45284463347548176</v>
      </c>
      <c r="AA595">
        <v>0.75623753614097955</v>
      </c>
      <c r="AB595">
        <v>0.85650415565999927</v>
      </c>
      <c r="AC595">
        <v>0.79521968331743276</v>
      </c>
      <c r="AD595">
        <v>0.61848737060060555</v>
      </c>
      <c r="AE595">
        <v>270.81103643701488</v>
      </c>
      <c r="AF595">
        <v>1178.8468409048824</v>
      </c>
      <c r="AG595">
        <v>892.44754584543125</v>
      </c>
      <c r="AH595">
        <v>17157.05561816346</v>
      </c>
      <c r="AI595">
        <v>11233.800278245611</v>
      </c>
      <c r="AJ595">
        <v>39595.869361028381</v>
      </c>
      <c r="AK595">
        <v>8315.5670311367339</v>
      </c>
      <c r="AL595">
        <v>1072.4498966911901</v>
      </c>
      <c r="AM595">
        <v>387.24448883670442</v>
      </c>
      <c r="AO595">
        <v>45731.408023757489</v>
      </c>
      <c r="AP595">
        <v>13.949485511421646</v>
      </c>
      <c r="AQ595">
        <v>46881.151497730301</v>
      </c>
      <c r="AR595">
        <v>14.171277476116162</v>
      </c>
      <c r="AS595" s="2">
        <f t="shared" si="64"/>
        <v>1149.7434739728124</v>
      </c>
      <c r="AT595" s="2">
        <f t="shared" si="65"/>
        <v>0.2217919646945159</v>
      </c>
      <c r="AV595">
        <f t="shared" si="66"/>
        <v>1349217.1431184071</v>
      </c>
      <c r="AW595">
        <f t="shared" si="67"/>
        <v>1370246.5961138858</v>
      </c>
      <c r="AY595">
        <f t="shared" si="68"/>
        <v>0</v>
      </c>
      <c r="AZ595">
        <f t="shared" si="69"/>
        <v>1</v>
      </c>
    </row>
    <row r="596" spans="1:52" x14ac:dyDescent="0.2">
      <c r="A596">
        <f t="shared" si="63"/>
        <v>592</v>
      </c>
      <c r="B596">
        <v>2.5760009147941854E-2</v>
      </c>
      <c r="C596">
        <v>3.8654369074873962E-2</v>
      </c>
      <c r="D596">
        <v>3.553172669758034E-2</v>
      </c>
      <c r="E596">
        <v>1.1805789232006814E-2</v>
      </c>
      <c r="F596">
        <v>3.3481375635794342E-3</v>
      </c>
      <c r="G596">
        <v>3.0259160024778686E-2</v>
      </c>
      <c r="H596">
        <v>3.2169027422118801E-2</v>
      </c>
      <c r="I596">
        <v>0.13705571873499911</v>
      </c>
      <c r="J596">
        <v>0</v>
      </c>
      <c r="K596">
        <v>0.48754162224935216</v>
      </c>
      <c r="L596">
        <v>0.25471466878072802</v>
      </c>
      <c r="M596">
        <v>0.74528533121927198</v>
      </c>
      <c r="N596">
        <v>7.1622651219375721E-2</v>
      </c>
      <c r="O596" s="72">
        <v>0.92994816532371316</v>
      </c>
      <c r="P596">
        <v>0.90014266398875686</v>
      </c>
      <c r="Q596">
        <v>0.99140796111141594</v>
      </c>
      <c r="R596">
        <v>0.50423889633106056</v>
      </c>
      <c r="S596">
        <v>0.43375187249336644</v>
      </c>
      <c r="T596">
        <v>0.12420248465143768</v>
      </c>
      <c r="U596">
        <v>0.78568734976352483</v>
      </c>
      <c r="V596">
        <v>0.55597234495227321</v>
      </c>
      <c r="W596">
        <v>0.55260160989399898</v>
      </c>
      <c r="X596">
        <v>0.41163069942941372</v>
      </c>
      <c r="Y596">
        <v>0.41694593506956146</v>
      </c>
      <c r="Z596">
        <v>0.4111369473562852</v>
      </c>
      <c r="AA596">
        <v>0.69779107398758078</v>
      </c>
      <c r="AB596">
        <v>0.83107633875663833</v>
      </c>
      <c r="AC596">
        <v>0.76409417195645835</v>
      </c>
      <c r="AD596">
        <v>0.63959770786856662</v>
      </c>
      <c r="AE596">
        <v>200.34075906539033</v>
      </c>
      <c r="AF596">
        <v>1072.1825019346668</v>
      </c>
      <c r="AG596">
        <v>2061.1657562487712</v>
      </c>
      <c r="AH596">
        <v>13863.254516403098</v>
      </c>
      <c r="AI596">
        <v>11129.692388527323</v>
      </c>
      <c r="AJ596">
        <v>37516.385504333834</v>
      </c>
      <c r="AK596">
        <v>9957.2570289236355</v>
      </c>
      <c r="AL596">
        <v>1264.6488829130471</v>
      </c>
      <c r="AM596">
        <v>313.92634402237815</v>
      </c>
      <c r="AO596">
        <v>44235.855110889352</v>
      </c>
      <c r="AP596">
        <v>13.528130224521211</v>
      </c>
      <c r="AQ596">
        <v>49045.354434121429</v>
      </c>
      <c r="AR596">
        <v>13.783285065825256</v>
      </c>
      <c r="AS596" s="2">
        <f t="shared" si="64"/>
        <v>4809.4993232320776</v>
      </c>
      <c r="AT596" s="2">
        <f t="shared" si="65"/>
        <v>0.25515484130404431</v>
      </c>
      <c r="AV596">
        <f t="shared" si="66"/>
        <v>1308577.1673412318</v>
      </c>
      <c r="AW596">
        <f t="shared" si="67"/>
        <v>1329283.1521484042</v>
      </c>
      <c r="AY596">
        <f t="shared" si="68"/>
        <v>0</v>
      </c>
      <c r="AZ596">
        <f t="shared" si="69"/>
        <v>1</v>
      </c>
    </row>
    <row r="597" spans="1:52" x14ac:dyDescent="0.2">
      <c r="A597">
        <f t="shared" si="63"/>
        <v>593</v>
      </c>
      <c r="B597">
        <v>2.3505815045401352E-2</v>
      </c>
      <c r="C597">
        <v>3.1804155028094826E-2</v>
      </c>
      <c r="D597">
        <v>3.38678570608845E-2</v>
      </c>
      <c r="E597">
        <v>7.7385914075548002E-3</v>
      </c>
      <c r="F597">
        <v>3.3395527378822232E-3</v>
      </c>
      <c r="G597">
        <v>1.5525102015217951E-2</v>
      </c>
      <c r="H597">
        <v>2.7478116632961003E-2</v>
      </c>
      <c r="I597">
        <v>0.12761894921476044</v>
      </c>
      <c r="J597">
        <v>0</v>
      </c>
      <c r="K597">
        <v>0.39300834430062448</v>
      </c>
      <c r="L597">
        <v>0.22078276867616731</v>
      </c>
      <c r="M597">
        <v>0.77921723132383269</v>
      </c>
      <c r="N597">
        <v>4.4254952408672728E-2</v>
      </c>
      <c r="O597" s="72">
        <v>0.99910258788629569</v>
      </c>
      <c r="P597">
        <v>0.99998094804808357</v>
      </c>
      <c r="Q597">
        <v>0.98518293136500912</v>
      </c>
      <c r="R597">
        <v>0.46709464284945401</v>
      </c>
      <c r="S597">
        <v>0.2783340252846036</v>
      </c>
      <c r="T597">
        <v>0.21828478384507299</v>
      </c>
      <c r="U597">
        <v>0.77983860967376095</v>
      </c>
      <c r="V597">
        <v>0.60408591188830529</v>
      </c>
      <c r="W597">
        <v>0.57510072536192425</v>
      </c>
      <c r="X597">
        <v>0.43489987697700183</v>
      </c>
      <c r="Y597">
        <v>0.40383061843014278</v>
      </c>
      <c r="Z597">
        <v>0.49689353319333907</v>
      </c>
      <c r="AA597">
        <v>0.68179342438327661</v>
      </c>
      <c r="AB597">
        <v>0.82312409485767324</v>
      </c>
      <c r="AC597">
        <v>0.72973126133469812</v>
      </c>
      <c r="AD597">
        <v>0.62761432677876705</v>
      </c>
      <c r="AE597">
        <v>215.66348168546514</v>
      </c>
      <c r="AF597">
        <v>1170.3582017491276</v>
      </c>
      <c r="AG597">
        <v>1379.2966146955152</v>
      </c>
      <c r="AH597">
        <v>15006.161686590423</v>
      </c>
      <c r="AI597">
        <v>9197.9434740447596</v>
      </c>
      <c r="AJ597">
        <v>45731.946457737467</v>
      </c>
      <c r="AK597">
        <v>17438.814772362253</v>
      </c>
      <c r="AL597">
        <v>3080.9763333049318</v>
      </c>
      <c r="AM597">
        <v>371.32916576707777</v>
      </c>
      <c r="AO597">
        <v>46383.837688720363</v>
      </c>
      <c r="AP597">
        <v>13.402218189852547</v>
      </c>
      <c r="AQ597">
        <v>46277.756075648758</v>
      </c>
      <c r="AR597">
        <v>13.605073394148018</v>
      </c>
      <c r="AS597" s="2">
        <f t="shared" si="64"/>
        <v>-106.08161307160481</v>
      </c>
      <c r="AT597" s="2">
        <f t="shared" si="65"/>
        <v>0.20285520429547077</v>
      </c>
      <c r="AV597">
        <f t="shared" si="66"/>
        <v>1293837.9812965344</v>
      </c>
      <c r="AW597">
        <f t="shared" si="67"/>
        <v>1314229.5833391531</v>
      </c>
      <c r="AY597">
        <f t="shared" si="68"/>
        <v>0</v>
      </c>
      <c r="AZ597">
        <f t="shared" si="69"/>
        <v>1</v>
      </c>
    </row>
    <row r="598" spans="1:52" x14ac:dyDescent="0.2">
      <c r="A598">
        <f t="shared" si="63"/>
        <v>594</v>
      </c>
      <c r="B598">
        <v>2.7116253410437663E-2</v>
      </c>
      <c r="C598">
        <v>2.9702354298987741E-2</v>
      </c>
      <c r="D598">
        <v>5.7921600958170449E-2</v>
      </c>
      <c r="E598">
        <v>1.4590344089210753E-3</v>
      </c>
      <c r="F598">
        <v>3.3548188313669014E-3</v>
      </c>
      <c r="G598">
        <v>1.3247021774747125E-2</v>
      </c>
      <c r="H598">
        <v>1.8778091330032394E-2</v>
      </c>
      <c r="I598">
        <v>0.13515488632648576</v>
      </c>
      <c r="J598">
        <v>0</v>
      </c>
      <c r="K598">
        <v>0.4204173597734161</v>
      </c>
      <c r="L598">
        <v>0.18637731953786957</v>
      </c>
      <c r="M598">
        <v>0.81362268046213049</v>
      </c>
      <c r="N598">
        <v>6.3547367812357591E-2</v>
      </c>
      <c r="O598" s="72">
        <v>0.9999838880239148</v>
      </c>
      <c r="P598">
        <v>0.99998777128835981</v>
      </c>
      <c r="Q598">
        <v>0.91571049223805656</v>
      </c>
      <c r="R598">
        <v>0.47455159831705351</v>
      </c>
      <c r="S598">
        <v>0.35136013902200747</v>
      </c>
      <c r="T598">
        <v>0.26765642209853791</v>
      </c>
      <c r="U598">
        <v>0.77496805463768625</v>
      </c>
      <c r="V598">
        <v>0.60940492593823459</v>
      </c>
      <c r="W598">
        <v>0.52007631921330388</v>
      </c>
      <c r="X598">
        <v>0.45423657443157284</v>
      </c>
      <c r="Y598">
        <v>0.39151980108402273</v>
      </c>
      <c r="Z598">
        <v>0.46090300564795883</v>
      </c>
      <c r="AA598">
        <v>0.60092799150929355</v>
      </c>
      <c r="AB598">
        <v>0.8717511929473869</v>
      </c>
      <c r="AC598">
        <v>0.60613146268352225</v>
      </c>
      <c r="AD598">
        <v>0.62298089813139801</v>
      </c>
      <c r="AE598">
        <v>185.64697567563672</v>
      </c>
      <c r="AF598">
        <v>989.4729639763583</v>
      </c>
      <c r="AG598">
        <v>949.79174285876275</v>
      </c>
      <c r="AH598">
        <v>15013.43910245734</v>
      </c>
      <c r="AI598">
        <v>13580.247939089977</v>
      </c>
      <c r="AJ598">
        <v>36179.930592970115</v>
      </c>
      <c r="AK598">
        <v>21949.694925838343</v>
      </c>
      <c r="AL598">
        <v>2147.323345318996</v>
      </c>
      <c r="AM598">
        <v>299.28303231385939</v>
      </c>
      <c r="AO598">
        <v>42635.231989712389</v>
      </c>
      <c r="AP598">
        <v>13.77516156570503</v>
      </c>
      <c r="AQ598">
        <v>45316.321273493937</v>
      </c>
      <c r="AR598">
        <v>14.045324556910543</v>
      </c>
      <c r="AS598" s="2">
        <f t="shared" si="64"/>
        <v>2681.0892837815481</v>
      </c>
      <c r="AT598" s="2">
        <f t="shared" si="65"/>
        <v>0.27016299120551324</v>
      </c>
      <c r="AV598">
        <f t="shared" si="66"/>
        <v>1334880.9245807906</v>
      </c>
      <c r="AW598">
        <f t="shared" si="67"/>
        <v>1359216.1344175602</v>
      </c>
      <c r="AY598">
        <f t="shared" si="68"/>
        <v>0</v>
      </c>
      <c r="AZ598">
        <f t="shared" si="69"/>
        <v>1</v>
      </c>
    </row>
    <row r="599" spans="1:52" x14ac:dyDescent="0.2">
      <c r="A599">
        <f t="shared" si="63"/>
        <v>595</v>
      </c>
      <c r="B599">
        <v>1.6860471172980427E-2</v>
      </c>
      <c r="C599">
        <v>3.221830363676121E-2</v>
      </c>
      <c r="D599">
        <v>3.8725176949390927E-2</v>
      </c>
      <c r="E599">
        <v>2.2509157980404749E-3</v>
      </c>
      <c r="F599">
        <v>3.3083252485153003E-3</v>
      </c>
      <c r="G599">
        <v>1.6113914238420013E-2</v>
      </c>
      <c r="H599">
        <v>2.2591077952644312E-2</v>
      </c>
      <c r="I599">
        <v>0.1281094567071426</v>
      </c>
      <c r="J599">
        <v>0</v>
      </c>
      <c r="K599">
        <v>0.45358514796791594</v>
      </c>
      <c r="L599">
        <v>0.17010252266789216</v>
      </c>
      <c r="M599">
        <v>0.82989747733210784</v>
      </c>
      <c r="N599">
        <v>6.6688956473883287E-2</v>
      </c>
      <c r="O599" s="72">
        <v>0.99384462988010547</v>
      </c>
      <c r="P599">
        <v>0.99998965929748307</v>
      </c>
      <c r="Q599">
        <v>0.98898509826895642</v>
      </c>
      <c r="R599">
        <v>0.49918076595942329</v>
      </c>
      <c r="S599">
        <v>0.41426956674377324</v>
      </c>
      <c r="T599">
        <v>0.16507097232748125</v>
      </c>
      <c r="U599">
        <v>0.7493975574189089</v>
      </c>
      <c r="V599">
        <v>0.67827520684744069</v>
      </c>
      <c r="W599">
        <v>0.44924602875109004</v>
      </c>
      <c r="X599">
        <v>0.4512213640039523</v>
      </c>
      <c r="Y599">
        <v>0.4591174844537308</v>
      </c>
      <c r="Z599">
        <v>0.44904314844171672</v>
      </c>
      <c r="AA599">
        <v>0.65857957859556282</v>
      </c>
      <c r="AB599">
        <v>0.83844038559533351</v>
      </c>
      <c r="AC599">
        <v>0.72510336020488386</v>
      </c>
      <c r="AD599">
        <v>0.64794176842396745</v>
      </c>
      <c r="AE599">
        <v>228.36240865658581</v>
      </c>
      <c r="AF599">
        <v>1149.2001295626123</v>
      </c>
      <c r="AG599">
        <v>1894.9823840408048</v>
      </c>
      <c r="AH599">
        <v>7747.366733104077</v>
      </c>
      <c r="AI599">
        <v>15032.507526537129</v>
      </c>
      <c r="AJ599">
        <v>37628.634914355258</v>
      </c>
      <c r="AK599">
        <v>13592.302165874991</v>
      </c>
      <c r="AL599">
        <v>2223.2044802614591</v>
      </c>
      <c r="AM599">
        <v>300.51343962644114</v>
      </c>
      <c r="AO599">
        <v>42736.48310053617</v>
      </c>
      <c r="AP599">
        <v>13.585153774036323</v>
      </c>
      <c r="AQ599">
        <v>45069.028898710749</v>
      </c>
      <c r="AR599">
        <v>13.836975345631158</v>
      </c>
      <c r="AS599" s="2">
        <f t="shared" si="64"/>
        <v>2332.5457981745785</v>
      </c>
      <c r="AT599" s="2">
        <f t="shared" si="65"/>
        <v>0.25182157159483509</v>
      </c>
      <c r="AV599">
        <f t="shared" si="66"/>
        <v>1315778.894303096</v>
      </c>
      <c r="AW599">
        <f t="shared" si="67"/>
        <v>1338628.5056644049</v>
      </c>
      <c r="AY599">
        <f t="shared" si="68"/>
        <v>0</v>
      </c>
      <c r="AZ599">
        <f t="shared" si="69"/>
        <v>1</v>
      </c>
    </row>
    <row r="600" spans="1:52" x14ac:dyDescent="0.2">
      <c r="A600">
        <f t="shared" si="63"/>
        <v>596</v>
      </c>
      <c r="B600">
        <v>2.2171656253928248E-2</v>
      </c>
      <c r="C600">
        <v>3.7551509439570641E-2</v>
      </c>
      <c r="D600">
        <v>2.9959928848438008E-2</v>
      </c>
      <c r="E600">
        <v>2.0747630912007264E-2</v>
      </c>
      <c r="F600">
        <v>3.2946755365416821E-3</v>
      </c>
      <c r="G600">
        <v>4.4151682219156649E-4</v>
      </c>
      <c r="H600">
        <v>2.432662578768819E-2</v>
      </c>
      <c r="I600">
        <v>0.11370927288611479</v>
      </c>
      <c r="J600">
        <v>0</v>
      </c>
      <c r="K600">
        <v>0.41987393237447357</v>
      </c>
      <c r="L600">
        <v>0.18320743355864758</v>
      </c>
      <c r="M600">
        <v>0.81679256644135245</v>
      </c>
      <c r="N600">
        <v>5.1720770625681992E-2</v>
      </c>
      <c r="O600" s="72">
        <v>0.99711223062840293</v>
      </c>
      <c r="P600">
        <v>0.9995916411676411</v>
      </c>
      <c r="Q600">
        <v>0.96947563985610596</v>
      </c>
      <c r="R600">
        <v>0.46568997250331456</v>
      </c>
      <c r="S600">
        <v>0.3718301739145633</v>
      </c>
      <c r="T600">
        <v>0.10685150807922839</v>
      </c>
      <c r="U600">
        <v>0.78409783567801594</v>
      </c>
      <c r="V600">
        <v>0.58717177494428263</v>
      </c>
      <c r="W600">
        <v>0.57435482263032067</v>
      </c>
      <c r="X600">
        <v>0.44295911047491127</v>
      </c>
      <c r="Y600">
        <v>0.46560584291868645</v>
      </c>
      <c r="Z600">
        <v>0.42593248540404016</v>
      </c>
      <c r="AA600">
        <v>0.58999988400741366</v>
      </c>
      <c r="AB600">
        <v>0.79594779063418741</v>
      </c>
      <c r="AC600">
        <v>0.8293689015160558</v>
      </c>
      <c r="AD600">
        <v>0.62147825943714252</v>
      </c>
      <c r="AE600">
        <v>197.37958741819341</v>
      </c>
      <c r="AF600">
        <v>1023.3922565808938</v>
      </c>
      <c r="AG600">
        <v>1899.3606177668032</v>
      </c>
      <c r="AH600">
        <v>17111.191760483718</v>
      </c>
      <c r="AI600">
        <v>12522.169404424289</v>
      </c>
      <c r="AJ600">
        <v>34508.49311407526</v>
      </c>
      <c r="AK600">
        <v>16541.880437832522</v>
      </c>
      <c r="AL600">
        <v>2198.3008432365482</v>
      </c>
      <c r="AM600">
        <v>352.58125668358133</v>
      </c>
      <c r="AO600">
        <v>48561.084828331579</v>
      </c>
      <c r="AP600">
        <v>13.164281048706821</v>
      </c>
      <c r="AQ600">
        <v>46149.330387050475</v>
      </c>
      <c r="AR600">
        <v>13.400474625675917</v>
      </c>
      <c r="AS600" s="2">
        <f t="shared" si="64"/>
        <v>-2411.7544412811039</v>
      </c>
      <c r="AT600" s="2">
        <f t="shared" si="65"/>
        <v>0.2361935769690966</v>
      </c>
      <c r="AV600">
        <f t="shared" si="66"/>
        <v>1267867.0200423505</v>
      </c>
      <c r="AW600">
        <f t="shared" si="67"/>
        <v>1293898.1321805413</v>
      </c>
      <c r="AY600">
        <f t="shared" si="68"/>
        <v>0</v>
      </c>
      <c r="AZ600">
        <f t="shared" si="69"/>
        <v>1</v>
      </c>
    </row>
    <row r="601" spans="1:52" x14ac:dyDescent="0.2">
      <c r="A601">
        <f t="shared" si="63"/>
        <v>597</v>
      </c>
      <c r="B601">
        <v>1.5484045437808272E-2</v>
      </c>
      <c r="C601">
        <v>2.0959071451222656E-2</v>
      </c>
      <c r="D601">
        <v>1.9143475035294118E-2</v>
      </c>
      <c r="E601">
        <v>1.6662475977837616E-3</v>
      </c>
      <c r="F601">
        <v>3.4002779662160032E-3</v>
      </c>
      <c r="G601">
        <v>1.5856138505691675E-2</v>
      </c>
      <c r="H601">
        <v>1.8345016823942288E-2</v>
      </c>
      <c r="I601">
        <v>0.1291329651528571</v>
      </c>
      <c r="J601">
        <v>0</v>
      </c>
      <c r="K601">
        <v>0.40166318900707315</v>
      </c>
      <c r="L601">
        <v>0.23757825222351059</v>
      </c>
      <c r="M601">
        <v>0.76242174777648941</v>
      </c>
      <c r="N601">
        <v>4.4504214331977029E-2</v>
      </c>
      <c r="O601" s="72">
        <v>0.99948315857265224</v>
      </c>
      <c r="P601">
        <v>0.99999976829399551</v>
      </c>
      <c r="Q601">
        <v>0.97458198704968135</v>
      </c>
      <c r="R601">
        <v>0.44057488321340044</v>
      </c>
      <c r="S601">
        <v>0.44957981784160705</v>
      </c>
      <c r="T601">
        <v>0.28648371497753378</v>
      </c>
      <c r="U601">
        <v>0.76674333934817562</v>
      </c>
      <c r="V601">
        <v>0.65501057831661913</v>
      </c>
      <c r="W601">
        <v>0.56067794141024041</v>
      </c>
      <c r="X601">
        <v>0.47101479851673045</v>
      </c>
      <c r="Y601">
        <v>0.50264949023537564</v>
      </c>
      <c r="Z601">
        <v>0.4456785800346964</v>
      </c>
      <c r="AA601">
        <v>0.62622035475764248</v>
      </c>
      <c r="AB601">
        <v>0.84264337962268043</v>
      </c>
      <c r="AC601">
        <v>0.71421120745351008</v>
      </c>
      <c r="AD601">
        <v>0.59523116079285576</v>
      </c>
      <c r="AE601">
        <v>214.24499103331306</v>
      </c>
      <c r="AF601">
        <v>1156.2091611185811</v>
      </c>
      <c r="AG601">
        <v>1805.7406275110948</v>
      </c>
      <c r="AH601">
        <v>17514.317278254402</v>
      </c>
      <c r="AI601">
        <v>19673.570076338983</v>
      </c>
      <c r="AJ601">
        <v>37531.814805147122</v>
      </c>
      <c r="AK601">
        <v>18590.074839672638</v>
      </c>
      <c r="AL601">
        <v>2481.5249900730546</v>
      </c>
      <c r="AM601">
        <v>295.79228506201201</v>
      </c>
      <c r="AO601">
        <v>43232.105354086147</v>
      </c>
      <c r="AP601">
        <v>13.659194105468437</v>
      </c>
      <c r="AQ601">
        <v>45220.214479604292</v>
      </c>
      <c r="AR601">
        <v>13.803317593205605</v>
      </c>
      <c r="AS601" s="2">
        <f t="shared" si="64"/>
        <v>1988.1091255181454</v>
      </c>
      <c r="AT601" s="2">
        <f t="shared" si="65"/>
        <v>0.14412348773716843</v>
      </c>
      <c r="AV601">
        <f t="shared" si="66"/>
        <v>1322687.3051927574</v>
      </c>
      <c r="AW601">
        <f t="shared" si="67"/>
        <v>1335111.5448409563</v>
      </c>
      <c r="AY601">
        <f t="shared" si="68"/>
        <v>0</v>
      </c>
      <c r="AZ601">
        <f t="shared" si="69"/>
        <v>1</v>
      </c>
    </row>
    <row r="602" spans="1:52" x14ac:dyDescent="0.2">
      <c r="A602">
        <f t="shared" si="63"/>
        <v>598</v>
      </c>
      <c r="B602">
        <v>2.9547345389060786E-2</v>
      </c>
      <c r="C602">
        <v>4.0852470084298598E-2</v>
      </c>
      <c r="D602">
        <v>5.856246675038812E-2</v>
      </c>
      <c r="E602">
        <v>1.3768040290346284E-2</v>
      </c>
      <c r="F602">
        <v>3.2604331915041741E-3</v>
      </c>
      <c r="G602">
        <v>6.8244319688557376E-3</v>
      </c>
      <c r="H602">
        <v>1.5965004306449634E-2</v>
      </c>
      <c r="I602">
        <v>0.1303695216440045</v>
      </c>
      <c r="J602">
        <v>0</v>
      </c>
      <c r="K602">
        <v>0.43877152173497891</v>
      </c>
      <c r="L602">
        <v>0.19981850777700866</v>
      </c>
      <c r="M602">
        <v>0.80018149222299129</v>
      </c>
      <c r="N602">
        <v>7.4993887962412908E-2</v>
      </c>
      <c r="O602" s="72">
        <v>0.99999804006029624</v>
      </c>
      <c r="P602">
        <v>0.99537987731328559</v>
      </c>
      <c r="Q602">
        <v>0.9933640882210536</v>
      </c>
      <c r="R602">
        <v>0.48923986186677249</v>
      </c>
      <c r="S602">
        <v>0.43195960499717612</v>
      </c>
      <c r="T602">
        <v>0.14762921067681611</v>
      </c>
      <c r="U602">
        <v>0.77083325034254824</v>
      </c>
      <c r="V602">
        <v>0.64378216831099888</v>
      </c>
      <c r="W602">
        <v>0.60728956794047195</v>
      </c>
      <c r="X602">
        <v>0.45116724171186373</v>
      </c>
      <c r="Y602">
        <v>0.46021957715868145</v>
      </c>
      <c r="Z602">
        <v>0.41384032613076244</v>
      </c>
      <c r="AA602">
        <v>0.77813290391316081</v>
      </c>
      <c r="AB602">
        <v>0.83151244569735305</v>
      </c>
      <c r="AC602">
        <v>0.72730850442845107</v>
      </c>
      <c r="AD602">
        <v>0.61484976718694506</v>
      </c>
      <c r="AE602">
        <v>306.11305903984686</v>
      </c>
      <c r="AF602">
        <v>1134.4401341562389</v>
      </c>
      <c r="AG602">
        <v>2057.5976034311539</v>
      </c>
      <c r="AH602">
        <v>13014.317377803567</v>
      </c>
      <c r="AI602">
        <v>10338.567824385334</v>
      </c>
      <c r="AJ602">
        <v>36060.485156010196</v>
      </c>
      <c r="AK602">
        <v>20087.14296406267</v>
      </c>
      <c r="AL602">
        <v>2624.8597972646803</v>
      </c>
      <c r="AM602">
        <v>422.25682918314828</v>
      </c>
      <c r="AO602">
        <v>45760.45777040247</v>
      </c>
      <c r="AP602">
        <v>13.429867379148282</v>
      </c>
      <c r="AQ602">
        <v>47263.470194247733</v>
      </c>
      <c r="AR602">
        <v>13.6997165902145</v>
      </c>
      <c r="AS602" s="2">
        <f t="shared" si="64"/>
        <v>1503.0124238452627</v>
      </c>
      <c r="AT602" s="2">
        <f t="shared" si="65"/>
        <v>0.26984921106621762</v>
      </c>
      <c r="AV602">
        <f t="shared" si="66"/>
        <v>1297226.2801444256</v>
      </c>
      <c r="AW602">
        <f t="shared" si="67"/>
        <v>1322708.1888272022</v>
      </c>
      <c r="AY602">
        <f t="shared" si="68"/>
        <v>0</v>
      </c>
      <c r="AZ602">
        <f t="shared" si="69"/>
        <v>1</v>
      </c>
    </row>
    <row r="603" spans="1:52" x14ac:dyDescent="0.2">
      <c r="A603">
        <f t="shared" si="63"/>
        <v>599</v>
      </c>
      <c r="B603">
        <v>2.0534661399006428E-2</v>
      </c>
      <c r="C603">
        <v>4.5948609415870423E-2</v>
      </c>
      <c r="D603">
        <v>3.213809049874955E-2</v>
      </c>
      <c r="E603">
        <v>1.9249031455638832E-2</v>
      </c>
      <c r="F603">
        <v>3.3634860674446321E-3</v>
      </c>
      <c r="G603">
        <v>3.9875163319744944E-2</v>
      </c>
      <c r="H603">
        <v>2.7442798621976294E-2</v>
      </c>
      <c r="I603">
        <v>0.12535624040408572</v>
      </c>
      <c r="J603">
        <v>0</v>
      </c>
      <c r="K603">
        <v>0.40315417501343626</v>
      </c>
      <c r="L603">
        <v>0.20551907436858016</v>
      </c>
      <c r="M603">
        <v>0.79448092563141981</v>
      </c>
      <c r="N603">
        <v>5.5793858704127522E-2</v>
      </c>
      <c r="O603" s="72">
        <v>0.9995827565671821</v>
      </c>
      <c r="P603">
        <v>0.98974335102570243</v>
      </c>
      <c r="Q603">
        <v>0.954045545988216</v>
      </c>
      <c r="R603">
        <v>0.44044859330172825</v>
      </c>
      <c r="S603">
        <v>0.41974887631648294</v>
      </c>
      <c r="T603">
        <v>0.21454862495932359</v>
      </c>
      <c r="U603">
        <v>0.76102535717764275</v>
      </c>
      <c r="V603">
        <v>0.65719961143290806</v>
      </c>
      <c r="W603">
        <v>0.48927215168145893</v>
      </c>
      <c r="X603">
        <v>0.41657982164127522</v>
      </c>
      <c r="Y603">
        <v>0.39724091058821509</v>
      </c>
      <c r="Z603">
        <v>0.44043591740280574</v>
      </c>
      <c r="AA603">
        <v>0.67361555377136362</v>
      </c>
      <c r="AB603">
        <v>0.91923807817957059</v>
      </c>
      <c r="AC603">
        <v>0.74038439941743095</v>
      </c>
      <c r="AD603">
        <v>0.56066660965947246</v>
      </c>
      <c r="AE603">
        <v>166.238067314978</v>
      </c>
      <c r="AF603">
        <v>1170.1032301900416</v>
      </c>
      <c r="AG603">
        <v>1817.730904132151</v>
      </c>
      <c r="AH603">
        <v>13669.009724768068</v>
      </c>
      <c r="AI603">
        <v>11533.791806939858</v>
      </c>
      <c r="AJ603">
        <v>42529.09887537911</v>
      </c>
      <c r="AK603">
        <v>17868.064979698924</v>
      </c>
      <c r="AL603">
        <v>2851.5068796797345</v>
      </c>
      <c r="AM603">
        <v>521.35584245473899</v>
      </c>
      <c r="AO603">
        <v>47821.115547946982</v>
      </c>
      <c r="AP603">
        <v>14.526590088142186</v>
      </c>
      <c r="AQ603">
        <v>49010.081750172227</v>
      </c>
      <c r="AR603">
        <v>14.861409562962873</v>
      </c>
      <c r="AS603" s="2">
        <f t="shared" si="64"/>
        <v>1188.9662022252451</v>
      </c>
      <c r="AT603" s="2">
        <f t="shared" si="65"/>
        <v>0.33481947482068719</v>
      </c>
      <c r="AV603">
        <f t="shared" si="66"/>
        <v>1404837.8932662716</v>
      </c>
      <c r="AW603">
        <f t="shared" si="67"/>
        <v>1437130.8745461151</v>
      </c>
      <c r="AY603">
        <f t="shared" si="68"/>
        <v>0</v>
      </c>
      <c r="AZ603">
        <f t="shared" si="69"/>
        <v>1</v>
      </c>
    </row>
    <row r="604" spans="1:52" x14ac:dyDescent="0.2">
      <c r="A604">
        <f t="shared" si="63"/>
        <v>600</v>
      </c>
      <c r="B604">
        <v>2.1233148932301552E-2</v>
      </c>
      <c r="C604">
        <v>4.6521611921620298E-2</v>
      </c>
      <c r="D604">
        <v>4.4716953720243313E-2</v>
      </c>
      <c r="E604">
        <v>1.4444666260579712E-3</v>
      </c>
      <c r="F604">
        <v>3.3664850907995092E-3</v>
      </c>
      <c r="G604">
        <v>1.3503109813802538E-2</v>
      </c>
      <c r="H604">
        <v>2.5441653127425534E-2</v>
      </c>
      <c r="I604">
        <v>0.14168041767711537</v>
      </c>
      <c r="J604">
        <v>0</v>
      </c>
      <c r="K604">
        <v>0.40208920455431535</v>
      </c>
      <c r="L604">
        <v>0.26945278848940468</v>
      </c>
      <c r="M604">
        <v>0.73054721151059532</v>
      </c>
      <c r="N604">
        <v>5.5904879217588722E-2</v>
      </c>
      <c r="O604" s="72">
        <v>0.99953315555426558</v>
      </c>
      <c r="P604">
        <v>0.99342492135878346</v>
      </c>
      <c r="Q604">
        <v>0.91668180884375838</v>
      </c>
      <c r="R604">
        <v>0.52706353377056048</v>
      </c>
      <c r="S604">
        <v>0.47601481352605113</v>
      </c>
      <c r="T604">
        <v>0.27801339682310156</v>
      </c>
      <c r="U604">
        <v>0.76164421558062867</v>
      </c>
      <c r="V604">
        <v>0.65262124938283461</v>
      </c>
      <c r="W604">
        <v>0.61330223989201049</v>
      </c>
      <c r="X604">
        <v>0.47895831125953148</v>
      </c>
      <c r="Y604">
        <v>0.40287854416221319</v>
      </c>
      <c r="Z604">
        <v>0.48887195204400036</v>
      </c>
      <c r="AA604">
        <v>0.63686122558228686</v>
      </c>
      <c r="AB604">
        <v>0.837923411191701</v>
      </c>
      <c r="AC604">
        <v>0.77073492397214394</v>
      </c>
      <c r="AD604">
        <v>0.62840555570325374</v>
      </c>
      <c r="AE604">
        <v>236.63755581397874</v>
      </c>
      <c r="AF604">
        <v>944.18788043397308</v>
      </c>
      <c r="AG604">
        <v>1741.7554340116226</v>
      </c>
      <c r="AH604">
        <v>12515.019982169835</v>
      </c>
      <c r="AI604">
        <v>9313.6493777133164</v>
      </c>
      <c r="AJ604">
        <v>43087.847308864577</v>
      </c>
      <c r="AK604">
        <v>13400.197408398499</v>
      </c>
      <c r="AL604">
        <v>2444.3362522178668</v>
      </c>
      <c r="AM604">
        <v>353.14453116259762</v>
      </c>
      <c r="AO604">
        <v>39467.258439906698</v>
      </c>
      <c r="AP604">
        <v>13.727901451669236</v>
      </c>
      <c r="AQ604">
        <v>46402.924233801343</v>
      </c>
      <c r="AR604">
        <v>13.882553566751108</v>
      </c>
      <c r="AS604" s="2">
        <f t="shared" si="64"/>
        <v>6935.6657938946446</v>
      </c>
      <c r="AT604" s="2">
        <f t="shared" si="65"/>
        <v>0.1546521150818716</v>
      </c>
      <c r="AV604">
        <f t="shared" si="66"/>
        <v>1333322.8867270169</v>
      </c>
      <c r="AW604">
        <f t="shared" si="67"/>
        <v>1341852.4324413093</v>
      </c>
      <c r="AY604">
        <f t="shared" si="68"/>
        <v>0</v>
      </c>
      <c r="AZ604">
        <f t="shared" si="69"/>
        <v>1</v>
      </c>
    </row>
    <row r="605" spans="1:52" x14ac:dyDescent="0.2">
      <c r="A605">
        <f t="shared" si="63"/>
        <v>601</v>
      </c>
      <c r="B605">
        <v>2.3930342420313576E-2</v>
      </c>
      <c r="C605">
        <v>3.5150481446773713E-2</v>
      </c>
      <c r="D605">
        <v>5.1543549408085032E-2</v>
      </c>
      <c r="E605">
        <v>1.9873853042350897E-2</v>
      </c>
      <c r="F605">
        <v>3.3691874955820156E-3</v>
      </c>
      <c r="G605">
        <v>3.6553311360551775E-3</v>
      </c>
      <c r="H605">
        <v>3.2373032118671818E-2</v>
      </c>
      <c r="I605">
        <v>0.12126592301556363</v>
      </c>
      <c r="J605">
        <v>0</v>
      </c>
      <c r="K605">
        <v>0.40609677688185308</v>
      </c>
      <c r="L605">
        <v>0.25272079202001563</v>
      </c>
      <c r="M605">
        <v>0.74727920797998437</v>
      </c>
      <c r="N605">
        <v>6.4363847420902509E-2</v>
      </c>
      <c r="O605" s="72">
        <v>0.99972969798335543</v>
      </c>
      <c r="P605">
        <v>0.99994621003779316</v>
      </c>
      <c r="Q605">
        <v>0.97872087048934353</v>
      </c>
      <c r="R605">
        <v>0.49355554825494752</v>
      </c>
      <c r="S605">
        <v>0.390555997750201</v>
      </c>
      <c r="T605">
        <v>0.29767700495270777</v>
      </c>
      <c r="U605">
        <v>0.77460906236069516</v>
      </c>
      <c r="V605">
        <v>0.65586312108708489</v>
      </c>
      <c r="W605">
        <v>0.58181185617770037</v>
      </c>
      <c r="X605">
        <v>0.47234921492642501</v>
      </c>
      <c r="Y605">
        <v>0.39634943488751301</v>
      </c>
      <c r="Z605">
        <v>0.46836506276199241</v>
      </c>
      <c r="AA605">
        <v>0.65741442628877955</v>
      </c>
      <c r="AB605">
        <v>0.8453774986478142</v>
      </c>
      <c r="AC605">
        <v>0.73018115060613309</v>
      </c>
      <c r="AD605">
        <v>0.57608564094002257</v>
      </c>
      <c r="AE605">
        <v>175.09615663552609</v>
      </c>
      <c r="AF605">
        <v>1232.2204778490159</v>
      </c>
      <c r="AG605">
        <v>1758.0704678067787</v>
      </c>
      <c r="AH605">
        <v>15854.077336445953</v>
      </c>
      <c r="AI605">
        <v>12863.018281308699</v>
      </c>
      <c r="AJ605">
        <v>39314.099597226217</v>
      </c>
      <c r="AK605">
        <v>21172.601562032363</v>
      </c>
      <c r="AL605">
        <v>1880.4051167294772</v>
      </c>
      <c r="AM605">
        <v>213.68487501587254</v>
      </c>
      <c r="AO605">
        <v>39722.617881468883</v>
      </c>
      <c r="AP605">
        <v>13.65092696075725</v>
      </c>
      <c r="AQ605">
        <v>43872.533745438966</v>
      </c>
      <c r="AR605">
        <v>13.844600407697031</v>
      </c>
      <c r="AS605" s="2">
        <f t="shared" si="64"/>
        <v>4149.9158639700836</v>
      </c>
      <c r="AT605" s="2">
        <f t="shared" si="65"/>
        <v>0.19367344693978161</v>
      </c>
      <c r="AV605">
        <f t="shared" si="66"/>
        <v>1325370.0781942559</v>
      </c>
      <c r="AW605">
        <f t="shared" si="67"/>
        <v>1340587.5070242642</v>
      </c>
      <c r="AY605">
        <f t="shared" si="68"/>
        <v>0</v>
      </c>
      <c r="AZ605">
        <f t="shared" si="69"/>
        <v>1</v>
      </c>
    </row>
    <row r="606" spans="1:52" x14ac:dyDescent="0.2">
      <c r="A606">
        <f t="shared" si="63"/>
        <v>602</v>
      </c>
      <c r="B606">
        <v>2.2485564071328665E-2</v>
      </c>
      <c r="C606">
        <v>3.0869731438558423E-2</v>
      </c>
      <c r="D606">
        <v>4.1550625848987277E-2</v>
      </c>
      <c r="E606">
        <v>2.266367824923436E-3</v>
      </c>
      <c r="F606">
        <v>3.5807996463591563E-3</v>
      </c>
      <c r="G606">
        <v>1.2823329250530202E-2</v>
      </c>
      <c r="H606">
        <v>2.3299043072772641E-2</v>
      </c>
      <c r="I606">
        <v>0.12728910646174188</v>
      </c>
      <c r="J606">
        <v>0</v>
      </c>
      <c r="K606">
        <v>0.41849929941405051</v>
      </c>
      <c r="L606">
        <v>0.24660988091122049</v>
      </c>
      <c r="M606">
        <v>0.75339011908877951</v>
      </c>
      <c r="N606">
        <v>4.989135358813783E-2</v>
      </c>
      <c r="O606" s="72">
        <v>0.99374673840948335</v>
      </c>
      <c r="P606">
        <v>0.99940217492107575</v>
      </c>
      <c r="Q606">
        <v>0.97588321467582562</v>
      </c>
      <c r="R606">
        <v>0.51938533702222367</v>
      </c>
      <c r="S606">
        <v>0.51193409086149833</v>
      </c>
      <c r="T606">
        <v>0.16871313881028538</v>
      </c>
      <c r="U606">
        <v>0.7715074237880184</v>
      </c>
      <c r="V606">
        <v>0.65267832202351816</v>
      </c>
      <c r="W606">
        <v>0.41210954133755445</v>
      </c>
      <c r="X606">
        <v>0.41859764250225068</v>
      </c>
      <c r="Y606">
        <v>0.51333103145377268</v>
      </c>
      <c r="Z606">
        <v>0.43032338376163443</v>
      </c>
      <c r="AA606">
        <v>0.70963136751702782</v>
      </c>
      <c r="AB606">
        <v>0.90785956473902996</v>
      </c>
      <c r="AC606">
        <v>0.79275765523349095</v>
      </c>
      <c r="AD606">
        <v>0.62305263337383865</v>
      </c>
      <c r="AE606">
        <v>178.89830913001188</v>
      </c>
      <c r="AF606">
        <v>1118.0447131080327</v>
      </c>
      <c r="AG606">
        <v>1367.2067469726444</v>
      </c>
      <c r="AH606">
        <v>12272.249590147443</v>
      </c>
      <c r="AI606">
        <v>14682.072107578564</v>
      </c>
      <c r="AJ606">
        <v>43679.851202369704</v>
      </c>
      <c r="AK606">
        <v>11484.741466954447</v>
      </c>
      <c r="AL606">
        <v>2171.2045309882769</v>
      </c>
      <c r="AM606">
        <v>515.76989896069233</v>
      </c>
      <c r="AO606">
        <v>44103.47846193314</v>
      </c>
      <c r="AP606">
        <v>14.591454282207307</v>
      </c>
      <c r="AQ606">
        <v>48541.212974179834</v>
      </c>
      <c r="AR606">
        <v>14.885156436420969</v>
      </c>
      <c r="AS606" s="2">
        <f t="shared" si="64"/>
        <v>4437.7345122466941</v>
      </c>
      <c r="AT606" s="2">
        <f t="shared" si="65"/>
        <v>0.29370215421366197</v>
      </c>
      <c r="AV606">
        <f t="shared" si="66"/>
        <v>1415041.9497587977</v>
      </c>
      <c r="AW606">
        <f t="shared" si="67"/>
        <v>1439974.4306679172</v>
      </c>
      <c r="AY606">
        <f t="shared" si="68"/>
        <v>0</v>
      </c>
      <c r="AZ606">
        <f t="shared" si="69"/>
        <v>1</v>
      </c>
    </row>
    <row r="607" spans="1:52" x14ac:dyDescent="0.2">
      <c r="A607">
        <f t="shared" si="63"/>
        <v>603</v>
      </c>
      <c r="B607">
        <v>2.4885897687752956E-2</v>
      </c>
      <c r="C607">
        <v>3.7539234339166283E-2</v>
      </c>
      <c r="D607">
        <v>3.4681686010543812E-2</v>
      </c>
      <c r="E607">
        <v>4.7249713136436777E-2</v>
      </c>
      <c r="F607">
        <v>3.4005123260337777E-3</v>
      </c>
      <c r="G607">
        <v>7.6845727450386304E-3</v>
      </c>
      <c r="H607">
        <v>2.6045443658737569E-2</v>
      </c>
      <c r="I607">
        <v>0.13220370297178141</v>
      </c>
      <c r="J607">
        <v>0</v>
      </c>
      <c r="K607">
        <v>0.41478272616263934</v>
      </c>
      <c r="L607">
        <v>0.20092080705074544</v>
      </c>
      <c r="M607">
        <v>0.79907919294925456</v>
      </c>
      <c r="N607">
        <v>8.2674387620628398E-2</v>
      </c>
      <c r="O607" s="72">
        <v>0.99848354340615386</v>
      </c>
      <c r="P607">
        <v>0.99263784265378352</v>
      </c>
      <c r="Q607">
        <v>0.96626534620855631</v>
      </c>
      <c r="R607">
        <v>0.48481789497174943</v>
      </c>
      <c r="S607">
        <v>0.29678465395740761</v>
      </c>
      <c r="T607">
        <v>0.22879895457400046</v>
      </c>
      <c r="U607">
        <v>0.77105226731357435</v>
      </c>
      <c r="V607">
        <v>0.69113211443306577</v>
      </c>
      <c r="W607">
        <v>0.52794306441466776</v>
      </c>
      <c r="X607">
        <v>0.40158961098717832</v>
      </c>
      <c r="Y607">
        <v>0.47536770109828108</v>
      </c>
      <c r="Z607">
        <v>0.45665425389096426</v>
      </c>
      <c r="AA607">
        <v>0.75760919865182419</v>
      </c>
      <c r="AB607">
        <v>0.82556847941985434</v>
      </c>
      <c r="AC607">
        <v>0.74489209068967699</v>
      </c>
      <c r="AD607">
        <v>0.62015652059605741</v>
      </c>
      <c r="AE607">
        <v>214.52032757065643</v>
      </c>
      <c r="AF607">
        <v>1109.8665590100384</v>
      </c>
      <c r="AG607">
        <v>1202.3813084129331</v>
      </c>
      <c r="AH607">
        <v>13440.910244502933</v>
      </c>
      <c r="AI607">
        <v>12120.166743524382</v>
      </c>
      <c r="AJ607">
        <v>34379.552474802054</v>
      </c>
      <c r="AK607">
        <v>15770.200616199892</v>
      </c>
      <c r="AL607">
        <v>2410.3011510279393</v>
      </c>
      <c r="AM607">
        <v>405.65249438751948</v>
      </c>
      <c r="AO607">
        <v>44837.887930051889</v>
      </c>
      <c r="AP607">
        <v>13.389733645475216</v>
      </c>
      <c r="AQ607">
        <v>47053.675616469591</v>
      </c>
      <c r="AR607">
        <v>13.652600004749241</v>
      </c>
      <c r="AS607" s="2">
        <f t="shared" si="64"/>
        <v>2215.7876864177015</v>
      </c>
      <c r="AT607" s="2">
        <f t="shared" si="65"/>
        <v>0.26286635927402457</v>
      </c>
      <c r="AV607">
        <f t="shared" si="66"/>
        <v>1294135.4766174697</v>
      </c>
      <c r="AW607">
        <f t="shared" si="67"/>
        <v>1318206.3248584543</v>
      </c>
      <c r="AY607">
        <f t="shared" si="68"/>
        <v>0</v>
      </c>
      <c r="AZ607">
        <f t="shared" si="69"/>
        <v>1</v>
      </c>
    </row>
    <row r="608" spans="1:52" x14ac:dyDescent="0.2">
      <c r="A608">
        <f t="shared" si="63"/>
        <v>604</v>
      </c>
      <c r="B608">
        <v>2.4007206745170779E-2</v>
      </c>
      <c r="C608">
        <v>3.4697674118717034E-2</v>
      </c>
      <c r="D608">
        <v>2.5410546043164204E-2</v>
      </c>
      <c r="E608">
        <v>1.5139550477292207E-2</v>
      </c>
      <c r="F608">
        <v>3.1742160958000741E-3</v>
      </c>
      <c r="G608">
        <v>6.2495289296206325E-4</v>
      </c>
      <c r="H608">
        <v>1.520156638003674E-2</v>
      </c>
      <c r="I608">
        <v>0.11421103190181298</v>
      </c>
      <c r="J608">
        <v>0</v>
      </c>
      <c r="K608">
        <v>0.44316168845851767</v>
      </c>
      <c r="L608">
        <v>0.18019824753763825</v>
      </c>
      <c r="M608">
        <v>0.81980175246236175</v>
      </c>
      <c r="N608">
        <v>4.8381412440479082E-2</v>
      </c>
      <c r="O608" s="72">
        <v>0.99789671283395531</v>
      </c>
      <c r="P608">
        <v>0.99781212980369061</v>
      </c>
      <c r="Q608">
        <v>0.96106193093347714</v>
      </c>
      <c r="R608">
        <v>0.45160202887868384</v>
      </c>
      <c r="S608">
        <v>0.42440858075986199</v>
      </c>
      <c r="T608">
        <v>0.20345883425509359</v>
      </c>
      <c r="U608">
        <v>0.76348417498120269</v>
      </c>
      <c r="V608">
        <v>0.63671887291395857</v>
      </c>
      <c r="W608">
        <v>0.50584138726955885</v>
      </c>
      <c r="X608">
        <v>0.48670221663353741</v>
      </c>
      <c r="Y608">
        <v>0.39334448612481365</v>
      </c>
      <c r="Z608">
        <v>0.46764443030572833</v>
      </c>
      <c r="AA608">
        <v>0.70198134942433388</v>
      </c>
      <c r="AB608">
        <v>0.78984131000657098</v>
      </c>
      <c r="AC608">
        <v>0.68503526388426705</v>
      </c>
      <c r="AD608">
        <v>0.67392308908640453</v>
      </c>
      <c r="AE608">
        <v>221.9135729036399</v>
      </c>
      <c r="AF608">
        <v>1052.6157314898376</v>
      </c>
      <c r="AG608">
        <v>782.9349035208387</v>
      </c>
      <c r="AH608">
        <v>10731.941742466746</v>
      </c>
      <c r="AI608">
        <v>9019.3680108956978</v>
      </c>
      <c r="AJ608">
        <v>38776.055034527031</v>
      </c>
      <c r="AK608">
        <v>11254.959946541894</v>
      </c>
      <c r="AL608">
        <v>2041.5868740501485</v>
      </c>
      <c r="AM608">
        <v>311.40302035471257</v>
      </c>
      <c r="AO608">
        <v>43973.584364231676</v>
      </c>
      <c r="AP608">
        <v>12.93385486984322</v>
      </c>
      <c r="AQ608">
        <v>45350.785083225601</v>
      </c>
      <c r="AR608">
        <v>13.127772280726973</v>
      </c>
      <c r="AS608" s="2">
        <f t="shared" si="64"/>
        <v>1377.200718993925</v>
      </c>
      <c r="AT608" s="2">
        <f t="shared" si="65"/>
        <v>0.19391741088375269</v>
      </c>
      <c r="AV608">
        <f t="shared" si="66"/>
        <v>1249411.9026200904</v>
      </c>
      <c r="AW608">
        <f t="shared" si="67"/>
        <v>1267426.4429894716</v>
      </c>
      <c r="AY608">
        <f t="shared" si="68"/>
        <v>0</v>
      </c>
      <c r="AZ608">
        <f t="shared" si="69"/>
        <v>1</v>
      </c>
    </row>
    <row r="609" spans="1:52" x14ac:dyDescent="0.2">
      <c r="A609">
        <f t="shared" si="63"/>
        <v>605</v>
      </c>
      <c r="B609">
        <v>2.4529827407705377E-2</v>
      </c>
      <c r="C609">
        <v>3.6142853371253052E-2</v>
      </c>
      <c r="D609">
        <v>4.7767901738040686E-2</v>
      </c>
      <c r="E609">
        <v>1.2651070223067995E-2</v>
      </c>
      <c r="F609">
        <v>3.324977645177207E-3</v>
      </c>
      <c r="G609">
        <v>1.0509408888045874E-2</v>
      </c>
      <c r="H609">
        <v>4.9695068140908294E-2</v>
      </c>
      <c r="I609">
        <v>0.13762862615564386</v>
      </c>
      <c r="J609">
        <v>0</v>
      </c>
      <c r="K609">
        <v>0.47988265306186517</v>
      </c>
      <c r="L609">
        <v>0.23056728918288472</v>
      </c>
      <c r="M609">
        <v>0.76943271081711528</v>
      </c>
      <c r="N609">
        <v>6.5935764184929746E-2</v>
      </c>
      <c r="O609" s="72">
        <v>0.96936879200039816</v>
      </c>
      <c r="P609">
        <v>0.99995094729326084</v>
      </c>
      <c r="Q609">
        <v>0.88994409862929569</v>
      </c>
      <c r="R609">
        <v>0.48892892634301877</v>
      </c>
      <c r="S609">
        <v>0.41817782310754259</v>
      </c>
      <c r="T609">
        <v>0.29857961791267584</v>
      </c>
      <c r="U609">
        <v>0.75798376988603255</v>
      </c>
      <c r="V609">
        <v>0.66410849966885599</v>
      </c>
      <c r="W609">
        <v>0.45697468320804308</v>
      </c>
      <c r="X609">
        <v>0.40147162528176972</v>
      </c>
      <c r="Y609">
        <v>0.40907025604810532</v>
      </c>
      <c r="Z609">
        <v>0.46171473691282416</v>
      </c>
      <c r="AA609">
        <v>0.68643732538402635</v>
      </c>
      <c r="AB609">
        <v>0.79610727362986078</v>
      </c>
      <c r="AC609">
        <v>0.68173166071872715</v>
      </c>
      <c r="AD609">
        <v>0.57317933432701984</v>
      </c>
      <c r="AE609">
        <v>197.74255919421492</v>
      </c>
      <c r="AF609">
        <v>850.98080094325735</v>
      </c>
      <c r="AG609">
        <v>1524.8981125322364</v>
      </c>
      <c r="AH609">
        <v>14664.708467203578</v>
      </c>
      <c r="AI609">
        <v>10619.509525901854</v>
      </c>
      <c r="AJ609">
        <v>41079.643541198246</v>
      </c>
      <c r="AK609">
        <v>10794.103286271105</v>
      </c>
      <c r="AL609">
        <v>2865.3219778805851</v>
      </c>
      <c r="AM609">
        <v>310.72850551294948</v>
      </c>
      <c r="AO609">
        <v>40745.074532745348</v>
      </c>
      <c r="AP609">
        <v>12.90363740298125</v>
      </c>
      <c r="AQ609">
        <v>45755.805646636079</v>
      </c>
      <c r="AR609">
        <v>13.063460442144258</v>
      </c>
      <c r="AS609" s="2">
        <f t="shared" si="64"/>
        <v>5010.7311138907316</v>
      </c>
      <c r="AT609" s="2">
        <f t="shared" si="65"/>
        <v>0.15982303916300822</v>
      </c>
      <c r="AV609">
        <f t="shared" si="66"/>
        <v>1249618.6657653796</v>
      </c>
      <c r="AW609">
        <f t="shared" si="67"/>
        <v>1260590.2385677898</v>
      </c>
      <c r="AY609">
        <f t="shared" si="68"/>
        <v>0</v>
      </c>
      <c r="AZ609">
        <f t="shared" si="69"/>
        <v>1</v>
      </c>
    </row>
    <row r="610" spans="1:52" x14ac:dyDescent="0.2">
      <c r="A610">
        <f t="shared" si="63"/>
        <v>606</v>
      </c>
      <c r="B610">
        <v>2.1037417789444363E-2</v>
      </c>
      <c r="C610">
        <v>4.8377197011710615E-2</v>
      </c>
      <c r="D610">
        <v>3.4195636944858013E-2</v>
      </c>
      <c r="E610">
        <v>2.8872108106918648E-2</v>
      </c>
      <c r="F610">
        <v>3.3228009600049227E-3</v>
      </c>
      <c r="G610">
        <v>4.2312344759152243E-2</v>
      </c>
      <c r="H610">
        <v>3.2714095411442656E-2</v>
      </c>
      <c r="I610">
        <v>0.13259842611322081</v>
      </c>
      <c r="J610">
        <v>0</v>
      </c>
      <c r="K610">
        <v>0.45063009385085073</v>
      </c>
      <c r="L610">
        <v>0.1696108131658188</v>
      </c>
      <c r="M610">
        <v>0.83038918683418117</v>
      </c>
      <c r="N610">
        <v>6.0097071963680859E-2</v>
      </c>
      <c r="O610" s="72">
        <v>0.99945326074223795</v>
      </c>
      <c r="P610">
        <v>0.99431083813222187</v>
      </c>
      <c r="Q610">
        <v>0.90417387233051161</v>
      </c>
      <c r="R610">
        <v>0.47974357118941602</v>
      </c>
      <c r="S610">
        <v>0.40499566548561905</v>
      </c>
      <c r="T610">
        <v>0.26714738013683004</v>
      </c>
      <c r="U610">
        <v>0.75866852683373109</v>
      </c>
      <c r="V610">
        <v>0.68790399765426224</v>
      </c>
      <c r="W610">
        <v>0.53351999676156758</v>
      </c>
      <c r="X610">
        <v>0.45361859746103783</v>
      </c>
      <c r="Y610">
        <v>0.49825730314101968</v>
      </c>
      <c r="Z610">
        <v>0.47964006195168707</v>
      </c>
      <c r="AA610">
        <v>0.60908416435657131</v>
      </c>
      <c r="AB610">
        <v>0.76420391697001189</v>
      </c>
      <c r="AC610">
        <v>0.73128831360341584</v>
      </c>
      <c r="AD610">
        <v>0.66798148825811632</v>
      </c>
      <c r="AE610">
        <v>141.27378637578241</v>
      </c>
      <c r="AF610">
        <v>1233.4554540669083</v>
      </c>
      <c r="AG610">
        <v>1457.3905909049995</v>
      </c>
      <c r="AH610">
        <v>12265.535401488492</v>
      </c>
      <c r="AI610">
        <v>14161.339279738555</v>
      </c>
      <c r="AJ610">
        <v>38640.421614091938</v>
      </c>
      <c r="AK610">
        <v>11385.818814507509</v>
      </c>
      <c r="AL610">
        <v>2211.6831851926445</v>
      </c>
      <c r="AM610">
        <v>293.80322638238482</v>
      </c>
      <c r="AO610">
        <v>41289.738725973075</v>
      </c>
      <c r="AP610">
        <v>12.687510344045517</v>
      </c>
      <c r="AQ610">
        <v>45401.164485978428</v>
      </c>
      <c r="AR610">
        <v>12.840005560369663</v>
      </c>
      <c r="AS610" s="2">
        <f t="shared" si="64"/>
        <v>4111.4257600053534</v>
      </c>
      <c r="AT610" s="2">
        <f t="shared" si="65"/>
        <v>0.1524952163241462</v>
      </c>
      <c r="AV610">
        <f t="shared" si="66"/>
        <v>1227461.2956785785</v>
      </c>
      <c r="AW610">
        <f t="shared" si="67"/>
        <v>1238599.391550988</v>
      </c>
      <c r="AY610">
        <f t="shared" si="68"/>
        <v>0</v>
      </c>
      <c r="AZ610">
        <f t="shared" si="69"/>
        <v>1</v>
      </c>
    </row>
    <row r="611" spans="1:52" x14ac:dyDescent="0.2">
      <c r="A611">
        <f t="shared" si="63"/>
        <v>607</v>
      </c>
      <c r="B611">
        <v>1.9918569163704321E-2</v>
      </c>
      <c r="C611">
        <v>4.2448287280460351E-2</v>
      </c>
      <c r="D611">
        <v>6.1687185568004677E-2</v>
      </c>
      <c r="E611">
        <v>5.2849639500884204E-3</v>
      </c>
      <c r="F611">
        <v>3.282694021841938E-3</v>
      </c>
      <c r="G611">
        <v>1.664067736250685E-2</v>
      </c>
      <c r="H611">
        <v>2.6217894518035155E-2</v>
      </c>
      <c r="I611">
        <v>0.11082792629133452</v>
      </c>
      <c r="J611">
        <v>0</v>
      </c>
      <c r="K611">
        <v>0.39817883799014592</v>
      </c>
      <c r="L611">
        <v>0.1752468247576533</v>
      </c>
      <c r="M611">
        <v>0.8247531752423467</v>
      </c>
      <c r="N611">
        <v>6.3329604264111938E-2</v>
      </c>
      <c r="O611" s="72">
        <v>0.99515633832219585</v>
      </c>
      <c r="P611">
        <v>0.99897896444270451</v>
      </c>
      <c r="Q611">
        <v>0.98994628592543088</v>
      </c>
      <c r="R611">
        <v>0.50862341987590753</v>
      </c>
      <c r="S611">
        <v>0.42464693732805303</v>
      </c>
      <c r="T611">
        <v>0.19258137020291299</v>
      </c>
      <c r="U611">
        <v>0.76821218404086755</v>
      </c>
      <c r="V611">
        <v>0.68781415523079925</v>
      </c>
      <c r="W611">
        <v>0.4791153740458059</v>
      </c>
      <c r="X611">
        <v>0.44303591408505688</v>
      </c>
      <c r="Y611">
        <v>0.41910753946878032</v>
      </c>
      <c r="Z611">
        <v>0.4666907870478324</v>
      </c>
      <c r="AA611">
        <v>0.69854167840182035</v>
      </c>
      <c r="AB611">
        <v>0.84448323951999593</v>
      </c>
      <c r="AC611">
        <v>0.77032452536343765</v>
      </c>
      <c r="AD611">
        <v>0.6687667811433623</v>
      </c>
      <c r="AE611">
        <v>174.54402812290323</v>
      </c>
      <c r="AF611">
        <v>1166.9434477613804</v>
      </c>
      <c r="AG611">
        <v>2317.1072973976738</v>
      </c>
      <c r="AH611">
        <v>8460.0576014243943</v>
      </c>
      <c r="AI611">
        <v>10851.907103087749</v>
      </c>
      <c r="AJ611">
        <v>38008.453476225659</v>
      </c>
      <c r="AK611">
        <v>13854.868774342835</v>
      </c>
      <c r="AL611">
        <v>1320.7349654524423</v>
      </c>
      <c r="AM611">
        <v>374.37614675308237</v>
      </c>
      <c r="AO611">
        <v>42547.386128079204</v>
      </c>
      <c r="AP611">
        <v>13.764236408121919</v>
      </c>
      <c r="AQ611">
        <v>46269.595103235486</v>
      </c>
      <c r="AR611">
        <v>14.031976429056776</v>
      </c>
      <c r="AS611" s="2">
        <f t="shared" si="64"/>
        <v>3722.2089751562817</v>
      </c>
      <c r="AT611" s="2">
        <f t="shared" si="65"/>
        <v>0.26774002093485727</v>
      </c>
      <c r="AV611">
        <f t="shared" si="66"/>
        <v>1333876.2546841127</v>
      </c>
      <c r="AW611">
        <f t="shared" si="67"/>
        <v>1356928.0478024422</v>
      </c>
      <c r="AY611">
        <f t="shared" si="68"/>
        <v>0</v>
      </c>
      <c r="AZ611">
        <f t="shared" si="69"/>
        <v>1</v>
      </c>
    </row>
    <row r="612" spans="1:52" x14ac:dyDescent="0.2">
      <c r="A612">
        <f t="shared" si="63"/>
        <v>608</v>
      </c>
      <c r="B612">
        <v>2.1399250881078118E-2</v>
      </c>
      <c r="C612">
        <v>3.2210378596664743E-2</v>
      </c>
      <c r="D612">
        <v>4.2451465726314752E-2</v>
      </c>
      <c r="E612">
        <v>6.7771040073910539E-3</v>
      </c>
      <c r="F612">
        <v>3.2700769533014185E-3</v>
      </c>
      <c r="G612">
        <v>1.8503788173373281E-2</v>
      </c>
      <c r="H612">
        <v>8.2629911900560741E-3</v>
      </c>
      <c r="I612">
        <v>0.1325100227059407</v>
      </c>
      <c r="J612">
        <v>0</v>
      </c>
      <c r="K612">
        <v>0.48284414463765668</v>
      </c>
      <c r="L612">
        <v>9.4036107146228468E-2</v>
      </c>
      <c r="M612">
        <v>0.90596389285377155</v>
      </c>
      <c r="N612">
        <v>4.3819080977623541E-2</v>
      </c>
      <c r="O612" s="72">
        <v>0.99904229189492522</v>
      </c>
      <c r="P612">
        <v>0.99701638899399647</v>
      </c>
      <c r="Q612">
        <v>0.97470229768403294</v>
      </c>
      <c r="R612">
        <v>0.49287043759071769</v>
      </c>
      <c r="S612">
        <v>0.29754818549607476</v>
      </c>
      <c r="T612">
        <v>0.2419107400840721</v>
      </c>
      <c r="U612">
        <v>0.75499777776414378</v>
      </c>
      <c r="V612">
        <v>0.76103654879759441</v>
      </c>
      <c r="W612">
        <v>0.57646710427356185</v>
      </c>
      <c r="X612">
        <v>0.43849387585933602</v>
      </c>
      <c r="Y612">
        <v>0.44528770100836895</v>
      </c>
      <c r="Z612">
        <v>0.44574369845176021</v>
      </c>
      <c r="AA612">
        <v>0.74487395776025123</v>
      </c>
      <c r="AB612">
        <v>0.84806445361674454</v>
      </c>
      <c r="AC612">
        <v>0.81539448522482705</v>
      </c>
      <c r="AD612">
        <v>0.45637068320037827</v>
      </c>
      <c r="AE612">
        <v>198.47055631723424</v>
      </c>
      <c r="AF612">
        <v>941.4407104042707</v>
      </c>
      <c r="AG612">
        <v>2184.0764145886956</v>
      </c>
      <c r="AH612">
        <v>13277.218637259595</v>
      </c>
      <c r="AI612">
        <v>9057.8024366681548</v>
      </c>
      <c r="AJ612">
        <v>40814.294729899026</v>
      </c>
      <c r="AK612">
        <v>20861.448129163287</v>
      </c>
      <c r="AL612">
        <v>2329.57110128967</v>
      </c>
      <c r="AM612">
        <v>280.11639979354743</v>
      </c>
      <c r="AO612">
        <v>42807.668416585097</v>
      </c>
      <c r="AP612">
        <v>13.706977749339815</v>
      </c>
      <c r="AQ612">
        <v>44948.690329468584</v>
      </c>
      <c r="AR612">
        <v>13.870802388141161</v>
      </c>
      <c r="AS612" s="2">
        <f t="shared" si="64"/>
        <v>2141.0219128834869</v>
      </c>
      <c r="AT612" s="2">
        <f t="shared" si="65"/>
        <v>0.16382463880134601</v>
      </c>
      <c r="AV612">
        <f t="shared" si="66"/>
        <v>1327890.1065173964</v>
      </c>
      <c r="AW612">
        <f t="shared" si="67"/>
        <v>1342131.5484846476</v>
      </c>
      <c r="AY612">
        <f t="shared" si="68"/>
        <v>0</v>
      </c>
      <c r="AZ612">
        <f t="shared" si="69"/>
        <v>1</v>
      </c>
    </row>
    <row r="613" spans="1:52" x14ac:dyDescent="0.2">
      <c r="A613">
        <f t="shared" si="63"/>
        <v>609</v>
      </c>
      <c r="B613">
        <v>2.2832266552938314E-2</v>
      </c>
      <c r="C613">
        <v>3.797963151096817E-2</v>
      </c>
      <c r="D613">
        <v>5.9618792942046306E-2</v>
      </c>
      <c r="E613">
        <v>1.4319889357355065E-2</v>
      </c>
      <c r="F613">
        <v>3.3638452877017277E-3</v>
      </c>
      <c r="G613">
        <v>1.0445514775215464E-2</v>
      </c>
      <c r="H613">
        <v>1.9329518446391105E-2</v>
      </c>
      <c r="I613">
        <v>0.11979706340754211</v>
      </c>
      <c r="J613">
        <v>0</v>
      </c>
      <c r="K613">
        <v>0.40547384071284126</v>
      </c>
      <c r="L613">
        <v>0.1928910642161297</v>
      </c>
      <c r="M613">
        <v>0.80710893578387033</v>
      </c>
      <c r="N613">
        <v>5.3142880042009608E-2</v>
      </c>
      <c r="O613" s="72">
        <v>0.99923496115329069</v>
      </c>
      <c r="P613">
        <v>0.99875540308845323</v>
      </c>
      <c r="Q613">
        <v>0.96364729992155274</v>
      </c>
      <c r="R613">
        <v>0.50380973343854896</v>
      </c>
      <c r="S613">
        <v>0.29257821483585866</v>
      </c>
      <c r="T613">
        <v>0.24339283909854126</v>
      </c>
      <c r="U613">
        <v>0.76934370275735331</v>
      </c>
      <c r="V613">
        <v>0.66119969417866487</v>
      </c>
      <c r="W613">
        <v>0.55071900652896266</v>
      </c>
      <c r="X613">
        <v>0.48386287476150014</v>
      </c>
      <c r="Y613">
        <v>0.45583365403318832</v>
      </c>
      <c r="Z613">
        <v>0.42901509315709918</v>
      </c>
      <c r="AA613">
        <v>0.70489270054354858</v>
      </c>
      <c r="AB613">
        <v>0.78173340649986855</v>
      </c>
      <c r="AC613">
        <v>0.72474307601829169</v>
      </c>
      <c r="AD613">
        <v>0.66176654548706626</v>
      </c>
      <c r="AE613">
        <v>160.7841290379468</v>
      </c>
      <c r="AF613">
        <v>1030.5776073864599</v>
      </c>
      <c r="AG613">
        <v>1819.2099083415935</v>
      </c>
      <c r="AH613">
        <v>15564.52252511593</v>
      </c>
      <c r="AI613">
        <v>17154.617945772203</v>
      </c>
      <c r="AJ613">
        <v>34146.398432779519</v>
      </c>
      <c r="AK613">
        <v>14929.2198328182</v>
      </c>
      <c r="AL613">
        <v>1683.8212557915249</v>
      </c>
      <c r="AM613">
        <v>318.17084254604413</v>
      </c>
      <c r="AO613">
        <v>43117.821365385753</v>
      </c>
      <c r="AP613">
        <v>12.877963379390982</v>
      </c>
      <c r="AQ613">
        <v>45567.918566264663</v>
      </c>
      <c r="AR613">
        <v>13.068204401724861</v>
      </c>
      <c r="AS613" s="2">
        <f t="shared" si="64"/>
        <v>2450.0972008789104</v>
      </c>
      <c r="AT613" s="2">
        <f t="shared" si="65"/>
        <v>0.19024102233387907</v>
      </c>
      <c r="AV613">
        <f t="shared" si="66"/>
        <v>1244678.5165737125</v>
      </c>
      <c r="AW613">
        <f t="shared" si="67"/>
        <v>1261252.5216062213</v>
      </c>
      <c r="AY613">
        <f t="shared" si="68"/>
        <v>0</v>
      </c>
      <c r="AZ613">
        <f t="shared" si="69"/>
        <v>1</v>
      </c>
    </row>
    <row r="614" spans="1:52" x14ac:dyDescent="0.2">
      <c r="A614">
        <f t="shared" si="63"/>
        <v>610</v>
      </c>
      <c r="B614">
        <v>2.2027897558562284E-2</v>
      </c>
      <c r="C614">
        <v>4.081377692743271E-2</v>
      </c>
      <c r="D614">
        <v>3.6552246352573634E-2</v>
      </c>
      <c r="E614">
        <v>1.0696912472292917E-3</v>
      </c>
      <c r="F614">
        <v>3.2855367595302888E-3</v>
      </c>
      <c r="G614">
        <v>4.4764729273331309E-3</v>
      </c>
      <c r="H614">
        <v>5.3493199351947185E-2</v>
      </c>
      <c r="I614">
        <v>0.13270465777069462</v>
      </c>
      <c r="J614">
        <v>0</v>
      </c>
      <c r="K614">
        <v>0.4893266473049166</v>
      </c>
      <c r="L614">
        <v>0.24425059715940101</v>
      </c>
      <c r="M614">
        <v>0.75574940284059899</v>
      </c>
      <c r="N614">
        <v>5.0352428362499924E-2</v>
      </c>
      <c r="O614" s="72">
        <v>0.9909671061015366</v>
      </c>
      <c r="P614">
        <v>0.99999557150454366</v>
      </c>
      <c r="Q614">
        <v>0.96325961697318396</v>
      </c>
      <c r="R614">
        <v>0.49266530739483783</v>
      </c>
      <c r="S614">
        <v>0.35267317034409695</v>
      </c>
      <c r="T614">
        <v>0.22426815229385944</v>
      </c>
      <c r="U614">
        <v>0.7672110059175502</v>
      </c>
      <c r="V614">
        <v>0.67193197582111175</v>
      </c>
      <c r="W614">
        <v>0.62679800093601323</v>
      </c>
      <c r="X614">
        <v>0.43854290733001233</v>
      </c>
      <c r="Y614">
        <v>0.42140518249640918</v>
      </c>
      <c r="Z614">
        <v>0.49109805075398538</v>
      </c>
      <c r="AA614">
        <v>0.67130932548695854</v>
      </c>
      <c r="AB614">
        <v>0.80738201385554209</v>
      </c>
      <c r="AC614">
        <v>0.71245908114543999</v>
      </c>
      <c r="AD614">
        <v>0.58434972024836962</v>
      </c>
      <c r="AE614">
        <v>161.10655126954887</v>
      </c>
      <c r="AF614">
        <v>1096.634440438369</v>
      </c>
      <c r="AG614">
        <v>1866.4626280616526</v>
      </c>
      <c r="AH614">
        <v>14486.739057838931</v>
      </c>
      <c r="AI614">
        <v>14108.136082825831</v>
      </c>
      <c r="AJ614">
        <v>36817.39216956692</v>
      </c>
      <c r="AK614">
        <v>13115.113856898106</v>
      </c>
      <c r="AL614">
        <v>2350.1721631555611</v>
      </c>
      <c r="AM614">
        <v>363.93657543816028</v>
      </c>
      <c r="AO614">
        <v>43614.562158944624</v>
      </c>
      <c r="AP614">
        <v>13.171651413543724</v>
      </c>
      <c r="AQ614">
        <v>46237.772685451353</v>
      </c>
      <c r="AR614">
        <v>13.297138307615775</v>
      </c>
      <c r="AS614" s="2">
        <f t="shared" si="64"/>
        <v>2623.2105265067294</v>
      </c>
      <c r="AT614" s="2">
        <f t="shared" si="65"/>
        <v>0.1254868940720506</v>
      </c>
      <c r="AV614">
        <f t="shared" si="66"/>
        <v>1273550.5791954279</v>
      </c>
      <c r="AW614">
        <f t="shared" si="67"/>
        <v>1283476.058076126</v>
      </c>
      <c r="AY614">
        <f t="shared" si="68"/>
        <v>0</v>
      </c>
      <c r="AZ614">
        <f t="shared" si="69"/>
        <v>1</v>
      </c>
    </row>
    <row r="615" spans="1:52" x14ac:dyDescent="0.2">
      <c r="A615">
        <f t="shared" si="63"/>
        <v>611</v>
      </c>
      <c r="B615">
        <v>1.9702236585405535E-2</v>
      </c>
      <c r="C615">
        <v>3.3349501922994039E-2</v>
      </c>
      <c r="D615">
        <v>4.7991157426892528E-2</v>
      </c>
      <c r="E615">
        <v>1.1210332408213031E-2</v>
      </c>
      <c r="F615">
        <v>3.4069022333521604E-3</v>
      </c>
      <c r="G615">
        <v>5.5879725652604774E-3</v>
      </c>
      <c r="H615">
        <v>1.321810154543818E-2</v>
      </c>
      <c r="I615">
        <v>0.11814856662305935</v>
      </c>
      <c r="J615">
        <v>0</v>
      </c>
      <c r="K615">
        <v>0.43186714192522768</v>
      </c>
      <c r="L615">
        <v>0.1784592286699184</v>
      </c>
      <c r="M615">
        <v>0.82154077133008163</v>
      </c>
      <c r="N615">
        <v>6.786936224025597E-2</v>
      </c>
      <c r="O615" s="72">
        <v>0.99662175748822324</v>
      </c>
      <c r="P615">
        <v>0.99985031314142347</v>
      </c>
      <c r="Q615">
        <v>0.99266452188887311</v>
      </c>
      <c r="R615">
        <v>0.4707157111207384</v>
      </c>
      <c r="S615">
        <v>0.26646411350552723</v>
      </c>
      <c r="T615">
        <v>0.27740552943159658</v>
      </c>
      <c r="U615">
        <v>0.7736926643834795</v>
      </c>
      <c r="V615">
        <v>0.61948648335426282</v>
      </c>
      <c r="W615">
        <v>0.56463617974862201</v>
      </c>
      <c r="X615">
        <v>0.44648937678660722</v>
      </c>
      <c r="Y615">
        <v>0.48134297871074627</v>
      </c>
      <c r="Z615">
        <v>0.48684068550912274</v>
      </c>
      <c r="AA615">
        <v>0.58345226873480416</v>
      </c>
      <c r="AB615">
        <v>0.83733852530052832</v>
      </c>
      <c r="AC615">
        <v>0.67871408152932344</v>
      </c>
      <c r="AD615">
        <v>0.5816860283746651</v>
      </c>
      <c r="AE615">
        <v>220.69080473851309</v>
      </c>
      <c r="AF615">
        <v>1028.0041221582203</v>
      </c>
      <c r="AG615">
        <v>1603.0207457300726</v>
      </c>
      <c r="AH615">
        <v>18153.839258925203</v>
      </c>
      <c r="AI615">
        <v>9115.992227607032</v>
      </c>
      <c r="AJ615">
        <v>43266.479917978482</v>
      </c>
      <c r="AK615">
        <v>10166.323955510519</v>
      </c>
      <c r="AL615">
        <v>1900.2212114414904</v>
      </c>
      <c r="AM615">
        <v>362.23816252317039</v>
      </c>
      <c r="AO615">
        <v>45477.950002786412</v>
      </c>
      <c r="AP615">
        <v>13.442366201372343</v>
      </c>
      <c r="AQ615">
        <v>46235.556841899735</v>
      </c>
      <c r="AR615">
        <v>13.647045311039216</v>
      </c>
      <c r="AS615" s="2">
        <f t="shared" si="64"/>
        <v>757.60683911332308</v>
      </c>
      <c r="AT615" s="2">
        <f t="shared" si="65"/>
        <v>0.20467910966687342</v>
      </c>
      <c r="AV615">
        <f t="shared" si="66"/>
        <v>1298758.6701344477</v>
      </c>
      <c r="AW615">
        <f t="shared" si="67"/>
        <v>1318468.9742620219</v>
      </c>
      <c r="AY615">
        <f t="shared" si="68"/>
        <v>0</v>
      </c>
      <c r="AZ615">
        <f t="shared" si="69"/>
        <v>1</v>
      </c>
    </row>
    <row r="616" spans="1:52" x14ac:dyDescent="0.2">
      <c r="A616">
        <f t="shared" si="63"/>
        <v>612</v>
      </c>
      <c r="B616">
        <v>2.1761901849289458E-2</v>
      </c>
      <c r="C616">
        <v>2.9538986654688581E-2</v>
      </c>
      <c r="D616">
        <v>5.578957966196807E-2</v>
      </c>
      <c r="E616">
        <v>3.452779683818219E-2</v>
      </c>
      <c r="F616">
        <v>3.3501652082885691E-3</v>
      </c>
      <c r="G616">
        <v>1.2382194084189169E-2</v>
      </c>
      <c r="H616">
        <v>3.7032776232955422E-2</v>
      </c>
      <c r="I616">
        <v>0.1194394916113322</v>
      </c>
      <c r="J616">
        <v>0</v>
      </c>
      <c r="K616">
        <v>0.41486289420379441</v>
      </c>
      <c r="L616">
        <v>0.17116826867046062</v>
      </c>
      <c r="M616">
        <v>0.82883173132953936</v>
      </c>
      <c r="N616">
        <v>4.7418050630563445E-2</v>
      </c>
      <c r="O616" s="72">
        <v>0.99982069417377983</v>
      </c>
      <c r="P616">
        <v>0.99843668960732557</v>
      </c>
      <c r="Q616">
        <v>0.92571019934331777</v>
      </c>
      <c r="R616">
        <v>0.50094477921273617</v>
      </c>
      <c r="S616">
        <v>0.35723486187939502</v>
      </c>
      <c r="T616">
        <v>0.34516403124690653</v>
      </c>
      <c r="U616">
        <v>0.78191200790560766</v>
      </c>
      <c r="V616">
        <v>0.64943960838185688</v>
      </c>
      <c r="W616">
        <v>0.47622726012109107</v>
      </c>
      <c r="X616">
        <v>0.46642416144426335</v>
      </c>
      <c r="Y616">
        <v>0.47301102785872717</v>
      </c>
      <c r="Z616">
        <v>0.47875883688788634</v>
      </c>
      <c r="AA616">
        <v>0.68314805488390351</v>
      </c>
      <c r="AB616">
        <v>0.83391214386483303</v>
      </c>
      <c r="AC616">
        <v>0.78186563451384494</v>
      </c>
      <c r="AD616">
        <v>0.65112630985791697</v>
      </c>
      <c r="AE616">
        <v>113.06539194536745</v>
      </c>
      <c r="AF616">
        <v>1130.6249672943954</v>
      </c>
      <c r="AG616">
        <v>1482.9487665291897</v>
      </c>
      <c r="AH616">
        <v>13405.189236683869</v>
      </c>
      <c r="AI616">
        <v>18387.979522272257</v>
      </c>
      <c r="AJ616">
        <v>45241.859787057532</v>
      </c>
      <c r="AK616">
        <v>9960.5219466439958</v>
      </c>
      <c r="AL616">
        <v>3326.2583531856312</v>
      </c>
      <c r="AM616">
        <v>315.41742848351686</v>
      </c>
      <c r="AO616">
        <v>40385.560437833665</v>
      </c>
      <c r="AP616">
        <v>13.673614281169165</v>
      </c>
      <c r="AQ616">
        <v>45576.358880542131</v>
      </c>
      <c r="AR616">
        <v>13.877270316282356</v>
      </c>
      <c r="AS616" s="2">
        <f t="shared" si="64"/>
        <v>5190.7984427084666</v>
      </c>
      <c r="AT616" s="2">
        <f t="shared" si="65"/>
        <v>0.20365603511319108</v>
      </c>
      <c r="AV616">
        <f t="shared" si="66"/>
        <v>1326975.8676790828</v>
      </c>
      <c r="AW616">
        <f t="shared" si="67"/>
        <v>1342150.6727476935</v>
      </c>
      <c r="AY616">
        <f t="shared" si="68"/>
        <v>0</v>
      </c>
      <c r="AZ616">
        <f t="shared" si="69"/>
        <v>1</v>
      </c>
    </row>
    <row r="617" spans="1:52" x14ac:dyDescent="0.2">
      <c r="A617">
        <f t="shared" si="63"/>
        <v>613</v>
      </c>
      <c r="B617">
        <v>1.92816754359765E-2</v>
      </c>
      <c r="C617">
        <v>4.2766208572197706E-2</v>
      </c>
      <c r="D617">
        <v>3.1644270875313713E-2</v>
      </c>
      <c r="E617">
        <v>1.9418227563042195E-3</v>
      </c>
      <c r="F617">
        <v>3.1970382432167403E-3</v>
      </c>
      <c r="G617">
        <v>9.0820374370360647E-3</v>
      </c>
      <c r="H617">
        <v>1.6828885305440959E-2</v>
      </c>
      <c r="I617">
        <v>0.11952139949603134</v>
      </c>
      <c r="J617">
        <v>0</v>
      </c>
      <c r="K617">
        <v>0.44666179537340767</v>
      </c>
      <c r="L617">
        <v>0.2707684845995314</v>
      </c>
      <c r="M617">
        <v>0.7292315154004686</v>
      </c>
      <c r="N617">
        <v>6.4516347629708592E-2</v>
      </c>
      <c r="O617" s="72">
        <v>0.99396636403808725</v>
      </c>
      <c r="P617">
        <v>0.99993578533079297</v>
      </c>
      <c r="Q617">
        <v>0.95465350418263051</v>
      </c>
      <c r="R617">
        <v>0.48960458994664169</v>
      </c>
      <c r="S617">
        <v>0.41018717099939406</v>
      </c>
      <c r="T617">
        <v>0.32240097182269445</v>
      </c>
      <c r="U617">
        <v>0.78090768744669214</v>
      </c>
      <c r="V617">
        <v>0.62226619291298357</v>
      </c>
      <c r="W617">
        <v>0.60457486686696216</v>
      </c>
      <c r="X617">
        <v>0.3779216885075049</v>
      </c>
      <c r="Y617">
        <v>0.38079117430723081</v>
      </c>
      <c r="Z617">
        <v>0.48123172601314368</v>
      </c>
      <c r="AA617">
        <v>0.76644293325974711</v>
      </c>
      <c r="AB617">
        <v>0.78034703913500203</v>
      </c>
      <c r="AC617">
        <v>0.76084858774513975</v>
      </c>
      <c r="AD617">
        <v>0.60715342764376434</v>
      </c>
      <c r="AE617">
        <v>189.06258461242527</v>
      </c>
      <c r="AF617">
        <v>1103.9458996648445</v>
      </c>
      <c r="AG617">
        <v>1629.940044410635</v>
      </c>
      <c r="AH617">
        <v>18336.408869560779</v>
      </c>
      <c r="AI617">
        <v>10870.573202692345</v>
      </c>
      <c r="AJ617">
        <v>38549.544494239701</v>
      </c>
      <c r="AK617">
        <v>20938.028695498819</v>
      </c>
      <c r="AL617">
        <v>2169.7648567706724</v>
      </c>
      <c r="AM617">
        <v>407.6979273774765</v>
      </c>
      <c r="AO617">
        <v>42218.335385033948</v>
      </c>
      <c r="AP617">
        <v>12.958674518149008</v>
      </c>
      <c r="AQ617">
        <v>47047.436917807769</v>
      </c>
      <c r="AR617">
        <v>13.03914029548249</v>
      </c>
      <c r="AS617" s="2">
        <f t="shared" si="64"/>
        <v>4829.1015327738205</v>
      </c>
      <c r="AT617" s="2">
        <f t="shared" si="65"/>
        <v>8.046577733348137E-2</v>
      </c>
      <c r="AV617">
        <f t="shared" si="66"/>
        <v>1253649.116429867</v>
      </c>
      <c r="AW617">
        <f t="shared" si="67"/>
        <v>1256866.5926304413</v>
      </c>
      <c r="AY617">
        <f t="shared" si="68"/>
        <v>0</v>
      </c>
      <c r="AZ617">
        <f t="shared" si="69"/>
        <v>1</v>
      </c>
    </row>
    <row r="618" spans="1:52" x14ac:dyDescent="0.2">
      <c r="A618">
        <f t="shared" si="63"/>
        <v>614</v>
      </c>
      <c r="B618">
        <v>2.5268907062545365E-2</v>
      </c>
      <c r="C618">
        <v>3.4776540431537335E-2</v>
      </c>
      <c r="D618">
        <v>2.7565840508872418E-2</v>
      </c>
      <c r="E618">
        <v>2.6491151382386957E-3</v>
      </c>
      <c r="F618">
        <v>3.2500703061620014E-3</v>
      </c>
      <c r="G618">
        <v>2.3982494484508796E-3</v>
      </c>
      <c r="H618">
        <v>2.9779139762621032E-2</v>
      </c>
      <c r="I618">
        <v>0.13713698342160363</v>
      </c>
      <c r="J618">
        <v>0</v>
      </c>
      <c r="K618">
        <v>0.44470151605867769</v>
      </c>
      <c r="L618">
        <v>0.21564903011936387</v>
      </c>
      <c r="M618">
        <v>0.78435096988063613</v>
      </c>
      <c r="N618">
        <v>7.8975514595714502E-2</v>
      </c>
      <c r="O618" s="72">
        <v>0.94047496271237618</v>
      </c>
      <c r="P618">
        <v>0.99863625537266321</v>
      </c>
      <c r="Q618">
        <v>0.95049174315690865</v>
      </c>
      <c r="R618">
        <v>0.46680899349268856</v>
      </c>
      <c r="S618">
        <v>0.47686190057386668</v>
      </c>
      <c r="T618">
        <v>0.25069201450597989</v>
      </c>
      <c r="U618">
        <v>0.77928704747345467</v>
      </c>
      <c r="V618">
        <v>0.6332474423048553</v>
      </c>
      <c r="W618">
        <v>0.60825389209176062</v>
      </c>
      <c r="X618">
        <v>0.47442289358831569</v>
      </c>
      <c r="Y618">
        <v>0.4453199356297976</v>
      </c>
      <c r="Z618">
        <v>0.4526028205497844</v>
      </c>
      <c r="AA618">
        <v>0.60400168844962976</v>
      </c>
      <c r="AB618">
        <v>0.8356127895680634</v>
      </c>
      <c r="AC618">
        <v>0.67293722398800626</v>
      </c>
      <c r="AD618">
        <v>0.59318869738788005</v>
      </c>
      <c r="AE618">
        <v>172.4040183989672</v>
      </c>
      <c r="AF618">
        <v>955.83498934731301</v>
      </c>
      <c r="AG618">
        <v>1719.5579561286479</v>
      </c>
      <c r="AH618">
        <v>17045.815662687277</v>
      </c>
      <c r="AI618">
        <v>8521.7081841065738</v>
      </c>
      <c r="AJ618">
        <v>43795.029274996377</v>
      </c>
      <c r="AK618">
        <v>9672.6762328615605</v>
      </c>
      <c r="AL618">
        <v>2991.6386398868935</v>
      </c>
      <c r="AM618">
        <v>449.36672431958459</v>
      </c>
      <c r="AO618">
        <v>44268.621570848969</v>
      </c>
      <c r="AP618">
        <v>13.475463642582088</v>
      </c>
      <c r="AQ618">
        <v>47916.840979373774</v>
      </c>
      <c r="AR618">
        <v>13.628041930299268</v>
      </c>
      <c r="AS618" s="2">
        <f t="shared" si="64"/>
        <v>3648.2194085248047</v>
      </c>
      <c r="AT618" s="2">
        <f t="shared" si="65"/>
        <v>0.15257828771717996</v>
      </c>
      <c r="AV618">
        <f t="shared" si="66"/>
        <v>1303277.7426873599</v>
      </c>
      <c r="AW618">
        <f t="shared" si="67"/>
        <v>1314887.3520505531</v>
      </c>
      <c r="AY618">
        <f t="shared" si="68"/>
        <v>0</v>
      </c>
      <c r="AZ618">
        <f t="shared" si="69"/>
        <v>1</v>
      </c>
    </row>
    <row r="619" spans="1:52" x14ac:dyDescent="0.2">
      <c r="A619">
        <f t="shared" si="63"/>
        <v>615</v>
      </c>
      <c r="B619">
        <v>2.6571828170158684E-2</v>
      </c>
      <c r="C619">
        <v>2.1987396895335402E-2</v>
      </c>
      <c r="D619">
        <v>3.2202271137381021E-2</v>
      </c>
      <c r="E619">
        <v>1.734744488383555E-2</v>
      </c>
      <c r="F619">
        <v>3.3826765067617171E-3</v>
      </c>
      <c r="G619">
        <v>6.9705059204572626E-3</v>
      </c>
      <c r="H619">
        <v>1.0275608486065898E-2</v>
      </c>
      <c r="I619">
        <v>0.13306451592491952</v>
      </c>
      <c r="J619">
        <v>0</v>
      </c>
      <c r="K619">
        <v>0.40580647185587737</v>
      </c>
      <c r="L619">
        <v>0.24920422037060885</v>
      </c>
      <c r="M619">
        <v>0.75079577962939115</v>
      </c>
      <c r="N619">
        <v>6.4106757952704041E-2</v>
      </c>
      <c r="O619" s="72">
        <v>0.99999906676131944</v>
      </c>
      <c r="P619">
        <v>0.98742613472671092</v>
      </c>
      <c r="Q619">
        <v>0.94944347546652519</v>
      </c>
      <c r="R619">
        <v>0.53885270368910954</v>
      </c>
      <c r="S619">
        <v>0.41412099574758687</v>
      </c>
      <c r="T619">
        <v>0.30351278852421704</v>
      </c>
      <c r="U619">
        <v>0.77214476087650441</v>
      </c>
      <c r="V619">
        <v>0.67604619249593212</v>
      </c>
      <c r="W619">
        <v>0.59965469690820017</v>
      </c>
      <c r="X619">
        <v>0.45202283283256528</v>
      </c>
      <c r="Y619">
        <v>0.44196831470664216</v>
      </c>
      <c r="Z619">
        <v>0.4655546162298887</v>
      </c>
      <c r="AA619">
        <v>0.70604095999354755</v>
      </c>
      <c r="AB619">
        <v>0.81110607104965926</v>
      </c>
      <c r="AC619">
        <v>0.66546728116112885</v>
      </c>
      <c r="AD619">
        <v>0.56911338232119779</v>
      </c>
      <c r="AE619">
        <v>185.79883493647532</v>
      </c>
      <c r="AF619">
        <v>1069.7455781498052</v>
      </c>
      <c r="AG619">
        <v>2410.2812642403878</v>
      </c>
      <c r="AH619">
        <v>11952.962344863681</v>
      </c>
      <c r="AI619">
        <v>12138.182858859373</v>
      </c>
      <c r="AJ619">
        <v>32797.246465371623</v>
      </c>
      <c r="AK619">
        <v>12226.308099435177</v>
      </c>
      <c r="AL619">
        <v>2489.0956065598029</v>
      </c>
      <c r="AM619">
        <v>360.763240801525</v>
      </c>
      <c r="AO619">
        <v>39293.23588371239</v>
      </c>
      <c r="AP619">
        <v>13.120810402295538</v>
      </c>
      <c r="AQ619">
        <v>46611.488408736433</v>
      </c>
      <c r="AR619">
        <v>13.239391704610687</v>
      </c>
      <c r="AS619" s="2">
        <f t="shared" si="64"/>
        <v>7318.2525250240433</v>
      </c>
      <c r="AT619" s="2">
        <f t="shared" si="65"/>
        <v>0.11858130231514963</v>
      </c>
      <c r="AV619">
        <f t="shared" si="66"/>
        <v>1272787.8043458415</v>
      </c>
      <c r="AW619">
        <f t="shared" si="67"/>
        <v>1277327.6820523324</v>
      </c>
      <c r="AY619">
        <f t="shared" si="68"/>
        <v>0</v>
      </c>
      <c r="AZ619">
        <f t="shared" si="69"/>
        <v>1</v>
      </c>
    </row>
    <row r="620" spans="1:52" x14ac:dyDescent="0.2">
      <c r="A620">
        <f t="shared" si="63"/>
        <v>616</v>
      </c>
      <c r="B620">
        <v>2.1552078893079311E-2</v>
      </c>
      <c r="C620">
        <v>2.8127483229639681E-2</v>
      </c>
      <c r="D620">
        <v>2.5963523751631922E-2</v>
      </c>
      <c r="E620">
        <v>5.4813748503760298E-3</v>
      </c>
      <c r="F620">
        <v>3.3486920899316042E-3</v>
      </c>
      <c r="G620">
        <v>1.4557858030712412E-2</v>
      </c>
      <c r="H620">
        <v>2.6670862686588005E-2</v>
      </c>
      <c r="I620">
        <v>0.13682787887287484</v>
      </c>
      <c r="J620">
        <v>0</v>
      </c>
      <c r="K620">
        <v>0.44190322350261191</v>
      </c>
      <c r="L620">
        <v>0.23060171510401051</v>
      </c>
      <c r="M620">
        <v>0.76939828489598949</v>
      </c>
      <c r="N620">
        <v>5.3523350695102626E-2</v>
      </c>
      <c r="O620" s="72">
        <v>0.99997696468323438</v>
      </c>
      <c r="P620">
        <v>0.99788967888452296</v>
      </c>
      <c r="Q620">
        <v>0.9462092220078524</v>
      </c>
      <c r="R620">
        <v>0.52878053208447606</v>
      </c>
      <c r="S620">
        <v>0.34042832392484479</v>
      </c>
      <c r="T620">
        <v>0.20386446478807585</v>
      </c>
      <c r="U620">
        <v>0.80529877094948699</v>
      </c>
      <c r="V620">
        <v>0.68214605768859771</v>
      </c>
      <c r="W620">
        <v>0.51476793970146661</v>
      </c>
      <c r="X620">
        <v>0.46288737849136341</v>
      </c>
      <c r="Y620">
        <v>0.47060657875240519</v>
      </c>
      <c r="Z620">
        <v>0.40346972759791166</v>
      </c>
      <c r="AA620">
        <v>0.69822187352427334</v>
      </c>
      <c r="AB620">
        <v>0.70826839908650152</v>
      </c>
      <c r="AC620">
        <v>0.69716298526256137</v>
      </c>
      <c r="AD620">
        <v>0.6226057785580843</v>
      </c>
      <c r="AE620">
        <v>187.21399053950171</v>
      </c>
      <c r="AF620">
        <v>908.3379098119143</v>
      </c>
      <c r="AG620">
        <v>1616.14284089186</v>
      </c>
      <c r="AH620">
        <v>13236.610127235972</v>
      </c>
      <c r="AI620">
        <v>15690.929318781355</v>
      </c>
      <c r="AJ620">
        <v>40473.202465634502</v>
      </c>
      <c r="AK620">
        <v>12091.039847913687</v>
      </c>
      <c r="AL620">
        <v>2041.8056609711805</v>
      </c>
      <c r="AM620">
        <v>368.63611068263418</v>
      </c>
      <c r="AO620">
        <v>42381.968378134647</v>
      </c>
      <c r="AP620">
        <v>11.911701344705191</v>
      </c>
      <c r="AQ620">
        <v>46352.586188969697</v>
      </c>
      <c r="AR620">
        <v>11.945511293473475</v>
      </c>
      <c r="AS620" s="2">
        <f t="shared" si="64"/>
        <v>3970.6178108350505</v>
      </c>
      <c r="AT620" s="2">
        <f t="shared" si="65"/>
        <v>3.3809948768283249E-2</v>
      </c>
      <c r="AV620">
        <f t="shared" si="66"/>
        <v>1148788.1660923846</v>
      </c>
      <c r="AW620">
        <f t="shared" si="67"/>
        <v>1148198.5431583778</v>
      </c>
      <c r="AY620">
        <f t="shared" si="68"/>
        <v>1</v>
      </c>
      <c r="AZ620">
        <f t="shared" si="69"/>
        <v>0</v>
      </c>
    </row>
    <row r="621" spans="1:52" x14ac:dyDescent="0.2">
      <c r="A621">
        <f t="shared" si="63"/>
        <v>617</v>
      </c>
      <c r="B621">
        <v>2.8876907868198964E-2</v>
      </c>
      <c r="C621">
        <v>3.5951701551162535E-2</v>
      </c>
      <c r="D621">
        <v>3.0924000310277464E-2</v>
      </c>
      <c r="E621">
        <v>2.067810626211708E-2</v>
      </c>
      <c r="F621">
        <v>3.3506879630682551E-3</v>
      </c>
      <c r="G621">
        <v>2.6786274120566889E-2</v>
      </c>
      <c r="H621">
        <v>1.2280163431133233E-2</v>
      </c>
      <c r="I621">
        <v>0.12449748350895616</v>
      </c>
      <c r="J621">
        <v>0</v>
      </c>
      <c r="K621">
        <v>0.45112932206763001</v>
      </c>
      <c r="L621">
        <v>0.23138576514722897</v>
      </c>
      <c r="M621">
        <v>0.76861423485277103</v>
      </c>
      <c r="N621">
        <v>6.1634563546869359E-2</v>
      </c>
      <c r="O621" s="72">
        <v>0.97983524249009579</v>
      </c>
      <c r="P621">
        <v>0.97807619056248873</v>
      </c>
      <c r="Q621">
        <v>0.99199886675341087</v>
      </c>
      <c r="R621">
        <v>0.48422559028337175</v>
      </c>
      <c r="S621">
        <v>0.40155366337733167</v>
      </c>
      <c r="T621">
        <v>0.24195267554054312</v>
      </c>
      <c r="U621">
        <v>0.76092265833638995</v>
      </c>
      <c r="V621">
        <v>0.69435137893147436</v>
      </c>
      <c r="W621">
        <v>0.57459585375412647</v>
      </c>
      <c r="X621">
        <v>0.48832295625004263</v>
      </c>
      <c r="Y621">
        <v>0.44364503734476035</v>
      </c>
      <c r="Z621">
        <v>0.45245184858700882</v>
      </c>
      <c r="AA621">
        <v>0.67262802755068218</v>
      </c>
      <c r="AB621">
        <v>0.85542679053309578</v>
      </c>
      <c r="AC621">
        <v>0.75551868303882475</v>
      </c>
      <c r="AD621">
        <v>0.60774232088708768</v>
      </c>
      <c r="AE621">
        <v>164.71261543469623</v>
      </c>
      <c r="AF621">
        <v>1076.896174715197</v>
      </c>
      <c r="AG621">
        <v>2129.4566460063925</v>
      </c>
      <c r="AH621">
        <v>12559.515594236071</v>
      </c>
      <c r="AI621">
        <v>16497.912786456538</v>
      </c>
      <c r="AJ621">
        <v>37111.900069619624</v>
      </c>
      <c r="AK621">
        <v>15858.292983081472</v>
      </c>
      <c r="AL621">
        <v>1777.4767612634091</v>
      </c>
      <c r="AM621">
        <v>454.61479646950454</v>
      </c>
      <c r="AO621">
        <v>44217.74923725077</v>
      </c>
      <c r="AP621">
        <v>13.847257291083471</v>
      </c>
      <c r="AQ621">
        <v>48283.054368813879</v>
      </c>
      <c r="AR621">
        <v>14.069895185484439</v>
      </c>
      <c r="AS621" s="2">
        <f t="shared" si="64"/>
        <v>4065.3051315631092</v>
      </c>
      <c r="AT621" s="2">
        <f t="shared" si="65"/>
        <v>0.22263789440096815</v>
      </c>
      <c r="AV621">
        <f t="shared" si="66"/>
        <v>1340507.9798710963</v>
      </c>
      <c r="AW621">
        <f t="shared" si="67"/>
        <v>1358706.4641796299</v>
      </c>
      <c r="AY621">
        <f t="shared" si="68"/>
        <v>0</v>
      </c>
      <c r="AZ621">
        <f t="shared" si="69"/>
        <v>1</v>
      </c>
    </row>
    <row r="622" spans="1:52" x14ac:dyDescent="0.2">
      <c r="A622">
        <f t="shared" si="63"/>
        <v>618</v>
      </c>
      <c r="B622">
        <v>1.8108307350562555E-2</v>
      </c>
      <c r="C622">
        <v>3.9436403592462144E-2</v>
      </c>
      <c r="D622">
        <v>2.5560403539268566E-2</v>
      </c>
      <c r="E622">
        <v>3.2621599799796286E-2</v>
      </c>
      <c r="F622">
        <v>3.2747011343723775E-3</v>
      </c>
      <c r="G622">
        <v>1.7885739465119621E-2</v>
      </c>
      <c r="H622">
        <v>2.8610448956787882E-2</v>
      </c>
      <c r="I622">
        <v>0.13534434407150742</v>
      </c>
      <c r="J622">
        <v>0</v>
      </c>
      <c r="K622">
        <v>0.41993923869034677</v>
      </c>
      <c r="L622">
        <v>0.16883853199576751</v>
      </c>
      <c r="M622">
        <v>0.83116146800423252</v>
      </c>
      <c r="N622">
        <v>6.2301545613773102E-2</v>
      </c>
      <c r="O622" s="72">
        <v>0.9997674817580825</v>
      </c>
      <c r="P622">
        <v>0.9979615860828801</v>
      </c>
      <c r="Q622">
        <v>0.98028117489059119</v>
      </c>
      <c r="R622">
        <v>0.45760593512016601</v>
      </c>
      <c r="S622">
        <v>0.45458965011065133</v>
      </c>
      <c r="T622">
        <v>0.23657122002442232</v>
      </c>
      <c r="U622">
        <v>0.76747588007255818</v>
      </c>
      <c r="V622">
        <v>0.6026694038006809</v>
      </c>
      <c r="W622">
        <v>0.53005062780037782</v>
      </c>
      <c r="X622">
        <v>0.51875865865444226</v>
      </c>
      <c r="Y622">
        <v>0.46665047674702176</v>
      </c>
      <c r="Z622">
        <v>0.46021608732237396</v>
      </c>
      <c r="AA622">
        <v>0.65168894528234611</v>
      </c>
      <c r="AB622">
        <v>0.7718879274142374</v>
      </c>
      <c r="AC622">
        <v>0.73471100283576529</v>
      </c>
      <c r="AD622">
        <v>0.63972496906408616</v>
      </c>
      <c r="AE622">
        <v>254.78711999682295</v>
      </c>
      <c r="AF622">
        <v>1192.215989382205</v>
      </c>
      <c r="AG622">
        <v>2103.7116204253784</v>
      </c>
      <c r="AH622">
        <v>8528.7764924451985</v>
      </c>
      <c r="AI622">
        <v>16790.73555425087</v>
      </c>
      <c r="AJ622">
        <v>42116.801562104665</v>
      </c>
      <c r="AK622">
        <v>14990.919859429523</v>
      </c>
      <c r="AL622">
        <v>1608.5883530181154</v>
      </c>
      <c r="AM622">
        <v>377.94769701711772</v>
      </c>
      <c r="AO622">
        <v>43913.240893872011</v>
      </c>
      <c r="AP622">
        <v>12.758228552784562</v>
      </c>
      <c r="AQ622">
        <v>46407.15107307156</v>
      </c>
      <c r="AR622">
        <v>12.921031050825363</v>
      </c>
      <c r="AS622" s="2">
        <f t="shared" si="64"/>
        <v>2493.910179199549</v>
      </c>
      <c r="AT622" s="2">
        <f t="shared" si="65"/>
        <v>0.16280249804080071</v>
      </c>
      <c r="AV622">
        <f t="shared" si="66"/>
        <v>1231909.6143845841</v>
      </c>
      <c r="AW622">
        <f t="shared" si="67"/>
        <v>1245695.9540094647</v>
      </c>
      <c r="AY622">
        <f t="shared" si="68"/>
        <v>0</v>
      </c>
      <c r="AZ622">
        <f t="shared" si="69"/>
        <v>1</v>
      </c>
    </row>
    <row r="623" spans="1:52" x14ac:dyDescent="0.2">
      <c r="A623">
        <f t="shared" si="63"/>
        <v>619</v>
      </c>
      <c r="B623">
        <v>2.187785746242589E-2</v>
      </c>
      <c r="C623">
        <v>4.0503755744219938E-2</v>
      </c>
      <c r="D623">
        <v>3.2087367789137893E-2</v>
      </c>
      <c r="E623">
        <v>4.3195329790825521E-2</v>
      </c>
      <c r="F623">
        <v>3.2685324192890264E-3</v>
      </c>
      <c r="G623">
        <v>1.0977270853568649E-2</v>
      </c>
      <c r="H623">
        <v>2.3235804141070911E-2</v>
      </c>
      <c r="I623">
        <v>0.13255581555797635</v>
      </c>
      <c r="J623">
        <v>0</v>
      </c>
      <c r="K623">
        <v>0.4624526126200379</v>
      </c>
      <c r="L623">
        <v>0.13232660700578897</v>
      </c>
      <c r="M623">
        <v>0.86767339299421109</v>
      </c>
      <c r="N623">
        <v>5.6098185493934666E-2</v>
      </c>
      <c r="O623" s="72">
        <v>0.99127590121906839</v>
      </c>
      <c r="P623">
        <v>0.91497907786253863</v>
      </c>
      <c r="Q623">
        <v>0.90177673582808238</v>
      </c>
      <c r="R623">
        <v>0.51825688727724972</v>
      </c>
      <c r="S623">
        <v>0.35910583408362629</v>
      </c>
      <c r="T623">
        <v>0.17189253160132645</v>
      </c>
      <c r="U623">
        <v>0.75312859722192804</v>
      </c>
      <c r="V623">
        <v>0.62735241873428671</v>
      </c>
      <c r="W623">
        <v>0.55640093427312132</v>
      </c>
      <c r="X623">
        <v>0.42435364140966192</v>
      </c>
      <c r="Y623">
        <v>0.45211594405303568</v>
      </c>
      <c r="Z623">
        <v>0.42037645762819709</v>
      </c>
      <c r="AA623">
        <v>0.63951196828843992</v>
      </c>
      <c r="AB623">
        <v>0.82498827607398928</v>
      </c>
      <c r="AC623">
        <v>0.66252348879581957</v>
      </c>
      <c r="AD623">
        <v>0.64747040446673931</v>
      </c>
      <c r="AE623">
        <v>301.64888099001837</v>
      </c>
      <c r="AF623">
        <v>1191.4191404522057</v>
      </c>
      <c r="AG623">
        <v>1592.8972350202921</v>
      </c>
      <c r="AH623">
        <v>15759.033652872118</v>
      </c>
      <c r="AI623">
        <v>7692.9197443912499</v>
      </c>
      <c r="AJ623">
        <v>39098.706146766861</v>
      </c>
      <c r="AK623">
        <v>14935.920323352206</v>
      </c>
      <c r="AL623">
        <v>1199.462138214273</v>
      </c>
      <c r="AM623">
        <v>376.59026703710379</v>
      </c>
      <c r="AO623">
        <v>43269.352241998495</v>
      </c>
      <c r="AP623">
        <v>13.236993445534704</v>
      </c>
      <c r="AQ623">
        <v>49641.012930908932</v>
      </c>
      <c r="AR623">
        <v>13.520553295182516</v>
      </c>
      <c r="AS623" s="2">
        <f t="shared" si="64"/>
        <v>6371.6606889104369</v>
      </c>
      <c r="AT623" s="2">
        <f t="shared" si="65"/>
        <v>0.283559849647812</v>
      </c>
      <c r="AV623">
        <f t="shared" si="66"/>
        <v>1280429.9923114718</v>
      </c>
      <c r="AW623">
        <f t="shared" si="67"/>
        <v>1302414.3165873426</v>
      </c>
      <c r="AY623">
        <f t="shared" si="68"/>
        <v>0</v>
      </c>
      <c r="AZ623">
        <f t="shared" si="69"/>
        <v>1</v>
      </c>
    </row>
    <row r="624" spans="1:52" x14ac:dyDescent="0.2">
      <c r="A624">
        <f t="shared" si="63"/>
        <v>620</v>
      </c>
      <c r="B624">
        <v>2.8065898461227312E-2</v>
      </c>
      <c r="C624">
        <v>3.4559603772821822E-2</v>
      </c>
      <c r="D624">
        <v>4.6421481829685751E-2</v>
      </c>
      <c r="E624">
        <v>2.67987368533475E-3</v>
      </c>
      <c r="F624">
        <v>3.3970542605652465E-3</v>
      </c>
      <c r="G624">
        <v>1.1449913047938529E-2</v>
      </c>
      <c r="H624">
        <v>2.2094444233773273E-2</v>
      </c>
      <c r="I624">
        <v>0.11896227931045364</v>
      </c>
      <c r="J624">
        <v>0</v>
      </c>
      <c r="K624">
        <v>0.45123415548252555</v>
      </c>
      <c r="L624">
        <v>0.25404834283377997</v>
      </c>
      <c r="M624">
        <v>0.74595165716622003</v>
      </c>
      <c r="N624">
        <v>4.3506141663295167E-2</v>
      </c>
      <c r="O624" s="72">
        <v>0.99999952105334144</v>
      </c>
      <c r="P624">
        <v>0.99999999987248589</v>
      </c>
      <c r="Q624">
        <v>0.95388363568499313</v>
      </c>
      <c r="R624">
        <v>0.5017403339972395</v>
      </c>
      <c r="S624">
        <v>0.40611299715022675</v>
      </c>
      <c r="T624">
        <v>0.16148037414393268</v>
      </c>
      <c r="U624">
        <v>0.75944245954861689</v>
      </c>
      <c r="V624">
        <v>0.63476108232322537</v>
      </c>
      <c r="W624">
        <v>0.64750684094381583</v>
      </c>
      <c r="X624">
        <v>0.45184473099586775</v>
      </c>
      <c r="Y624">
        <v>0.47457398931733463</v>
      </c>
      <c r="Z624">
        <v>0.44800759034354243</v>
      </c>
      <c r="AA624">
        <v>0.70292440885647456</v>
      </c>
      <c r="AB624">
        <v>0.83560594668190302</v>
      </c>
      <c r="AC624">
        <v>0.74918444991197075</v>
      </c>
      <c r="AD624">
        <v>0.71911794155188502</v>
      </c>
      <c r="AE624">
        <v>185.64159059721865</v>
      </c>
      <c r="AF624">
        <v>1028.9851809450472</v>
      </c>
      <c r="AG624">
        <v>1571.490044152383</v>
      </c>
      <c r="AH624">
        <v>14861.335430265939</v>
      </c>
      <c r="AI624">
        <v>12537.308405490341</v>
      </c>
      <c r="AJ624">
        <v>34672.863057853203</v>
      </c>
      <c r="AK624">
        <v>9739.5991342560792</v>
      </c>
      <c r="AL624">
        <v>2332.3251219079812</v>
      </c>
      <c r="AM624">
        <v>289.76214693806332</v>
      </c>
      <c r="AO624">
        <v>43130.405678841438</v>
      </c>
      <c r="AP624">
        <v>13.688907626428314</v>
      </c>
      <c r="AQ624">
        <v>45097.119406766789</v>
      </c>
      <c r="AR624">
        <v>13.937371806943228</v>
      </c>
      <c r="AS624" s="2">
        <f t="shared" si="64"/>
        <v>1966.7137279253511</v>
      </c>
      <c r="AT624" s="2">
        <f t="shared" si="65"/>
        <v>0.24846418051491348</v>
      </c>
      <c r="AV624">
        <f t="shared" si="66"/>
        <v>1325760.3569639898</v>
      </c>
      <c r="AW624">
        <f t="shared" si="67"/>
        <v>1348640.0612875561</v>
      </c>
      <c r="AY624">
        <f t="shared" si="68"/>
        <v>0</v>
      </c>
      <c r="AZ624">
        <f t="shared" si="69"/>
        <v>1</v>
      </c>
    </row>
    <row r="625" spans="1:52" x14ac:dyDescent="0.2">
      <c r="A625">
        <f t="shared" si="63"/>
        <v>621</v>
      </c>
      <c r="B625">
        <v>2.4217220636816823E-2</v>
      </c>
      <c r="C625">
        <v>3.7858904577076191E-2</v>
      </c>
      <c r="D625">
        <v>4.9872908925289283E-2</v>
      </c>
      <c r="E625">
        <v>1.2439473923022804E-2</v>
      </c>
      <c r="F625">
        <v>3.2213612454531195E-3</v>
      </c>
      <c r="G625">
        <v>2.84860981590217E-2</v>
      </c>
      <c r="H625">
        <v>2.573862915157292E-2</v>
      </c>
      <c r="I625">
        <v>0.12282838022179235</v>
      </c>
      <c r="J625">
        <v>0</v>
      </c>
      <c r="K625">
        <v>0.44075023010553049</v>
      </c>
      <c r="L625">
        <v>0.16641720178776284</v>
      </c>
      <c r="M625">
        <v>0.83358279821223713</v>
      </c>
      <c r="N625">
        <v>6.3047140987778971E-2</v>
      </c>
      <c r="O625" s="72">
        <v>0.99872326984432669</v>
      </c>
      <c r="P625">
        <v>0.999944504821767</v>
      </c>
      <c r="Q625">
        <v>0.95964297372037588</v>
      </c>
      <c r="R625">
        <v>0.44503660620898544</v>
      </c>
      <c r="S625">
        <v>0.44335098903465964</v>
      </c>
      <c r="T625">
        <v>0.23288348794473801</v>
      </c>
      <c r="U625">
        <v>0.76405045056017007</v>
      </c>
      <c r="V625">
        <v>0.61958412056329304</v>
      </c>
      <c r="W625">
        <v>0.60205536809481841</v>
      </c>
      <c r="X625">
        <v>0.39332065305745173</v>
      </c>
      <c r="Y625">
        <v>0.45573193607603013</v>
      </c>
      <c r="Z625">
        <v>0.49742980819847404</v>
      </c>
      <c r="AA625">
        <v>0.63046043892852521</v>
      </c>
      <c r="AB625">
        <v>0.84361282974046081</v>
      </c>
      <c r="AC625">
        <v>0.7284635506493613</v>
      </c>
      <c r="AD625">
        <v>0.59191607643725852</v>
      </c>
      <c r="AE625">
        <v>150.84756532133926</v>
      </c>
      <c r="AF625">
        <v>932.80778500502925</v>
      </c>
      <c r="AG625">
        <v>1496.4821445785408</v>
      </c>
      <c r="AH625">
        <v>10471.324030575241</v>
      </c>
      <c r="AI625">
        <v>9570.0493249487936</v>
      </c>
      <c r="AJ625">
        <v>30822.676163001477</v>
      </c>
      <c r="AK625">
        <v>14109.806471855445</v>
      </c>
      <c r="AL625">
        <v>1610.5047276718119</v>
      </c>
      <c r="AM625">
        <v>259.71227817604495</v>
      </c>
      <c r="AO625">
        <v>42778.135553857319</v>
      </c>
      <c r="AP625">
        <v>13.601436639488782</v>
      </c>
      <c r="AQ625">
        <v>44433.162936100431</v>
      </c>
      <c r="AR625">
        <v>13.836422749117089</v>
      </c>
      <c r="AS625" s="2">
        <f t="shared" si="64"/>
        <v>1655.0273822431118</v>
      </c>
      <c r="AT625" s="2">
        <f t="shared" si="65"/>
        <v>0.23498610962830746</v>
      </c>
      <c r="AV625">
        <f t="shared" si="66"/>
        <v>1317365.5283950209</v>
      </c>
      <c r="AW625">
        <f t="shared" si="67"/>
        <v>1339209.1119756084</v>
      </c>
      <c r="AY625">
        <f t="shared" si="68"/>
        <v>0</v>
      </c>
      <c r="AZ625">
        <f t="shared" si="69"/>
        <v>1</v>
      </c>
    </row>
    <row r="626" spans="1:52" x14ac:dyDescent="0.2">
      <c r="A626">
        <f t="shared" si="63"/>
        <v>622</v>
      </c>
      <c r="B626">
        <v>2.1242899877441847E-2</v>
      </c>
      <c r="C626">
        <v>2.8799965576322643E-2</v>
      </c>
      <c r="D626">
        <v>2.6620279617953907E-2</v>
      </c>
      <c r="E626">
        <v>1.6461035362313803E-2</v>
      </c>
      <c r="F626">
        <v>3.3696867969188471E-3</v>
      </c>
      <c r="G626">
        <v>7.590398758313791E-3</v>
      </c>
      <c r="H626">
        <v>2.7226916248528001E-2</v>
      </c>
      <c r="I626">
        <v>0.12792009510560667</v>
      </c>
      <c r="J626">
        <v>0</v>
      </c>
      <c r="K626">
        <v>0.48881352298622183</v>
      </c>
      <c r="L626">
        <v>0.15457828399392193</v>
      </c>
      <c r="M626">
        <v>0.84542171600607807</v>
      </c>
      <c r="N626">
        <v>6.5010094008222774E-2</v>
      </c>
      <c r="O626" s="72">
        <v>0.99998484518058306</v>
      </c>
      <c r="P626">
        <v>0.97130796780040984</v>
      </c>
      <c r="Q626">
        <v>0.89789220829304972</v>
      </c>
      <c r="R626">
        <v>0.52346228089522473</v>
      </c>
      <c r="S626">
        <v>0.49472087613993565</v>
      </c>
      <c r="T626">
        <v>0.18399185626554304</v>
      </c>
      <c r="U626">
        <v>0.7499295599603526</v>
      </c>
      <c r="V626">
        <v>0.68118870080630867</v>
      </c>
      <c r="W626">
        <v>0.58152198298750024</v>
      </c>
      <c r="X626">
        <v>0.48653630641392054</v>
      </c>
      <c r="Y626">
        <v>0.38104070379722416</v>
      </c>
      <c r="Z626">
        <v>0.46978838597047512</v>
      </c>
      <c r="AA626">
        <v>0.78220752477184452</v>
      </c>
      <c r="AB626">
        <v>0.82308876578209433</v>
      </c>
      <c r="AC626">
        <v>0.74156010512254023</v>
      </c>
      <c r="AD626">
        <v>0.60935324998269158</v>
      </c>
      <c r="AE626">
        <v>239.40129475657776</v>
      </c>
      <c r="AF626">
        <v>845.50665866789109</v>
      </c>
      <c r="AG626">
        <v>1418.7131233261721</v>
      </c>
      <c r="AH626">
        <v>16184.050216498779</v>
      </c>
      <c r="AI626">
        <v>8716.7030195621246</v>
      </c>
      <c r="AJ626">
        <v>41381.136006462126</v>
      </c>
      <c r="AK626">
        <v>16104.838243277329</v>
      </c>
      <c r="AL626">
        <v>2455.9116054423121</v>
      </c>
      <c r="AM626">
        <v>305.31557299064571</v>
      </c>
      <c r="AO626">
        <v>40507.735602832756</v>
      </c>
      <c r="AP626">
        <v>13.428755372998648</v>
      </c>
      <c r="AQ626">
        <v>46494.429899302449</v>
      </c>
      <c r="AR626">
        <v>13.597162358206232</v>
      </c>
      <c r="AS626" s="2">
        <f t="shared" si="64"/>
        <v>5986.6942964696937</v>
      </c>
      <c r="AT626" s="2">
        <f t="shared" si="65"/>
        <v>0.16840698520758401</v>
      </c>
      <c r="AV626">
        <f t="shared" si="66"/>
        <v>1302367.8016970318</v>
      </c>
      <c r="AW626">
        <f t="shared" si="67"/>
        <v>1313221.8059213206</v>
      </c>
      <c r="AY626">
        <f t="shared" si="68"/>
        <v>0</v>
      </c>
      <c r="AZ626">
        <f t="shared" si="69"/>
        <v>1</v>
      </c>
    </row>
    <row r="627" spans="1:52" x14ac:dyDescent="0.2">
      <c r="A627">
        <f t="shared" si="63"/>
        <v>623</v>
      </c>
      <c r="B627">
        <v>2.7564575602821217E-2</v>
      </c>
      <c r="C627">
        <v>5.1355484775750582E-2</v>
      </c>
      <c r="D627">
        <v>2.7556012451755624E-2</v>
      </c>
      <c r="E627">
        <v>5.8313625799128301E-3</v>
      </c>
      <c r="F627">
        <v>3.3106234690090238E-3</v>
      </c>
      <c r="G627">
        <v>3.9205630428161053E-2</v>
      </c>
      <c r="H627">
        <v>3.5708450609240994E-2</v>
      </c>
      <c r="I627">
        <v>0.13019866662291979</v>
      </c>
      <c r="J627">
        <v>0</v>
      </c>
      <c r="K627">
        <v>0.45906910851116345</v>
      </c>
      <c r="L627">
        <v>0.16045585704748949</v>
      </c>
      <c r="M627">
        <v>0.83954414295251056</v>
      </c>
      <c r="N627">
        <v>6.1166147641397717E-2</v>
      </c>
      <c r="O627" s="72">
        <v>0.99983468168804879</v>
      </c>
      <c r="P627">
        <v>0.99956415079768213</v>
      </c>
      <c r="Q627">
        <v>0.9591778370651427</v>
      </c>
      <c r="R627">
        <v>0.46213215146145803</v>
      </c>
      <c r="S627">
        <v>0.36352620417087089</v>
      </c>
      <c r="T627">
        <v>0.13485149970123822</v>
      </c>
      <c r="U627">
        <v>0.74634633594461763</v>
      </c>
      <c r="V627">
        <v>0.62396166052481017</v>
      </c>
      <c r="W627">
        <v>0.49208744694918571</v>
      </c>
      <c r="X627">
        <v>0.42666100122823536</v>
      </c>
      <c r="Y627">
        <v>0.44321401339106914</v>
      </c>
      <c r="Z627">
        <v>0.47227354293350188</v>
      </c>
      <c r="AA627">
        <v>0.58758221139165234</v>
      </c>
      <c r="AB627">
        <v>0.7380507917298339</v>
      </c>
      <c r="AC627">
        <v>0.79263259413668163</v>
      </c>
      <c r="AD627">
        <v>0.64092949692398626</v>
      </c>
      <c r="AE627">
        <v>252.92195019504331</v>
      </c>
      <c r="AF627">
        <v>1019.490202494807</v>
      </c>
      <c r="AG627">
        <v>1563.6968637492223</v>
      </c>
      <c r="AH627">
        <v>10022.254362320045</v>
      </c>
      <c r="AI627">
        <v>10872.744746633905</v>
      </c>
      <c r="AJ627">
        <v>45545.054045357363</v>
      </c>
      <c r="AK627">
        <v>10449.299291574027</v>
      </c>
      <c r="AL627">
        <v>1842.9876668266877</v>
      </c>
      <c r="AM627">
        <v>314.52378642414368</v>
      </c>
      <c r="AO627">
        <v>46883.421442520426</v>
      </c>
      <c r="AP627">
        <v>12.374047623218022</v>
      </c>
      <c r="AQ627">
        <v>45393.438551843516</v>
      </c>
      <c r="AR627">
        <v>12.555550117170236</v>
      </c>
      <c r="AS627" s="2">
        <f t="shared" si="64"/>
        <v>-1489.9828906769108</v>
      </c>
      <c r="AT627" s="2">
        <f t="shared" si="65"/>
        <v>0.18150249395221429</v>
      </c>
      <c r="AV627">
        <f t="shared" si="66"/>
        <v>1190521.340879282</v>
      </c>
      <c r="AW627">
        <f t="shared" si="67"/>
        <v>1210161.5731651802</v>
      </c>
      <c r="AY627">
        <f t="shared" si="68"/>
        <v>0</v>
      </c>
      <c r="AZ627">
        <f t="shared" si="69"/>
        <v>1</v>
      </c>
    </row>
    <row r="628" spans="1:52" x14ac:dyDescent="0.2">
      <c r="A628">
        <f t="shared" si="63"/>
        <v>624</v>
      </c>
      <c r="B628">
        <v>3.2139211265902912E-2</v>
      </c>
      <c r="C628">
        <v>3.5445148192647102E-2</v>
      </c>
      <c r="D628">
        <v>3.3514892565652363E-2</v>
      </c>
      <c r="E628">
        <v>1.2484172118086057E-2</v>
      </c>
      <c r="F628">
        <v>3.3501809910754243E-3</v>
      </c>
      <c r="G628">
        <v>2.8445345003703437E-2</v>
      </c>
      <c r="H628">
        <v>3.8293881254011453E-2</v>
      </c>
      <c r="I628">
        <v>0.10422041843657508</v>
      </c>
      <c r="J628">
        <v>0</v>
      </c>
      <c r="K628">
        <v>0.38255401416801182</v>
      </c>
      <c r="L628">
        <v>0.2171098442852426</v>
      </c>
      <c r="M628">
        <v>0.7828901557147574</v>
      </c>
      <c r="N628">
        <v>4.2819990723407822E-2</v>
      </c>
      <c r="O628" s="72">
        <v>0.9992708829224608</v>
      </c>
      <c r="P628">
        <v>0.75508825536310575</v>
      </c>
      <c r="Q628">
        <v>0.96058429575835313</v>
      </c>
      <c r="R628">
        <v>0.51667491303205559</v>
      </c>
      <c r="S628">
        <v>0.4490380373953794</v>
      </c>
      <c r="T628">
        <v>0.29416496502548006</v>
      </c>
      <c r="U628">
        <v>0.79724331289018346</v>
      </c>
      <c r="V628">
        <v>0.69307681719483027</v>
      </c>
      <c r="W628">
        <v>0.55500911647814088</v>
      </c>
      <c r="X628">
        <v>0.46328034335797197</v>
      </c>
      <c r="Y628">
        <v>0.41060352636168845</v>
      </c>
      <c r="Z628">
        <v>0.4439732821853733</v>
      </c>
      <c r="AA628">
        <v>0.71945501612302554</v>
      </c>
      <c r="AB628">
        <v>0.72681485313337524</v>
      </c>
      <c r="AC628">
        <v>0.65044552301887937</v>
      </c>
      <c r="AD628">
        <v>0.51619645053553631</v>
      </c>
      <c r="AE628">
        <v>176.39038367680905</v>
      </c>
      <c r="AF628">
        <v>1027.0027363802722</v>
      </c>
      <c r="AG628">
        <v>1542.8631839088118</v>
      </c>
      <c r="AH628">
        <v>14525.807359107661</v>
      </c>
      <c r="AI628">
        <v>10557.750673071343</v>
      </c>
      <c r="AJ628">
        <v>50524.553030027477</v>
      </c>
      <c r="AK628">
        <v>10688.767652782486</v>
      </c>
      <c r="AL628">
        <v>2060.9408326640337</v>
      </c>
      <c r="AM628">
        <v>407.45697852096106</v>
      </c>
      <c r="AO628">
        <v>40729.412424308866</v>
      </c>
      <c r="AP628">
        <v>11.952578399144041</v>
      </c>
      <c r="AQ628">
        <v>56690.830200341239</v>
      </c>
      <c r="AR628">
        <v>11.98178627617334</v>
      </c>
      <c r="AS628" s="2">
        <f t="shared" si="64"/>
        <v>15961.417776032373</v>
      </c>
      <c r="AT628" s="2">
        <f t="shared" si="65"/>
        <v>2.9207877029298501E-2</v>
      </c>
      <c r="AV628">
        <f t="shared" si="66"/>
        <v>1154528.4274900951</v>
      </c>
      <c r="AW628">
        <f t="shared" si="67"/>
        <v>1141487.7974169927</v>
      </c>
      <c r="AY628">
        <f t="shared" si="68"/>
        <v>1</v>
      </c>
      <c r="AZ628">
        <f t="shared" si="69"/>
        <v>0</v>
      </c>
    </row>
    <row r="629" spans="1:52" x14ac:dyDescent="0.2">
      <c r="A629">
        <f t="shared" si="63"/>
        <v>625</v>
      </c>
      <c r="B629">
        <v>2.9223916923476922E-2</v>
      </c>
      <c r="C629">
        <v>4.0712977521152882E-2</v>
      </c>
      <c r="D629">
        <v>2.6109779236126056E-2</v>
      </c>
      <c r="E629">
        <v>1.4418344404042993E-2</v>
      </c>
      <c r="F629">
        <v>3.3977902312298802E-3</v>
      </c>
      <c r="G629">
        <v>1.3084141799387328E-2</v>
      </c>
      <c r="H629">
        <v>1.7105841172530938E-2</v>
      </c>
      <c r="I629">
        <v>0.1287058390211189</v>
      </c>
      <c r="J629">
        <v>0</v>
      </c>
      <c r="K629">
        <v>0.44748881701284893</v>
      </c>
      <c r="L629">
        <v>0.16687928099255539</v>
      </c>
      <c r="M629">
        <v>0.83312071900744455</v>
      </c>
      <c r="N629">
        <v>5.4215552901036676E-2</v>
      </c>
      <c r="O629" s="72">
        <v>0.99999997388045558</v>
      </c>
      <c r="P629">
        <v>0.99999441971069469</v>
      </c>
      <c r="Q629">
        <v>0.96131266901253154</v>
      </c>
      <c r="R629">
        <v>0.52144028063617565</v>
      </c>
      <c r="S629">
        <v>0.42318361082142697</v>
      </c>
      <c r="T629">
        <v>0.16893799589276859</v>
      </c>
      <c r="U629">
        <v>0.78507818402762886</v>
      </c>
      <c r="V629">
        <v>0.67736037393033388</v>
      </c>
      <c r="W629">
        <v>0.50065317155948919</v>
      </c>
      <c r="X629">
        <v>0.47726553668208893</v>
      </c>
      <c r="Y629">
        <v>0.41363693671931162</v>
      </c>
      <c r="Z629">
        <v>0.45264362395124058</v>
      </c>
      <c r="AA629">
        <v>0.64540588753537476</v>
      </c>
      <c r="AB629">
        <v>0.82541399638948354</v>
      </c>
      <c r="AC629">
        <v>0.76968711879085139</v>
      </c>
      <c r="AD629">
        <v>0.57042899227956745</v>
      </c>
      <c r="AE629">
        <v>189.84008042834242</v>
      </c>
      <c r="AF629">
        <v>1087.3123414422382</v>
      </c>
      <c r="AG629">
        <v>1281.2642423519967</v>
      </c>
      <c r="AH629">
        <v>13657.782663038497</v>
      </c>
      <c r="AI629">
        <v>11408.183484902322</v>
      </c>
      <c r="AJ629">
        <v>43956.024955747576</v>
      </c>
      <c r="AK629">
        <v>12781.03256505764</v>
      </c>
      <c r="AL629">
        <v>2494.7109167607878</v>
      </c>
      <c r="AM629">
        <v>476.3342301018364</v>
      </c>
      <c r="AO629">
        <v>44173.514972831836</v>
      </c>
      <c r="AP629">
        <v>13.448083833741467</v>
      </c>
      <c r="AQ629">
        <v>47938.149443464143</v>
      </c>
      <c r="AR629">
        <v>13.630234875603591</v>
      </c>
      <c r="AS629" s="2">
        <f t="shared" si="64"/>
        <v>3764.6344706323071</v>
      </c>
      <c r="AT629" s="2">
        <f t="shared" si="65"/>
        <v>0.18215104186212372</v>
      </c>
      <c r="AV629">
        <f t="shared" si="66"/>
        <v>1300634.8684013148</v>
      </c>
      <c r="AW629">
        <f t="shared" si="67"/>
        <v>1315085.3381168949</v>
      </c>
      <c r="AY629">
        <f t="shared" si="68"/>
        <v>0</v>
      </c>
      <c r="AZ629">
        <f t="shared" si="69"/>
        <v>1</v>
      </c>
    </row>
    <row r="630" spans="1:52" x14ac:dyDescent="0.2">
      <c r="A630">
        <f t="shared" si="63"/>
        <v>626</v>
      </c>
      <c r="B630">
        <v>2.3555867572913815E-2</v>
      </c>
      <c r="C630">
        <v>3.3939069504136464E-2</v>
      </c>
      <c r="D630">
        <v>4.0607690651060513E-2</v>
      </c>
      <c r="E630">
        <v>1.4065852131568524E-2</v>
      </c>
      <c r="F630">
        <v>3.3331704512650127E-3</v>
      </c>
      <c r="G630">
        <v>6.0750230050711394E-3</v>
      </c>
      <c r="H630">
        <v>3.7132269433574061E-2</v>
      </c>
      <c r="I630">
        <v>0.12270301868271533</v>
      </c>
      <c r="J630">
        <v>0</v>
      </c>
      <c r="K630">
        <v>0.39659832742483087</v>
      </c>
      <c r="L630">
        <v>0.17744940622775279</v>
      </c>
      <c r="M630">
        <v>0.82255059377224726</v>
      </c>
      <c r="N630">
        <v>6.3871826656144548E-2</v>
      </c>
      <c r="O630" s="72">
        <v>0.97712508940122</v>
      </c>
      <c r="P630">
        <v>0.99864500114070276</v>
      </c>
      <c r="Q630">
        <v>0.98212373096596406</v>
      </c>
      <c r="R630">
        <v>0.4432198327647997</v>
      </c>
      <c r="S630">
        <v>0.48235983266934057</v>
      </c>
      <c r="T630">
        <v>0.37409091951362594</v>
      </c>
      <c r="U630">
        <v>0.78618712666051649</v>
      </c>
      <c r="V630">
        <v>0.6400304951779705</v>
      </c>
      <c r="W630">
        <v>0.50487192750378207</v>
      </c>
      <c r="X630">
        <v>0.36306214099102285</v>
      </c>
      <c r="Y630">
        <v>0.44302840146959921</v>
      </c>
      <c r="Z630">
        <v>0.43947350401520752</v>
      </c>
      <c r="AA630">
        <v>0.78317320280859937</v>
      </c>
      <c r="AB630">
        <v>0.88098947371215686</v>
      </c>
      <c r="AC630">
        <v>0.74310393960424692</v>
      </c>
      <c r="AD630">
        <v>0.66225125833926179</v>
      </c>
      <c r="AE630">
        <v>193.66543612741324</v>
      </c>
      <c r="AF630">
        <v>1220.6644841517711</v>
      </c>
      <c r="AG630">
        <v>1639.5936921817699</v>
      </c>
      <c r="AH630">
        <v>9837.5546805011018</v>
      </c>
      <c r="AI630">
        <v>10158.994547373715</v>
      </c>
      <c r="AJ630">
        <v>39482.456867751251</v>
      </c>
      <c r="AK630">
        <v>20868.729837875511</v>
      </c>
      <c r="AL630">
        <v>3089.2768558517537</v>
      </c>
      <c r="AM630">
        <v>375.11632908413924</v>
      </c>
      <c r="AO630">
        <v>42637.591796577493</v>
      </c>
      <c r="AP630">
        <v>14.249028895105825</v>
      </c>
      <c r="AQ630">
        <v>46399.813710317241</v>
      </c>
      <c r="AR630">
        <v>14.477857327823024</v>
      </c>
      <c r="AS630" s="2">
        <f t="shared" si="64"/>
        <v>3762.2219137397478</v>
      </c>
      <c r="AT630" s="2">
        <f t="shared" si="65"/>
        <v>0.22882843271719899</v>
      </c>
      <c r="AV630">
        <f t="shared" si="66"/>
        <v>1382265.297714005</v>
      </c>
      <c r="AW630">
        <f t="shared" si="67"/>
        <v>1401385.9190719852</v>
      </c>
      <c r="AY630">
        <f t="shared" si="68"/>
        <v>0</v>
      </c>
      <c r="AZ630">
        <f t="shared" si="69"/>
        <v>1</v>
      </c>
    </row>
    <row r="631" spans="1:52" x14ac:dyDescent="0.2">
      <c r="A631">
        <f t="shared" si="63"/>
        <v>627</v>
      </c>
      <c r="B631">
        <v>3.1595591276887491E-2</v>
      </c>
      <c r="C631">
        <v>3.3197109782696035E-2</v>
      </c>
      <c r="D631">
        <v>4.9140438036145984E-2</v>
      </c>
      <c r="E631">
        <v>2.053342583482709E-2</v>
      </c>
      <c r="F631">
        <v>3.2052580713399794E-3</v>
      </c>
      <c r="G631">
        <v>3.4327346248277713E-2</v>
      </c>
      <c r="H631">
        <v>2.7730788020240735E-2</v>
      </c>
      <c r="I631">
        <v>0.12700019264554657</v>
      </c>
      <c r="J631">
        <v>0</v>
      </c>
      <c r="K631">
        <v>0.45498691992008544</v>
      </c>
      <c r="L631">
        <v>0.221920503671861</v>
      </c>
      <c r="M631">
        <v>0.778079496328139</v>
      </c>
      <c r="N631">
        <v>5.6077698749874422E-2</v>
      </c>
      <c r="O631" s="72">
        <v>0.99998115982708091</v>
      </c>
      <c r="P631">
        <v>0.99999787685524066</v>
      </c>
      <c r="Q631">
        <v>0.95190396438993063</v>
      </c>
      <c r="R631">
        <v>0.41192195021938449</v>
      </c>
      <c r="S631">
        <v>0.42868270172033895</v>
      </c>
      <c r="T631">
        <v>0.22185726121309979</v>
      </c>
      <c r="U631">
        <v>0.78150124831137069</v>
      </c>
      <c r="V631">
        <v>0.67612780757830193</v>
      </c>
      <c r="W631">
        <v>0.48957889508550068</v>
      </c>
      <c r="X631">
        <v>0.39798287945545147</v>
      </c>
      <c r="Y631">
        <v>0.46543853533584145</v>
      </c>
      <c r="Z631">
        <v>0.42758945264382087</v>
      </c>
      <c r="AA631">
        <v>0.78499324927214031</v>
      </c>
      <c r="AB631">
        <v>0.78658826432418893</v>
      </c>
      <c r="AC631">
        <v>0.55955996642489725</v>
      </c>
      <c r="AD631">
        <v>0.6706534900196135</v>
      </c>
      <c r="AE631">
        <v>127.31306008004829</v>
      </c>
      <c r="AF631">
        <v>1033.1789780938718</v>
      </c>
      <c r="AG631">
        <v>1841.847237976227</v>
      </c>
      <c r="AH631">
        <v>11025.190579400172</v>
      </c>
      <c r="AI631">
        <v>11176.437303029272</v>
      </c>
      <c r="AJ631">
        <v>41793.470909744981</v>
      </c>
      <c r="AK631">
        <v>18741.826370235158</v>
      </c>
      <c r="AL631">
        <v>1257.9344342617785</v>
      </c>
      <c r="AM631">
        <v>354.18060522025536</v>
      </c>
      <c r="AO631">
        <v>46590.006878385488</v>
      </c>
      <c r="AP631">
        <v>12.58300370923749</v>
      </c>
      <c r="AQ631">
        <v>45966.462231035104</v>
      </c>
      <c r="AR631">
        <v>12.846663938711128</v>
      </c>
      <c r="AS631" s="2">
        <f t="shared" si="64"/>
        <v>-623.54464735038346</v>
      </c>
      <c r="AT631" s="2">
        <f t="shared" si="65"/>
        <v>0.2636602294736381</v>
      </c>
      <c r="AV631">
        <f t="shared" si="66"/>
        <v>1211710.3640453634</v>
      </c>
      <c r="AW631">
        <f t="shared" si="67"/>
        <v>1238699.9316400776</v>
      </c>
      <c r="AY631">
        <f t="shared" si="68"/>
        <v>0</v>
      </c>
      <c r="AZ631">
        <f t="shared" si="69"/>
        <v>1</v>
      </c>
    </row>
    <row r="632" spans="1:52" x14ac:dyDescent="0.2">
      <c r="A632">
        <f t="shared" si="63"/>
        <v>628</v>
      </c>
      <c r="B632">
        <v>3.1549324241852972E-2</v>
      </c>
      <c r="C632">
        <v>4.0230024004634379E-2</v>
      </c>
      <c r="D632">
        <v>2.8006941604128244E-2</v>
      </c>
      <c r="E632">
        <v>1.0159535122895464E-2</v>
      </c>
      <c r="F632">
        <v>3.3272109119858581E-3</v>
      </c>
      <c r="G632">
        <v>1.181320864734503E-2</v>
      </c>
      <c r="H632">
        <v>3.0925943691104241E-2</v>
      </c>
      <c r="I632">
        <v>0.15055257810810896</v>
      </c>
      <c r="J632">
        <v>0</v>
      </c>
      <c r="K632">
        <v>0.39583631079794557</v>
      </c>
      <c r="L632">
        <v>0.16602649311183534</v>
      </c>
      <c r="M632">
        <v>0.83397350688816463</v>
      </c>
      <c r="N632">
        <v>5.2481131351992456E-2</v>
      </c>
      <c r="O632" s="72">
        <v>0.98166190288668387</v>
      </c>
      <c r="P632">
        <v>0.99760966387941641</v>
      </c>
      <c r="Q632">
        <v>0.89769228349727337</v>
      </c>
      <c r="R632">
        <v>0.43941822110931705</v>
      </c>
      <c r="S632">
        <v>0.4003873689683578</v>
      </c>
      <c r="T632">
        <v>0.22035726423993884</v>
      </c>
      <c r="U632">
        <v>0.78725403164948682</v>
      </c>
      <c r="V632">
        <v>0.64894263103967154</v>
      </c>
      <c r="W632">
        <v>0.59624317413186501</v>
      </c>
      <c r="X632">
        <v>0.47968052070999734</v>
      </c>
      <c r="Y632">
        <v>0.51221911039126877</v>
      </c>
      <c r="Z632">
        <v>0.43697048461098853</v>
      </c>
      <c r="AA632">
        <v>0.6923498282440439</v>
      </c>
      <c r="AB632">
        <v>0.81020094682113664</v>
      </c>
      <c r="AC632">
        <v>0.65725808757665793</v>
      </c>
      <c r="AD632">
        <v>0.67303535382887514</v>
      </c>
      <c r="AE632">
        <v>130.87063408816999</v>
      </c>
      <c r="AF632">
        <v>1192.3015070279921</v>
      </c>
      <c r="AG632">
        <v>1960.5795551044894</v>
      </c>
      <c r="AH632">
        <v>10440.853858554696</v>
      </c>
      <c r="AI632">
        <v>10002.598833676551</v>
      </c>
      <c r="AJ632">
        <v>33126.285610676925</v>
      </c>
      <c r="AK632">
        <v>12604.921169641279</v>
      </c>
      <c r="AL632">
        <v>1445.6544914110204</v>
      </c>
      <c r="AM632">
        <v>461.54821170082283</v>
      </c>
      <c r="AO632">
        <v>47033.553447412218</v>
      </c>
      <c r="AP632">
        <v>13.168513097989766</v>
      </c>
      <c r="AQ632">
        <v>48020.286178846625</v>
      </c>
      <c r="AR632">
        <v>13.353839788768001</v>
      </c>
      <c r="AS632" s="2">
        <f t="shared" si="64"/>
        <v>986.73273143440747</v>
      </c>
      <c r="AT632" s="2">
        <f t="shared" si="65"/>
        <v>0.18532669077823449</v>
      </c>
      <c r="AV632">
        <f t="shared" si="66"/>
        <v>1269817.7563515643</v>
      </c>
      <c r="AW632">
        <f t="shared" si="67"/>
        <v>1287363.6926979534</v>
      </c>
      <c r="AY632">
        <f t="shared" si="68"/>
        <v>0</v>
      </c>
      <c r="AZ632">
        <f t="shared" si="69"/>
        <v>1</v>
      </c>
    </row>
    <row r="633" spans="1:52" x14ac:dyDescent="0.2">
      <c r="A633">
        <f t="shared" si="63"/>
        <v>629</v>
      </c>
      <c r="B633">
        <v>2.6398214943734288E-2</v>
      </c>
      <c r="C633">
        <v>2.9049642304041858E-2</v>
      </c>
      <c r="D633">
        <v>4.1987209287784655E-2</v>
      </c>
      <c r="E633">
        <v>3.2156652970339206E-2</v>
      </c>
      <c r="F633">
        <v>3.3624028280441198E-3</v>
      </c>
      <c r="G633">
        <v>9.1851202141081498E-4</v>
      </c>
      <c r="H633">
        <v>2.0413515974389115E-2</v>
      </c>
      <c r="I633">
        <v>0.12654372129419628</v>
      </c>
      <c r="J633">
        <v>0</v>
      </c>
      <c r="K633">
        <v>0.47954753264716299</v>
      </c>
      <c r="L633">
        <v>0.21417737859413133</v>
      </c>
      <c r="M633">
        <v>0.78582262140586867</v>
      </c>
      <c r="N633">
        <v>7.0392011532930954E-2</v>
      </c>
      <c r="O633" s="72">
        <v>0.98457011494614521</v>
      </c>
      <c r="P633">
        <v>0.99998076948463599</v>
      </c>
      <c r="Q633">
        <v>0.92091714552388493</v>
      </c>
      <c r="R633">
        <v>0.47236260137108532</v>
      </c>
      <c r="S633">
        <v>0.35942573741005124</v>
      </c>
      <c r="T633">
        <v>0.28134933505045845</v>
      </c>
      <c r="U633">
        <v>0.7782552204113673</v>
      </c>
      <c r="V633">
        <v>0.74212590683449609</v>
      </c>
      <c r="W633">
        <v>0.58100721716185433</v>
      </c>
      <c r="X633">
        <v>0.44581368174890962</v>
      </c>
      <c r="Y633">
        <v>0.46546855806496623</v>
      </c>
      <c r="Z633">
        <v>0.46490604946094305</v>
      </c>
      <c r="AA633">
        <v>0.66076644539456952</v>
      </c>
      <c r="AB633">
        <v>0.82325125234064234</v>
      </c>
      <c r="AC633">
        <v>0.71725828111142287</v>
      </c>
      <c r="AD633">
        <v>0.59967810755915829</v>
      </c>
      <c r="AE633">
        <v>224.1853797565773</v>
      </c>
      <c r="AF633">
        <v>1052.5894275213532</v>
      </c>
      <c r="AG633">
        <v>1752.0227271256842</v>
      </c>
      <c r="AH633">
        <v>11758.674256632416</v>
      </c>
      <c r="AI633">
        <v>13597.353376314759</v>
      </c>
      <c r="AJ633">
        <v>41770.516781662111</v>
      </c>
      <c r="AK633">
        <v>13096.985609315228</v>
      </c>
      <c r="AL633">
        <v>3242.6007368442743</v>
      </c>
      <c r="AM633">
        <v>409.35327579329726</v>
      </c>
      <c r="AO633">
        <v>43936.790083543929</v>
      </c>
      <c r="AP633">
        <v>13.365028932822916</v>
      </c>
      <c r="AQ633">
        <v>47138.027913981641</v>
      </c>
      <c r="AR633">
        <v>13.542314532798933</v>
      </c>
      <c r="AS633" s="2">
        <f t="shared" si="64"/>
        <v>3201.2378304377125</v>
      </c>
      <c r="AT633" s="2">
        <f t="shared" si="65"/>
        <v>0.17728559997601678</v>
      </c>
      <c r="AV633">
        <f t="shared" si="66"/>
        <v>1292566.1031987478</v>
      </c>
      <c r="AW633">
        <f t="shared" si="67"/>
        <v>1307093.4253659118</v>
      </c>
      <c r="AY633">
        <f t="shared" si="68"/>
        <v>0</v>
      </c>
      <c r="AZ633">
        <f t="shared" si="69"/>
        <v>1</v>
      </c>
    </row>
    <row r="634" spans="1:52" x14ac:dyDescent="0.2">
      <c r="A634">
        <f t="shared" si="63"/>
        <v>630</v>
      </c>
      <c r="B634">
        <v>2.8430312329693286E-2</v>
      </c>
      <c r="C634">
        <v>4.9324825010762186E-2</v>
      </c>
      <c r="D634">
        <v>5.2631872518137057E-2</v>
      </c>
      <c r="E634">
        <v>1.0662167833114118E-2</v>
      </c>
      <c r="F634">
        <v>3.3690112341613343E-3</v>
      </c>
      <c r="G634">
        <v>1.7936105066052699E-2</v>
      </c>
      <c r="H634">
        <v>2.7094238789783349E-2</v>
      </c>
      <c r="I634">
        <v>0.1160814691617216</v>
      </c>
      <c r="J634">
        <v>0</v>
      </c>
      <c r="K634">
        <v>0.40295444463558561</v>
      </c>
      <c r="L634">
        <v>0.24871706235108992</v>
      </c>
      <c r="M634">
        <v>0.75128293764891008</v>
      </c>
      <c r="N634">
        <v>4.3843763805723121E-2</v>
      </c>
      <c r="O634" s="72">
        <v>0.99953062036795159</v>
      </c>
      <c r="P634">
        <v>0.99409317375808648</v>
      </c>
      <c r="Q634">
        <v>0.9546814337936308</v>
      </c>
      <c r="R634">
        <v>0.51085611242002549</v>
      </c>
      <c r="S634">
        <v>0.3691715898040302</v>
      </c>
      <c r="T634">
        <v>0.21914361934736726</v>
      </c>
      <c r="U634">
        <v>0.77441333378706112</v>
      </c>
      <c r="V634">
        <v>0.5882969679101947</v>
      </c>
      <c r="W634">
        <v>0.54820853269421521</v>
      </c>
      <c r="X634">
        <v>0.48827742845979882</v>
      </c>
      <c r="Y634">
        <v>0.43954710929491214</v>
      </c>
      <c r="Z634">
        <v>0.4219586750529139</v>
      </c>
      <c r="AA634">
        <v>0.63026995786071016</v>
      </c>
      <c r="AB634">
        <v>0.79784876601628285</v>
      </c>
      <c r="AC634">
        <v>0.73659804632261494</v>
      </c>
      <c r="AD634">
        <v>0.64628150291437558</v>
      </c>
      <c r="AE634">
        <v>156.72690264768931</v>
      </c>
      <c r="AF634">
        <v>921.94546063493078</v>
      </c>
      <c r="AG634">
        <v>1799.7630824857511</v>
      </c>
      <c r="AH634">
        <v>11440.707151315357</v>
      </c>
      <c r="AI634">
        <v>7282.1493308813524</v>
      </c>
      <c r="AJ634">
        <v>41093.179413822741</v>
      </c>
      <c r="AK634">
        <v>21944.267590559357</v>
      </c>
      <c r="AL634">
        <v>1346.1085280031205</v>
      </c>
      <c r="AM634">
        <v>347.99521020327643</v>
      </c>
      <c r="AO634">
        <v>42155.051305044093</v>
      </c>
      <c r="AP634">
        <v>13.082686468138663</v>
      </c>
      <c r="AQ634">
        <v>46098.435317551965</v>
      </c>
      <c r="AR634">
        <v>13.291641857438766</v>
      </c>
      <c r="AS634" s="2">
        <f t="shared" si="64"/>
        <v>3943.3840125078714</v>
      </c>
      <c r="AT634" s="2">
        <f t="shared" si="65"/>
        <v>0.20895538930010282</v>
      </c>
      <c r="AV634">
        <f t="shared" si="66"/>
        <v>1266113.5955088222</v>
      </c>
      <c r="AW634">
        <f t="shared" si="67"/>
        <v>1283065.7504263246</v>
      </c>
      <c r="AY634">
        <f t="shared" si="68"/>
        <v>0</v>
      </c>
      <c r="AZ634">
        <f t="shared" si="69"/>
        <v>1</v>
      </c>
    </row>
    <row r="635" spans="1:52" x14ac:dyDescent="0.2">
      <c r="A635">
        <f t="shared" si="63"/>
        <v>631</v>
      </c>
      <c r="B635">
        <v>3.3052448222348985E-2</v>
      </c>
      <c r="C635">
        <v>3.127821640211368E-2</v>
      </c>
      <c r="D635">
        <v>2.7696249244303937E-2</v>
      </c>
      <c r="E635">
        <v>7.1935682255618279E-3</v>
      </c>
      <c r="F635">
        <v>3.2529419613514703E-3</v>
      </c>
      <c r="G635">
        <v>3.7736474249914775E-2</v>
      </c>
      <c r="H635">
        <v>2.7080146567578525E-2</v>
      </c>
      <c r="I635">
        <v>0.1327840114040213</v>
      </c>
      <c r="J635">
        <v>0</v>
      </c>
      <c r="K635">
        <v>0.46328274464912533</v>
      </c>
      <c r="L635">
        <v>0.22970737867571378</v>
      </c>
      <c r="M635">
        <v>0.77029262132428622</v>
      </c>
      <c r="N635">
        <v>3.6020556667664884E-2</v>
      </c>
      <c r="O635" s="72">
        <v>0.99660960694540879</v>
      </c>
      <c r="P635">
        <v>0.96753458392188163</v>
      </c>
      <c r="Q635">
        <v>0.98428431081565648</v>
      </c>
      <c r="R635">
        <v>0.46038978004401498</v>
      </c>
      <c r="S635">
        <v>0.46593898670905098</v>
      </c>
      <c r="T635">
        <v>0.25311874936110812</v>
      </c>
      <c r="U635">
        <v>0.77064185029152732</v>
      </c>
      <c r="V635">
        <v>0.60946003481059907</v>
      </c>
      <c r="W635">
        <v>0.57350607306430923</v>
      </c>
      <c r="X635">
        <v>0.40395841210341737</v>
      </c>
      <c r="Y635">
        <v>0.4532896490783922</v>
      </c>
      <c r="Z635">
        <v>0.42955646981463863</v>
      </c>
      <c r="AA635">
        <v>0.64636997872619562</v>
      </c>
      <c r="AB635">
        <v>0.81080418247038522</v>
      </c>
      <c r="AC635">
        <v>0.79191159674789635</v>
      </c>
      <c r="AD635">
        <v>0.67772626058736063</v>
      </c>
      <c r="AE635">
        <v>197.1509356092528</v>
      </c>
      <c r="AF635">
        <v>977.36975345341466</v>
      </c>
      <c r="AG635">
        <v>1575.0862249413772</v>
      </c>
      <c r="AH635">
        <v>13590.061605632494</v>
      </c>
      <c r="AI635">
        <v>14415.82569109846</v>
      </c>
      <c r="AJ635">
        <v>44703.712634830168</v>
      </c>
      <c r="AK635">
        <v>17934.929125740509</v>
      </c>
      <c r="AL635">
        <v>1584.4377406558997</v>
      </c>
      <c r="AM635">
        <v>481.93280746330623</v>
      </c>
      <c r="AO635">
        <v>44916.60924075939</v>
      </c>
      <c r="AP635">
        <v>13.454907956541634</v>
      </c>
      <c r="AQ635">
        <v>48974.980629760474</v>
      </c>
      <c r="AR635">
        <v>13.612892264744763</v>
      </c>
      <c r="AS635" s="2">
        <f t="shared" si="64"/>
        <v>4058.371389001084</v>
      </c>
      <c r="AT635" s="2">
        <f t="shared" si="65"/>
        <v>0.15798430820312959</v>
      </c>
      <c r="AV635">
        <f t="shared" si="66"/>
        <v>1300574.1864134041</v>
      </c>
      <c r="AW635">
        <f t="shared" si="67"/>
        <v>1312314.2458447157</v>
      </c>
      <c r="AY635">
        <f t="shared" si="68"/>
        <v>0</v>
      </c>
      <c r="AZ635">
        <f t="shared" si="69"/>
        <v>1</v>
      </c>
    </row>
    <row r="636" spans="1:52" x14ac:dyDescent="0.2">
      <c r="A636">
        <f t="shared" si="63"/>
        <v>632</v>
      </c>
      <c r="B636">
        <v>2.4283350490180777E-2</v>
      </c>
      <c r="C636">
        <v>3.5963808305505336E-2</v>
      </c>
      <c r="D636">
        <v>5.5426637759917852E-2</v>
      </c>
      <c r="E636">
        <v>1.1143345200065604E-3</v>
      </c>
      <c r="F636">
        <v>3.3715906513102079E-3</v>
      </c>
      <c r="G636">
        <v>1.8374243166682125E-2</v>
      </c>
      <c r="H636">
        <v>2.5980728912032808E-2</v>
      </c>
      <c r="I636">
        <v>0.14939293188206404</v>
      </c>
      <c r="J636">
        <v>0</v>
      </c>
      <c r="K636">
        <v>0.40397626173989659</v>
      </c>
      <c r="L636">
        <v>0.20475387403345138</v>
      </c>
      <c r="M636">
        <v>0.79524612596654864</v>
      </c>
      <c r="N636">
        <v>4.8611041049291093E-2</v>
      </c>
      <c r="O636" s="72">
        <v>0.99999970974359775</v>
      </c>
      <c r="P636">
        <v>0.98834620850196464</v>
      </c>
      <c r="Q636">
        <v>0.99022346536111794</v>
      </c>
      <c r="R636">
        <v>0.46673657183065187</v>
      </c>
      <c r="S636">
        <v>0.54350748790008474</v>
      </c>
      <c r="T636">
        <v>0.22914427923998115</v>
      </c>
      <c r="U636">
        <v>0.78305330725492872</v>
      </c>
      <c r="V636">
        <v>0.66397396912212447</v>
      </c>
      <c r="W636">
        <v>0.57530430311941516</v>
      </c>
      <c r="X636">
        <v>0.45410232806044848</v>
      </c>
      <c r="Y636">
        <v>0.42767085669706467</v>
      </c>
      <c r="Z636">
        <v>0.42354492738684957</v>
      </c>
      <c r="AA636">
        <v>0.65678335477126437</v>
      </c>
      <c r="AB636">
        <v>0.85876927118441249</v>
      </c>
      <c r="AC636">
        <v>0.78519973583397829</v>
      </c>
      <c r="AD636">
        <v>0.55308259525082593</v>
      </c>
      <c r="AE636">
        <v>177.63555713720427</v>
      </c>
      <c r="AF636">
        <v>987.83857541890995</v>
      </c>
      <c r="AG636">
        <v>1174.9075299249389</v>
      </c>
      <c r="AH636">
        <v>16841.863036893847</v>
      </c>
      <c r="AI636">
        <v>12864.812303735705</v>
      </c>
      <c r="AJ636">
        <v>41948.913901550412</v>
      </c>
      <c r="AK636">
        <v>14533.910455409952</v>
      </c>
      <c r="AL636">
        <v>2236.3526979657449</v>
      </c>
      <c r="AM636">
        <v>464.37802221969565</v>
      </c>
      <c r="AO636">
        <v>44289.647978231093</v>
      </c>
      <c r="AP636">
        <v>13.913045512092667</v>
      </c>
      <c r="AQ636">
        <v>48012.886108759376</v>
      </c>
      <c r="AR636">
        <v>14.095939495462975</v>
      </c>
      <c r="AS636" s="2">
        <f t="shared" si="64"/>
        <v>3723.2381305282834</v>
      </c>
      <c r="AT636" s="2">
        <f t="shared" si="65"/>
        <v>0.18289398337030782</v>
      </c>
      <c r="AV636">
        <f t="shared" si="66"/>
        <v>1347014.9032310357</v>
      </c>
      <c r="AW636">
        <f t="shared" si="67"/>
        <v>1361581.0634375382</v>
      </c>
      <c r="AY636">
        <f t="shared" si="68"/>
        <v>0</v>
      </c>
      <c r="AZ636">
        <f t="shared" si="69"/>
        <v>1</v>
      </c>
    </row>
    <row r="637" spans="1:52" x14ac:dyDescent="0.2">
      <c r="A637">
        <f t="shared" si="63"/>
        <v>633</v>
      </c>
      <c r="B637">
        <v>2.1557072256873804E-2</v>
      </c>
      <c r="C637">
        <v>4.4200552578963714E-2</v>
      </c>
      <c r="D637">
        <v>2.1456310471763395E-2</v>
      </c>
      <c r="E637">
        <v>7.7099886891336443E-3</v>
      </c>
      <c r="F637">
        <v>3.3972015559573521E-3</v>
      </c>
      <c r="G637">
        <v>8.2071940568472588E-3</v>
      </c>
      <c r="H637">
        <v>2.3439502245004892E-2</v>
      </c>
      <c r="I637">
        <v>0.15464505811572282</v>
      </c>
      <c r="J637">
        <v>0</v>
      </c>
      <c r="K637">
        <v>0.43961002736945598</v>
      </c>
      <c r="L637">
        <v>0.16689570018428593</v>
      </c>
      <c r="M637">
        <v>0.8331042998157141</v>
      </c>
      <c r="N637">
        <v>6.0126912956115053E-2</v>
      </c>
      <c r="O637" s="72">
        <v>0.99653869696640374</v>
      </c>
      <c r="P637">
        <v>0.99921140199612468</v>
      </c>
      <c r="Q637">
        <v>0.9414831175754742</v>
      </c>
      <c r="R637">
        <v>0.45384727489162269</v>
      </c>
      <c r="S637">
        <v>0.37796900625989827</v>
      </c>
      <c r="T637">
        <v>0.18305683012385232</v>
      </c>
      <c r="U637">
        <v>0.73681398262039088</v>
      </c>
      <c r="V637">
        <v>0.66430473062098416</v>
      </c>
      <c r="W637">
        <v>0.55897219378524698</v>
      </c>
      <c r="X637">
        <v>0.41184227616851649</v>
      </c>
      <c r="Y637">
        <v>0.45366277884551776</v>
      </c>
      <c r="Z637">
        <v>0.44039626554742756</v>
      </c>
      <c r="AA637">
        <v>0.56251604659338406</v>
      </c>
      <c r="AB637">
        <v>0.78830232500558706</v>
      </c>
      <c r="AC637">
        <v>0.70553153804584223</v>
      </c>
      <c r="AD637">
        <v>0.63852877243599326</v>
      </c>
      <c r="AE637">
        <v>170.38091045659544</v>
      </c>
      <c r="AF637">
        <v>1067.7533066145002</v>
      </c>
      <c r="AG637">
        <v>1386.3542157934403</v>
      </c>
      <c r="AH637">
        <v>12037.990215398961</v>
      </c>
      <c r="AI637">
        <v>15182.286521614293</v>
      </c>
      <c r="AJ637">
        <v>39102.200039454212</v>
      </c>
      <c r="AK637">
        <v>13391.315161006538</v>
      </c>
      <c r="AL637">
        <v>2716.6317986692561</v>
      </c>
      <c r="AM637">
        <v>369.18897899563927</v>
      </c>
      <c r="AO637">
        <v>46036.180333915319</v>
      </c>
      <c r="AP637">
        <v>12.913283682405941</v>
      </c>
      <c r="AQ637">
        <v>46298.8158488798</v>
      </c>
      <c r="AR637">
        <v>13.089796950339759</v>
      </c>
      <c r="AS637" s="2">
        <f t="shared" si="64"/>
        <v>262.63551496448054</v>
      </c>
      <c r="AT637" s="2">
        <f t="shared" si="65"/>
        <v>0.17651326793381727</v>
      </c>
      <c r="AV637">
        <f t="shared" si="66"/>
        <v>1245292.1879066788</v>
      </c>
      <c r="AW637">
        <f t="shared" si="67"/>
        <v>1262680.8791850961</v>
      </c>
      <c r="AY637">
        <f t="shared" si="68"/>
        <v>0</v>
      </c>
      <c r="AZ637">
        <f t="shared" si="69"/>
        <v>1</v>
      </c>
    </row>
    <row r="638" spans="1:52" x14ac:dyDescent="0.2">
      <c r="A638">
        <f t="shared" si="63"/>
        <v>634</v>
      </c>
      <c r="B638">
        <v>2.0661226741479032E-2</v>
      </c>
      <c r="C638">
        <v>3.4579239144918804E-2</v>
      </c>
      <c r="D638">
        <v>2.8492200444813116E-2</v>
      </c>
      <c r="E638">
        <v>1.7971022262655234E-2</v>
      </c>
      <c r="F638">
        <v>3.3460819781102602E-3</v>
      </c>
      <c r="G638">
        <v>1.3772347549662611E-2</v>
      </c>
      <c r="H638">
        <v>2.0344846250106307E-2</v>
      </c>
      <c r="I638">
        <v>0.13620547563284091</v>
      </c>
      <c r="J638">
        <v>0</v>
      </c>
      <c r="K638">
        <v>0.41370949124259537</v>
      </c>
      <c r="L638">
        <v>0.18977264299910293</v>
      </c>
      <c r="M638">
        <v>0.8102273570008971</v>
      </c>
      <c r="N638">
        <v>5.8500505696286398E-2</v>
      </c>
      <c r="O638" s="72">
        <v>0.99967145403772717</v>
      </c>
      <c r="P638">
        <v>0.99359178390988434</v>
      </c>
      <c r="Q638">
        <v>0.95026929376170388</v>
      </c>
      <c r="R638">
        <v>0.48564370926726608</v>
      </c>
      <c r="S638">
        <v>0.35030463163583669</v>
      </c>
      <c r="T638">
        <v>0.18188833846840569</v>
      </c>
      <c r="U638">
        <v>0.78782726968750216</v>
      </c>
      <c r="V638">
        <v>0.65509884099180682</v>
      </c>
      <c r="W638">
        <v>0.50289711670480408</v>
      </c>
      <c r="X638">
        <v>0.46178036463842831</v>
      </c>
      <c r="Y638">
        <v>0.4386563249681838</v>
      </c>
      <c r="Z638">
        <v>0.49729832138192698</v>
      </c>
      <c r="AA638">
        <v>0.71921077586098225</v>
      </c>
      <c r="AB638">
        <v>0.84271266873748951</v>
      </c>
      <c r="AC638">
        <v>0.67137010020044474</v>
      </c>
      <c r="AD638">
        <v>0.55971309385461165</v>
      </c>
      <c r="AE638">
        <v>170.00941191842173</v>
      </c>
      <c r="AF638">
        <v>951.31925551369193</v>
      </c>
      <c r="AG638">
        <v>1302.4017355690219</v>
      </c>
      <c r="AH638">
        <v>10952.814622468157</v>
      </c>
      <c r="AI638">
        <v>18427.306878457039</v>
      </c>
      <c r="AJ638">
        <v>37828.085571038864</v>
      </c>
      <c r="AK638">
        <v>13143.180673006134</v>
      </c>
      <c r="AL638">
        <v>1422.4237079367988</v>
      </c>
      <c r="AM638">
        <v>272.87204707303857</v>
      </c>
      <c r="AO638">
        <v>43073.069397896943</v>
      </c>
      <c r="AP638">
        <v>13.470763274030348</v>
      </c>
      <c r="AQ638">
        <v>44889.019018593463</v>
      </c>
      <c r="AR638">
        <v>13.676398235233256</v>
      </c>
      <c r="AS638" s="2">
        <f t="shared" si="64"/>
        <v>1815.9496206965196</v>
      </c>
      <c r="AT638" s="2">
        <f t="shared" si="65"/>
        <v>0.20563496120290736</v>
      </c>
      <c r="AV638">
        <f t="shared" si="66"/>
        <v>1304003.2580051378</v>
      </c>
      <c r="AW638">
        <f t="shared" si="67"/>
        <v>1322750.8045047321</v>
      </c>
      <c r="AY638">
        <f t="shared" si="68"/>
        <v>0</v>
      </c>
      <c r="AZ638">
        <f t="shared" si="69"/>
        <v>1</v>
      </c>
    </row>
    <row r="639" spans="1:52" x14ac:dyDescent="0.2">
      <c r="A639">
        <f t="shared" si="63"/>
        <v>635</v>
      </c>
      <c r="B639">
        <v>2.3484680649614051E-2</v>
      </c>
      <c r="C639">
        <v>4.3703807997043542E-2</v>
      </c>
      <c r="D639">
        <v>4.3844482700391318E-2</v>
      </c>
      <c r="E639">
        <v>1.0854053688010958E-2</v>
      </c>
      <c r="F639">
        <v>3.3257038782615674E-3</v>
      </c>
      <c r="G639">
        <v>1.3896007386888343E-2</v>
      </c>
      <c r="H639">
        <v>4.448334778118046E-2</v>
      </c>
      <c r="I639">
        <v>0.11441863603282888</v>
      </c>
      <c r="J639">
        <v>0</v>
      </c>
      <c r="K639">
        <v>0.44206900784977154</v>
      </c>
      <c r="L639">
        <v>0.23628142073431468</v>
      </c>
      <c r="M639">
        <v>0.76371857926568532</v>
      </c>
      <c r="N639">
        <v>5.827000446141728E-2</v>
      </c>
      <c r="O639" s="72">
        <v>0.99967396129868247</v>
      </c>
      <c r="P639">
        <v>0.99958838032929498</v>
      </c>
      <c r="Q639">
        <v>0.97981423625628805</v>
      </c>
      <c r="R639">
        <v>0.50645957264455577</v>
      </c>
      <c r="S639">
        <v>0.44720223897654743</v>
      </c>
      <c r="T639">
        <v>0.24101995473185889</v>
      </c>
      <c r="U639">
        <v>0.76015569914101799</v>
      </c>
      <c r="V639">
        <v>0.66451640008244595</v>
      </c>
      <c r="W639">
        <v>0.51052098117524369</v>
      </c>
      <c r="X639">
        <v>0.47466754319118831</v>
      </c>
      <c r="Y639">
        <v>0.43952965362475599</v>
      </c>
      <c r="Z639">
        <v>0.45761272520597007</v>
      </c>
      <c r="AA639">
        <v>0.66130896002419837</v>
      </c>
      <c r="AB639">
        <v>0.83891502725070266</v>
      </c>
      <c r="AC639">
        <v>0.70217859274320404</v>
      </c>
      <c r="AD639">
        <v>0.6222401927744432</v>
      </c>
      <c r="AE639">
        <v>161.72407555014911</v>
      </c>
      <c r="AF639">
        <v>1012.2896179124297</v>
      </c>
      <c r="AG639">
        <v>1662.8799803731577</v>
      </c>
      <c r="AH639">
        <v>16052.771279495031</v>
      </c>
      <c r="AI639">
        <v>10638.481928692469</v>
      </c>
      <c r="AJ639">
        <v>30610.529220243272</v>
      </c>
      <c r="AK639">
        <v>10216.383733465531</v>
      </c>
      <c r="AL639">
        <v>3202.9180406570904</v>
      </c>
      <c r="AM639">
        <v>308.80034262677276</v>
      </c>
      <c r="AO639">
        <v>40701.649939144787</v>
      </c>
      <c r="AP639">
        <v>13.556850270804437</v>
      </c>
      <c r="AQ639">
        <v>45313.037183619366</v>
      </c>
      <c r="AR639">
        <v>13.768194776585098</v>
      </c>
      <c r="AS639" s="2">
        <f t="shared" si="64"/>
        <v>4611.3872444745793</v>
      </c>
      <c r="AT639" s="2">
        <f t="shared" si="65"/>
        <v>0.21134450578066044</v>
      </c>
      <c r="AV639">
        <f t="shared" si="66"/>
        <v>1314983.377141299</v>
      </c>
      <c r="AW639">
        <f t="shared" si="67"/>
        <v>1331506.4404748904</v>
      </c>
      <c r="AY639">
        <f t="shared" si="68"/>
        <v>0</v>
      </c>
      <c r="AZ639">
        <f t="shared" si="69"/>
        <v>1</v>
      </c>
    </row>
    <row r="640" spans="1:52" x14ac:dyDescent="0.2">
      <c r="A640">
        <f t="shared" ref="A640:A703" si="70">A639+1</f>
        <v>636</v>
      </c>
      <c r="B640">
        <v>2.4133034316461386E-2</v>
      </c>
      <c r="C640">
        <v>3.9771883211385139E-2</v>
      </c>
      <c r="D640">
        <v>5.13763653678736E-2</v>
      </c>
      <c r="E640">
        <v>3.010156415428315E-3</v>
      </c>
      <c r="F640">
        <v>3.3569546813370099E-3</v>
      </c>
      <c r="G640">
        <v>1.3931112780737331E-2</v>
      </c>
      <c r="H640">
        <v>4.0505937951538007E-2</v>
      </c>
      <c r="I640">
        <v>0.13429188998136754</v>
      </c>
      <c r="J640">
        <v>0</v>
      </c>
      <c r="K640">
        <v>0.43553533824081014</v>
      </c>
      <c r="L640">
        <v>0.15845037572035195</v>
      </c>
      <c r="M640">
        <v>0.84154962427964808</v>
      </c>
      <c r="N640">
        <v>5.1426318047873079E-2</v>
      </c>
      <c r="O640" s="72">
        <v>0.99841189480733383</v>
      </c>
      <c r="P640">
        <v>0.99513871469273452</v>
      </c>
      <c r="Q640">
        <v>0.99219046581919756</v>
      </c>
      <c r="R640">
        <v>0.49060677412285003</v>
      </c>
      <c r="S640">
        <v>0.38288203607929427</v>
      </c>
      <c r="T640">
        <v>0.25167172916211467</v>
      </c>
      <c r="U640">
        <v>0.7641838043612903</v>
      </c>
      <c r="V640">
        <v>0.67860656190073976</v>
      </c>
      <c r="W640">
        <v>0.50631448528037781</v>
      </c>
      <c r="X640">
        <v>0.4162783700572435</v>
      </c>
      <c r="Y640">
        <v>0.45995892935236637</v>
      </c>
      <c r="Z640">
        <v>0.47732616416559603</v>
      </c>
      <c r="AA640">
        <v>0.67132408658063181</v>
      </c>
      <c r="AB640">
        <v>0.84314332305202688</v>
      </c>
      <c r="AC640">
        <v>0.73732202591643214</v>
      </c>
      <c r="AD640">
        <v>0.57464912631947473</v>
      </c>
      <c r="AE640">
        <v>303.76642358783886</v>
      </c>
      <c r="AF640">
        <v>1059.8014255985354</v>
      </c>
      <c r="AG640">
        <v>1461.3863090457487</v>
      </c>
      <c r="AH640">
        <v>12737.798890083202</v>
      </c>
      <c r="AI640">
        <v>14186.457344479208</v>
      </c>
      <c r="AJ640">
        <v>40210.358902403779</v>
      </c>
      <c r="AK640">
        <v>14256.525726726586</v>
      </c>
      <c r="AL640">
        <v>1326.2777955055565</v>
      </c>
      <c r="AM640">
        <v>361.92715169448962</v>
      </c>
      <c r="AO640">
        <v>42726.230471580711</v>
      </c>
      <c r="AP640">
        <v>13.618619240935024</v>
      </c>
      <c r="AQ640">
        <v>46267.801970764354</v>
      </c>
      <c r="AR640">
        <v>13.823493793338239</v>
      </c>
      <c r="AS640" s="2">
        <f t="shared" si="64"/>
        <v>3541.571499183643</v>
      </c>
      <c r="AT640" s="2">
        <f t="shared" si="65"/>
        <v>0.20487455240321495</v>
      </c>
      <c r="AV640">
        <f t="shared" si="66"/>
        <v>1319135.6936219216</v>
      </c>
      <c r="AW640">
        <f t="shared" si="67"/>
        <v>1336081.5773630596</v>
      </c>
      <c r="AY640">
        <f t="shared" si="68"/>
        <v>0</v>
      </c>
      <c r="AZ640">
        <f t="shared" si="69"/>
        <v>1</v>
      </c>
    </row>
    <row r="641" spans="1:52" x14ac:dyDescent="0.2">
      <c r="A641">
        <f t="shared" si="70"/>
        <v>637</v>
      </c>
      <c r="B641">
        <v>1.9256469677711312E-2</v>
      </c>
      <c r="C641">
        <v>3.7860955715513622E-2</v>
      </c>
      <c r="D641">
        <v>4.0228672637546481E-2</v>
      </c>
      <c r="E641">
        <v>1.0238684406843983E-2</v>
      </c>
      <c r="F641">
        <v>3.2905219586976267E-3</v>
      </c>
      <c r="G641">
        <v>1.1818309386382841E-2</v>
      </c>
      <c r="H641">
        <v>1.1899624154904068E-2</v>
      </c>
      <c r="I641">
        <v>0.15596280582433841</v>
      </c>
      <c r="J641">
        <v>0</v>
      </c>
      <c r="K641">
        <v>0.43026964330526418</v>
      </c>
      <c r="L641">
        <v>0.19017589257554807</v>
      </c>
      <c r="M641">
        <v>0.80982410742445188</v>
      </c>
      <c r="N641">
        <v>7.0310217543988029E-2</v>
      </c>
      <c r="O641" s="72">
        <v>0.9997140279999237</v>
      </c>
      <c r="P641">
        <v>0.99429498477812794</v>
      </c>
      <c r="Q641">
        <v>0.94827495905346815</v>
      </c>
      <c r="R641">
        <v>0.47249353657632909</v>
      </c>
      <c r="S641">
        <v>0.37713513487649675</v>
      </c>
      <c r="T641">
        <v>0.20860835652041876</v>
      </c>
      <c r="U641">
        <v>0.74610398893623897</v>
      </c>
      <c r="V641">
        <v>0.63385732767016234</v>
      </c>
      <c r="W641">
        <v>0.48546213910698643</v>
      </c>
      <c r="X641">
        <v>0.4304797965814533</v>
      </c>
      <c r="Y641">
        <v>0.43792713595060917</v>
      </c>
      <c r="Z641">
        <v>0.38770873847423859</v>
      </c>
      <c r="AA641">
        <v>0.66339128927337165</v>
      </c>
      <c r="AB641">
        <v>0.84202879151727028</v>
      </c>
      <c r="AC641">
        <v>0.68956005916337693</v>
      </c>
      <c r="AD641">
        <v>0.64153812012731581</v>
      </c>
      <c r="AE641">
        <v>152.53674025005492</v>
      </c>
      <c r="AF641">
        <v>1089.0688508358262</v>
      </c>
      <c r="AG641">
        <v>1445.1692426093441</v>
      </c>
      <c r="AH641">
        <v>14668.02817737943</v>
      </c>
      <c r="AI641">
        <v>10457.347359873171</v>
      </c>
      <c r="AJ641">
        <v>33308.117160320333</v>
      </c>
      <c r="AK641">
        <v>12978.528869606709</v>
      </c>
      <c r="AL641">
        <v>1139.6755015700494</v>
      </c>
      <c r="AM641">
        <v>357.42903538476963</v>
      </c>
      <c r="AO641">
        <v>44151.589231054117</v>
      </c>
      <c r="AP641">
        <v>13.54073004165412</v>
      </c>
      <c r="AQ641">
        <v>46255.313891089987</v>
      </c>
      <c r="AR641">
        <v>13.809261175564934</v>
      </c>
      <c r="AS641" s="2">
        <f t="shared" si="64"/>
        <v>2103.7246600358703</v>
      </c>
      <c r="AT641" s="2">
        <f t="shared" si="65"/>
        <v>0.26853113391081429</v>
      </c>
      <c r="AV641">
        <f t="shared" si="66"/>
        <v>1309921.4149343579</v>
      </c>
      <c r="AW641">
        <f t="shared" si="67"/>
        <v>1334670.8036654035</v>
      </c>
      <c r="AY641">
        <f t="shared" si="68"/>
        <v>0</v>
      </c>
      <c r="AZ641">
        <f t="shared" si="69"/>
        <v>1</v>
      </c>
    </row>
    <row r="642" spans="1:52" x14ac:dyDescent="0.2">
      <c r="A642">
        <f t="shared" si="70"/>
        <v>638</v>
      </c>
      <c r="B642">
        <v>2.2132284169912971E-2</v>
      </c>
      <c r="C642">
        <v>5.2744916706903844E-2</v>
      </c>
      <c r="D642">
        <v>4.6004493233323895E-2</v>
      </c>
      <c r="E642">
        <v>8.2439184372457737E-3</v>
      </c>
      <c r="F642">
        <v>3.2268504977244878E-3</v>
      </c>
      <c r="G642">
        <v>6.7043912324812709E-3</v>
      </c>
      <c r="H642">
        <v>3.7437357832973306E-2</v>
      </c>
      <c r="I642">
        <v>0.11820229735337474</v>
      </c>
      <c r="J642">
        <v>0</v>
      </c>
      <c r="K642">
        <v>0.44065915756041674</v>
      </c>
      <c r="L642">
        <v>0.23199171469577951</v>
      </c>
      <c r="M642">
        <v>0.76800828530422049</v>
      </c>
      <c r="N642">
        <v>4.8238714579743262E-2</v>
      </c>
      <c r="O642" s="72">
        <v>0.99095852037055787</v>
      </c>
      <c r="P642">
        <v>0.99980911565819586</v>
      </c>
      <c r="Q642">
        <v>0.94962261653378566</v>
      </c>
      <c r="R642">
        <v>0.5166734011150258</v>
      </c>
      <c r="S642">
        <v>0.39354779384800731</v>
      </c>
      <c r="T642">
        <v>0.25750207862454921</v>
      </c>
      <c r="U642">
        <v>0.78873933875695879</v>
      </c>
      <c r="V642">
        <v>0.63081398053637239</v>
      </c>
      <c r="W642">
        <v>0.5785773257043112</v>
      </c>
      <c r="X642">
        <v>0.38120129115864648</v>
      </c>
      <c r="Y642">
        <v>0.42175644978355525</v>
      </c>
      <c r="Z642">
        <v>0.44701699566993108</v>
      </c>
      <c r="AA642">
        <v>0.71249901653685865</v>
      </c>
      <c r="AB642">
        <v>0.82975674935049637</v>
      </c>
      <c r="AC642">
        <v>0.76306782876547219</v>
      </c>
      <c r="AD642">
        <v>0.64239408972285328</v>
      </c>
      <c r="AE642">
        <v>189.28365459829701</v>
      </c>
      <c r="AF642">
        <v>1175.1282182492951</v>
      </c>
      <c r="AG642">
        <v>1719.8896745854274</v>
      </c>
      <c r="AH642">
        <v>15752.413348234531</v>
      </c>
      <c r="AI642">
        <v>10633.49193781085</v>
      </c>
      <c r="AJ642">
        <v>42384.273845900083</v>
      </c>
      <c r="AK642">
        <v>10620.337054883006</v>
      </c>
      <c r="AL642">
        <v>1302.0634660624221</v>
      </c>
      <c r="AM642">
        <v>594.44652091687465</v>
      </c>
      <c r="AO642">
        <v>44854.445105973886</v>
      </c>
      <c r="AP642">
        <v>13.598356653179088</v>
      </c>
      <c r="AQ642">
        <v>49967.928799337569</v>
      </c>
      <c r="AR642">
        <v>13.776462537115963</v>
      </c>
      <c r="AS642" s="2">
        <f t="shared" si="64"/>
        <v>5113.4836933636834</v>
      </c>
      <c r="AT642" s="2">
        <f t="shared" si="65"/>
        <v>0.17810588393687432</v>
      </c>
      <c r="AV642">
        <f t="shared" si="66"/>
        <v>1314981.220211935</v>
      </c>
      <c r="AW642">
        <f t="shared" si="67"/>
        <v>1327678.3249122589</v>
      </c>
      <c r="AY642">
        <f t="shared" si="68"/>
        <v>0</v>
      </c>
      <c r="AZ642">
        <f t="shared" si="69"/>
        <v>1</v>
      </c>
    </row>
    <row r="643" spans="1:52" x14ac:dyDescent="0.2">
      <c r="A643">
        <f t="shared" si="70"/>
        <v>639</v>
      </c>
      <c r="B643">
        <v>2.3069499807081496E-2</v>
      </c>
      <c r="C643">
        <v>3.9975618093400556E-2</v>
      </c>
      <c r="D643">
        <v>5.2278852364283979E-2</v>
      </c>
      <c r="E643">
        <v>5.2531084531414959E-3</v>
      </c>
      <c r="F643">
        <v>3.2366260756908818E-3</v>
      </c>
      <c r="G643">
        <v>2.6234111457983267E-2</v>
      </c>
      <c r="H643">
        <v>2.3625769665498605E-2</v>
      </c>
      <c r="I643">
        <v>0.14072911133436916</v>
      </c>
      <c r="J643">
        <v>0</v>
      </c>
      <c r="K643">
        <v>0.3962460486937347</v>
      </c>
      <c r="L643">
        <v>0.2393338041475489</v>
      </c>
      <c r="M643">
        <v>0.7606661958524511</v>
      </c>
      <c r="N643">
        <v>6.6612409429053998E-2</v>
      </c>
      <c r="O643" s="72">
        <v>0.9988414941700906</v>
      </c>
      <c r="P643">
        <v>0.99985727391171431</v>
      </c>
      <c r="Q643">
        <v>0.99680429251508917</v>
      </c>
      <c r="R643">
        <v>0.49469632874576219</v>
      </c>
      <c r="S643">
        <v>0.34725941935518667</v>
      </c>
      <c r="T643">
        <v>0.23195698597893211</v>
      </c>
      <c r="U643">
        <v>0.80841478249526377</v>
      </c>
      <c r="V643">
        <v>0.60962105942951672</v>
      </c>
      <c r="W643">
        <v>0.42490772747887512</v>
      </c>
      <c r="X643">
        <v>0.41176490466275228</v>
      </c>
      <c r="Y643">
        <v>0.45946509358857757</v>
      </c>
      <c r="Z643">
        <v>0.52775345799288287</v>
      </c>
      <c r="AA643">
        <v>0.60139369011536803</v>
      </c>
      <c r="AB643">
        <v>0.7594879312364412</v>
      </c>
      <c r="AC643">
        <v>0.64763812295196077</v>
      </c>
      <c r="AD643">
        <v>0.62393718954187949</v>
      </c>
      <c r="AE643">
        <v>149.2025576122966</v>
      </c>
      <c r="AF643">
        <v>931.69770221566534</v>
      </c>
      <c r="AG643">
        <v>1802.1919057392081</v>
      </c>
      <c r="AH643">
        <v>18963.392904702385</v>
      </c>
      <c r="AI643">
        <v>9172.4930494744131</v>
      </c>
      <c r="AJ643">
        <v>34388.244159276226</v>
      </c>
      <c r="AK643">
        <v>10870.557565180408</v>
      </c>
      <c r="AL643">
        <v>1767.4125454557902</v>
      </c>
      <c r="AM643">
        <v>327.20862798433444</v>
      </c>
      <c r="AO643">
        <v>42968.76757130745</v>
      </c>
      <c r="AP643">
        <v>12.419433612423662</v>
      </c>
      <c r="AQ643">
        <v>45528.87706887153</v>
      </c>
      <c r="AR643">
        <v>12.56822734905402</v>
      </c>
      <c r="AS643" s="2">
        <f t="shared" si="64"/>
        <v>2560.1094975640808</v>
      </c>
      <c r="AT643" s="2">
        <f t="shared" si="65"/>
        <v>0.148793736630358</v>
      </c>
      <c r="AV643">
        <f t="shared" si="66"/>
        <v>1198974.5936710588</v>
      </c>
      <c r="AW643">
        <f t="shared" si="67"/>
        <v>1211293.8578365303</v>
      </c>
      <c r="AY643">
        <f t="shared" si="68"/>
        <v>0</v>
      </c>
      <c r="AZ643">
        <f t="shared" si="69"/>
        <v>1</v>
      </c>
    </row>
    <row r="644" spans="1:52" x14ac:dyDescent="0.2">
      <c r="A644">
        <f t="shared" si="70"/>
        <v>640</v>
      </c>
      <c r="B644">
        <v>2.9422699949723019E-2</v>
      </c>
      <c r="C644">
        <v>3.564898758466975E-2</v>
      </c>
      <c r="D644">
        <v>5.218229188129575E-2</v>
      </c>
      <c r="E644">
        <v>1.9774514354185535E-2</v>
      </c>
      <c r="F644">
        <v>3.1799281309818641E-3</v>
      </c>
      <c r="G644">
        <v>3.8248720413317061E-2</v>
      </c>
      <c r="H644">
        <v>2.348092715389177E-2</v>
      </c>
      <c r="I644">
        <v>0.12839366918521813</v>
      </c>
      <c r="J644">
        <v>0</v>
      </c>
      <c r="K644">
        <v>0.39141531720388323</v>
      </c>
      <c r="L644">
        <v>0.25682935411582974</v>
      </c>
      <c r="M644">
        <v>0.74317064588417026</v>
      </c>
      <c r="N644">
        <v>4.4741218309015479E-2</v>
      </c>
      <c r="O644" s="72">
        <v>0.99999451196957956</v>
      </c>
      <c r="P644">
        <v>0.99817204935373183</v>
      </c>
      <c r="Q644">
        <v>0.94775302939565365</v>
      </c>
      <c r="R644">
        <v>0.50828482262802721</v>
      </c>
      <c r="S644">
        <v>0.40733653089738175</v>
      </c>
      <c r="T644">
        <v>0.27205724339322612</v>
      </c>
      <c r="U644">
        <v>0.78430411838220682</v>
      </c>
      <c r="V644">
        <v>0.70781345773856374</v>
      </c>
      <c r="W644">
        <v>0.59326138912602056</v>
      </c>
      <c r="X644">
        <v>0.4598398472668932</v>
      </c>
      <c r="Y644">
        <v>0.45550669227826579</v>
      </c>
      <c r="Z644">
        <v>0.45020335406939715</v>
      </c>
      <c r="AA644">
        <v>0.65187266156686685</v>
      </c>
      <c r="AB644">
        <v>0.81796256945460954</v>
      </c>
      <c r="AC644">
        <v>0.73939088275976239</v>
      </c>
      <c r="AD644">
        <v>0.59101186228726121</v>
      </c>
      <c r="AE644">
        <v>253.16937863268717</v>
      </c>
      <c r="AF644">
        <v>1087.4908474029737</v>
      </c>
      <c r="AG644">
        <v>1666.9837065780578</v>
      </c>
      <c r="AH644">
        <v>12341.159466933022</v>
      </c>
      <c r="AI644">
        <v>8136.3334276942724</v>
      </c>
      <c r="AJ644">
        <v>37432.354894820397</v>
      </c>
      <c r="AK644">
        <v>13797.949051553001</v>
      </c>
      <c r="AL644">
        <v>1454.5678373080759</v>
      </c>
      <c r="AM644">
        <v>346.43198729863479</v>
      </c>
      <c r="AO644">
        <v>40817.978628703917</v>
      </c>
      <c r="AP644">
        <v>13.337290921929112</v>
      </c>
      <c r="AQ644">
        <v>46021.339157503346</v>
      </c>
      <c r="AR644">
        <v>13.499357485419981</v>
      </c>
      <c r="AS644" s="2">
        <f t="shared" si="64"/>
        <v>5203.3605287994287</v>
      </c>
      <c r="AT644" s="2">
        <f t="shared" si="65"/>
        <v>0.16206656349086934</v>
      </c>
      <c r="AV644">
        <f t="shared" si="66"/>
        <v>1292911.1135642075</v>
      </c>
      <c r="AW644">
        <f t="shared" si="67"/>
        <v>1303914.4093844949</v>
      </c>
      <c r="AY644">
        <f t="shared" si="68"/>
        <v>0</v>
      </c>
      <c r="AZ644">
        <f t="shared" si="69"/>
        <v>1</v>
      </c>
    </row>
    <row r="645" spans="1:52" x14ac:dyDescent="0.2">
      <c r="A645">
        <f t="shared" si="70"/>
        <v>641</v>
      </c>
      <c r="B645">
        <v>2.5707430631710104E-2</v>
      </c>
      <c r="C645">
        <v>3.6241649692069E-2</v>
      </c>
      <c r="D645">
        <v>3.0988147129364593E-2</v>
      </c>
      <c r="E645">
        <v>1.0654376085448962E-2</v>
      </c>
      <c r="F645">
        <v>3.2168258034623136E-3</v>
      </c>
      <c r="G645">
        <v>2.4816667649977808E-2</v>
      </c>
      <c r="H645">
        <v>2.9547717593399025E-2</v>
      </c>
      <c r="I645">
        <v>0.13254170754751038</v>
      </c>
      <c r="J645">
        <v>0</v>
      </c>
      <c r="K645">
        <v>0.40466660675050803</v>
      </c>
      <c r="L645">
        <v>0.18528241253163211</v>
      </c>
      <c r="M645">
        <v>0.81471758746836787</v>
      </c>
      <c r="N645">
        <v>5.3864298335252768E-2</v>
      </c>
      <c r="O645" s="72">
        <v>0.99999387196472278</v>
      </c>
      <c r="P645">
        <v>0.99975656764096554</v>
      </c>
      <c r="Q645">
        <v>0.93345770881559209</v>
      </c>
      <c r="R645">
        <v>0.49988719747279708</v>
      </c>
      <c r="S645">
        <v>0.36250641892676549</v>
      </c>
      <c r="T645">
        <v>0.30949569319503134</v>
      </c>
      <c r="U645">
        <v>0.78825763200954568</v>
      </c>
      <c r="V645">
        <v>0.65287919979020437</v>
      </c>
      <c r="W645">
        <v>0.52275501707292349</v>
      </c>
      <c r="X645">
        <v>0.42109212784076316</v>
      </c>
      <c r="Y645">
        <v>0.4530913308754414</v>
      </c>
      <c r="Z645">
        <v>0.4485104549077007</v>
      </c>
      <c r="AA645">
        <v>0.74316669083355391</v>
      </c>
      <c r="AB645">
        <v>0.72754867695300229</v>
      </c>
      <c r="AC645">
        <v>0.71605623484242509</v>
      </c>
      <c r="AD645">
        <v>0.63881248172760841</v>
      </c>
      <c r="AE645">
        <v>255.23111399504526</v>
      </c>
      <c r="AF645">
        <v>1116.0544482975354</v>
      </c>
      <c r="AG645">
        <v>1847.5414675276779</v>
      </c>
      <c r="AH645">
        <v>15941.586273823812</v>
      </c>
      <c r="AI645">
        <v>9597.4320763876513</v>
      </c>
      <c r="AJ645">
        <v>51327.161843262205</v>
      </c>
      <c r="AK645">
        <v>13851.705835956549</v>
      </c>
      <c r="AL645">
        <v>1760.4081014466624</v>
      </c>
      <c r="AM645">
        <v>334.07168608921313</v>
      </c>
      <c r="AO645">
        <v>41319.81193278305</v>
      </c>
      <c r="AP645">
        <v>12.216474011648415</v>
      </c>
      <c r="AQ645">
        <v>45937.838449950767</v>
      </c>
      <c r="AR645">
        <v>12.2684932409478</v>
      </c>
      <c r="AS645" s="2">
        <f t="shared" si="64"/>
        <v>4618.0265171677165</v>
      </c>
      <c r="AT645" s="2">
        <f t="shared" si="65"/>
        <v>5.2019229299384406E-2</v>
      </c>
      <c r="AV645">
        <f t="shared" si="66"/>
        <v>1180327.5892320585</v>
      </c>
      <c r="AW645">
        <f t="shared" si="67"/>
        <v>1180911.4856448292</v>
      </c>
      <c r="AY645">
        <f t="shared" si="68"/>
        <v>0</v>
      </c>
      <c r="AZ645">
        <f t="shared" si="69"/>
        <v>1</v>
      </c>
    </row>
    <row r="646" spans="1:52" x14ac:dyDescent="0.2">
      <c r="A646">
        <f t="shared" si="70"/>
        <v>642</v>
      </c>
      <c r="B646">
        <v>2.3657493735704933E-2</v>
      </c>
      <c r="C646">
        <v>4.1630648055275943E-2</v>
      </c>
      <c r="D646">
        <v>3.5753320094475523E-2</v>
      </c>
      <c r="E646">
        <v>6.9612940558179005E-3</v>
      </c>
      <c r="F646">
        <v>3.3456096845830841E-3</v>
      </c>
      <c r="G646">
        <v>1.4509200238089659E-2</v>
      </c>
      <c r="H646">
        <v>3.2698245199505926E-2</v>
      </c>
      <c r="I646">
        <v>0.14154417656165141</v>
      </c>
      <c r="J646">
        <v>0</v>
      </c>
      <c r="K646">
        <v>0.48717771308004709</v>
      </c>
      <c r="L646">
        <v>0.27899486823737574</v>
      </c>
      <c r="M646">
        <v>0.72100513176262426</v>
      </c>
      <c r="N646">
        <v>5.8507016787631594E-2</v>
      </c>
      <c r="O646" s="72">
        <v>0.93518110750228511</v>
      </c>
      <c r="P646">
        <v>0.99931335958400536</v>
      </c>
      <c r="Q646">
        <v>0.9363211766318742</v>
      </c>
      <c r="R646">
        <v>0.43139198046030358</v>
      </c>
      <c r="S646">
        <v>0.27802909322882507</v>
      </c>
      <c r="T646">
        <v>0.28082742091927981</v>
      </c>
      <c r="U646">
        <v>0.78651839221772646</v>
      </c>
      <c r="V646">
        <v>0.72269906838235087</v>
      </c>
      <c r="W646">
        <v>0.50017077816457933</v>
      </c>
      <c r="X646">
        <v>0.42096514356935599</v>
      </c>
      <c r="Y646">
        <v>0.43204902079621821</v>
      </c>
      <c r="Z646">
        <v>0.45182347596959882</v>
      </c>
      <c r="AA646">
        <v>0.68791184610506861</v>
      </c>
      <c r="AB646">
        <v>0.72089866151846416</v>
      </c>
      <c r="AC646">
        <v>0.80207445892824769</v>
      </c>
      <c r="AD646">
        <v>0.6234069840830736</v>
      </c>
      <c r="AE646">
        <v>191.07688781290668</v>
      </c>
      <c r="AF646">
        <v>998.44473509761997</v>
      </c>
      <c r="AG646">
        <v>1809.9767472454907</v>
      </c>
      <c r="AH646">
        <v>13418.24684815959</v>
      </c>
      <c r="AI646">
        <v>9584.5228868229824</v>
      </c>
      <c r="AJ646">
        <v>37478.221615398674</v>
      </c>
      <c r="AK646">
        <v>13528.684804300548</v>
      </c>
      <c r="AL646">
        <v>3355.493205047565</v>
      </c>
      <c r="AM646">
        <v>373.22512076354343</v>
      </c>
      <c r="AO646">
        <v>47204.548371812474</v>
      </c>
      <c r="AP646">
        <v>12.262669817911084</v>
      </c>
      <c r="AQ646">
        <v>46727.334207920525</v>
      </c>
      <c r="AR646">
        <v>12.307923579449453</v>
      </c>
      <c r="AS646" s="2">
        <f t="shared" ref="AS646:AS709" si="71">AQ646-AO646</f>
        <v>-477.21416389194928</v>
      </c>
      <c r="AT646" s="2">
        <f t="shared" ref="AT646:AT709" si="72">AR646-AP646</f>
        <v>4.5253761538369019E-2</v>
      </c>
      <c r="AV646">
        <f t="shared" ref="AV646:AV709" si="73">$AW$1*AP646-AO646</f>
        <v>1179062.4334192958</v>
      </c>
      <c r="AW646">
        <f t="shared" ref="AW646:AW709" si="74">$AW$1*AR646-AQ646</f>
        <v>1184065.0237370247</v>
      </c>
      <c r="AY646">
        <f t="shared" ref="AY646:AY709" si="75">IF(AV646=MAX($AV646:$AW646),1,0)</f>
        <v>0</v>
      </c>
      <c r="AZ646">
        <f t="shared" ref="AZ646:AZ709" si="76">IF(AW646=MAX($AV646:$AW646),1,0)</f>
        <v>1</v>
      </c>
    </row>
    <row r="647" spans="1:52" x14ac:dyDescent="0.2">
      <c r="A647">
        <f t="shared" si="70"/>
        <v>643</v>
      </c>
      <c r="B647">
        <v>2.615065795849103E-2</v>
      </c>
      <c r="C647">
        <v>3.1582268468042275E-2</v>
      </c>
      <c r="D647">
        <v>4.5418593511094008E-2</v>
      </c>
      <c r="E647">
        <v>6.3421973496549378E-3</v>
      </c>
      <c r="F647">
        <v>3.3832129381200504E-3</v>
      </c>
      <c r="G647">
        <v>4.6024022268649498E-3</v>
      </c>
      <c r="H647">
        <v>3.5640452542855416E-2</v>
      </c>
      <c r="I647">
        <v>0.1238308116985688</v>
      </c>
      <c r="J647">
        <v>0</v>
      </c>
      <c r="K647">
        <v>0.43420059914429521</v>
      </c>
      <c r="L647">
        <v>0.22893122467818128</v>
      </c>
      <c r="M647">
        <v>0.77106877532181872</v>
      </c>
      <c r="N647">
        <v>7.0513041960589717E-2</v>
      </c>
      <c r="O647" s="72">
        <v>0.99916591524666909</v>
      </c>
      <c r="P647">
        <v>0.99973066031789282</v>
      </c>
      <c r="Q647">
        <v>0.92314616234076463</v>
      </c>
      <c r="R647">
        <v>0.47818233387921594</v>
      </c>
      <c r="S647">
        <v>0.40045653421676475</v>
      </c>
      <c r="T647">
        <v>0.22067934643500564</v>
      </c>
      <c r="U647">
        <v>0.76513492749944656</v>
      </c>
      <c r="V647">
        <v>0.63397463523382047</v>
      </c>
      <c r="W647">
        <v>0.49363002922544141</v>
      </c>
      <c r="X647">
        <v>0.47042514251134526</v>
      </c>
      <c r="Y647">
        <v>0.42684572272902532</v>
      </c>
      <c r="Z647">
        <v>0.43949542651447021</v>
      </c>
      <c r="AA647">
        <v>0.74719936284938004</v>
      </c>
      <c r="AB647">
        <v>0.7933617575114783</v>
      </c>
      <c r="AC647">
        <v>0.74849402569093038</v>
      </c>
      <c r="AD647">
        <v>0.62241522360868795</v>
      </c>
      <c r="AE647">
        <v>201.8959232604758</v>
      </c>
      <c r="AF647">
        <v>946.95047690687261</v>
      </c>
      <c r="AG647">
        <v>1596.8727449853036</v>
      </c>
      <c r="AH647">
        <v>17502.44541976252</v>
      </c>
      <c r="AI647">
        <v>12555.62357463698</v>
      </c>
      <c r="AJ647">
        <v>34464.650598483364</v>
      </c>
      <c r="AK647">
        <v>9365.6823597119928</v>
      </c>
      <c r="AL647">
        <v>1193.4308603334318</v>
      </c>
      <c r="AM647">
        <v>296.90619418849491</v>
      </c>
      <c r="AO647">
        <v>42946.358549723765</v>
      </c>
      <c r="AP647">
        <v>13.040949165595102</v>
      </c>
      <c r="AQ647">
        <v>45391.324243145631</v>
      </c>
      <c r="AR647">
        <v>13.217385515495712</v>
      </c>
      <c r="AS647" s="2">
        <f t="shared" si="71"/>
        <v>2444.9656934218656</v>
      </c>
      <c r="AT647" s="2">
        <f t="shared" si="72"/>
        <v>0.17643634990061052</v>
      </c>
      <c r="AV647">
        <f t="shared" si="73"/>
        <v>1261148.5580097863</v>
      </c>
      <c r="AW647">
        <f t="shared" si="74"/>
        <v>1276347.2273064256</v>
      </c>
      <c r="AY647">
        <f t="shared" si="75"/>
        <v>0</v>
      </c>
      <c r="AZ647">
        <f t="shared" si="76"/>
        <v>1</v>
      </c>
    </row>
    <row r="648" spans="1:52" x14ac:dyDescent="0.2">
      <c r="A648">
        <f t="shared" si="70"/>
        <v>644</v>
      </c>
      <c r="B648">
        <v>2.8223554106787341E-2</v>
      </c>
      <c r="C648">
        <v>2.6467356966208659E-2</v>
      </c>
      <c r="D648">
        <v>4.7055682807431332E-2</v>
      </c>
      <c r="E648">
        <v>1.8314662152754679E-2</v>
      </c>
      <c r="F648">
        <v>3.2441537405240727E-3</v>
      </c>
      <c r="G648">
        <v>2.2328512221401753E-2</v>
      </c>
      <c r="H648">
        <v>3.2391275598861791E-2</v>
      </c>
      <c r="I648">
        <v>0.13628864835257448</v>
      </c>
      <c r="J648">
        <v>0</v>
      </c>
      <c r="K648">
        <v>0.44593094546767875</v>
      </c>
      <c r="L648">
        <v>0.26194430763803633</v>
      </c>
      <c r="M648">
        <v>0.73805569236196367</v>
      </c>
      <c r="N648">
        <v>6.0375652415460612E-2</v>
      </c>
      <c r="O648" s="72">
        <v>0.98900649757517878</v>
      </c>
      <c r="P648">
        <v>0.99998912469249535</v>
      </c>
      <c r="Q648">
        <v>0.97017094395512105</v>
      </c>
      <c r="R648">
        <v>0.47856121810822672</v>
      </c>
      <c r="S648">
        <v>0.32686450607204676</v>
      </c>
      <c r="T648">
        <v>0.29973700220080501</v>
      </c>
      <c r="U648">
        <v>0.78269188819939162</v>
      </c>
      <c r="V648">
        <v>0.65064207813212438</v>
      </c>
      <c r="W648">
        <v>0.58588660157373273</v>
      </c>
      <c r="X648">
        <v>0.42778133969244342</v>
      </c>
      <c r="Y648">
        <v>0.44188386666660101</v>
      </c>
      <c r="Z648">
        <v>0.49323235107019248</v>
      </c>
      <c r="AA648">
        <v>0.73230525498670795</v>
      </c>
      <c r="AB648">
        <v>0.88152015298623065</v>
      </c>
      <c r="AC648">
        <v>0.68578226354988203</v>
      </c>
      <c r="AD648">
        <v>0.64858767936067752</v>
      </c>
      <c r="AE648">
        <v>165.21739696162237</v>
      </c>
      <c r="AF648">
        <v>1062.7434410205592</v>
      </c>
      <c r="AG648">
        <v>1562.7134806895699</v>
      </c>
      <c r="AH648">
        <v>11400.851368560459</v>
      </c>
      <c r="AI648">
        <v>7576.5375589077903</v>
      </c>
      <c r="AJ648">
        <v>44014.24142762876</v>
      </c>
      <c r="AK648">
        <v>10458.410134057413</v>
      </c>
      <c r="AL648">
        <v>2513.7485606955779</v>
      </c>
      <c r="AM648">
        <v>409.20948393283112</v>
      </c>
      <c r="AO648">
        <v>43678.830379745232</v>
      </c>
      <c r="AP648">
        <v>14.101913947458856</v>
      </c>
      <c r="AQ648">
        <v>46824.978109542484</v>
      </c>
      <c r="AR648">
        <v>14.362953163528976</v>
      </c>
      <c r="AS648" s="2">
        <f t="shared" si="71"/>
        <v>3146.1477297972524</v>
      </c>
      <c r="AT648" s="2">
        <f t="shared" si="72"/>
        <v>0.26103921607012026</v>
      </c>
      <c r="AV648">
        <f t="shared" si="73"/>
        <v>1366512.5643661404</v>
      </c>
      <c r="AW648">
        <f t="shared" si="74"/>
        <v>1389470.338243355</v>
      </c>
      <c r="AY648">
        <f t="shared" si="75"/>
        <v>0</v>
      </c>
      <c r="AZ648">
        <f t="shared" si="76"/>
        <v>1</v>
      </c>
    </row>
    <row r="649" spans="1:52" x14ac:dyDescent="0.2">
      <c r="A649">
        <f t="shared" si="70"/>
        <v>645</v>
      </c>
      <c r="B649">
        <v>2.9604465592607876E-2</v>
      </c>
      <c r="C649">
        <v>3.4898975394344334E-2</v>
      </c>
      <c r="D649">
        <v>3.6630859933968932E-2</v>
      </c>
      <c r="E649">
        <v>1.5940619067989936E-2</v>
      </c>
      <c r="F649">
        <v>3.4143125734830138E-3</v>
      </c>
      <c r="G649">
        <v>2.9062532740947833E-2</v>
      </c>
      <c r="H649">
        <v>2.5550526283105796E-2</v>
      </c>
      <c r="I649">
        <v>0.1083695725086674</v>
      </c>
      <c r="J649">
        <v>0</v>
      </c>
      <c r="K649">
        <v>0.45057658819755542</v>
      </c>
      <c r="L649">
        <v>0.15286005081213824</v>
      </c>
      <c r="M649">
        <v>0.84713994918786173</v>
      </c>
      <c r="N649">
        <v>7.1782097586252092E-2</v>
      </c>
      <c r="O649" s="72">
        <v>0.99558886145534509</v>
      </c>
      <c r="P649">
        <v>0.99667003041829394</v>
      </c>
      <c r="Q649">
        <v>0.97258089434506578</v>
      </c>
      <c r="R649">
        <v>0.51062580201236218</v>
      </c>
      <c r="S649">
        <v>0.40643517851653932</v>
      </c>
      <c r="T649">
        <v>0.29159844146915759</v>
      </c>
      <c r="U649">
        <v>0.74990088946305133</v>
      </c>
      <c r="V649">
        <v>0.66980754318907065</v>
      </c>
      <c r="W649">
        <v>0.46379399187455073</v>
      </c>
      <c r="X649">
        <v>0.44309771766715217</v>
      </c>
      <c r="Y649">
        <v>0.42612135500460141</v>
      </c>
      <c r="Z649">
        <v>0.47065385424661021</v>
      </c>
      <c r="AA649">
        <v>0.58729179481848626</v>
      </c>
      <c r="AB649">
        <v>0.88966498654318316</v>
      </c>
      <c r="AC649">
        <v>0.65556060052544052</v>
      </c>
      <c r="AD649">
        <v>0.64979968771752294</v>
      </c>
      <c r="AE649">
        <v>302.72047733397341</v>
      </c>
      <c r="AF649">
        <v>1073.3480154950691</v>
      </c>
      <c r="AG649">
        <v>1963.054403887701</v>
      </c>
      <c r="AH649">
        <v>12011.411489117232</v>
      </c>
      <c r="AI649">
        <v>7615.5824585965038</v>
      </c>
      <c r="AJ649">
        <v>39893.909487860918</v>
      </c>
      <c r="AK649">
        <v>17784.865857023135</v>
      </c>
      <c r="AL649">
        <v>1581.0229913511457</v>
      </c>
      <c r="AM649">
        <v>342.71744465650437</v>
      </c>
      <c r="AO649">
        <v>40622.130873737318</v>
      </c>
      <c r="AP649">
        <v>14.141478703286015</v>
      </c>
      <c r="AQ649">
        <v>46046.577502418266</v>
      </c>
      <c r="AR649">
        <v>14.422123523661346</v>
      </c>
      <c r="AS649" s="2">
        <f t="shared" si="71"/>
        <v>5424.4466286809475</v>
      </c>
      <c r="AT649" s="2">
        <f t="shared" si="72"/>
        <v>0.28064482037533089</v>
      </c>
      <c r="AV649">
        <f t="shared" si="73"/>
        <v>1373525.7394548641</v>
      </c>
      <c r="AW649">
        <f t="shared" si="74"/>
        <v>1396165.7748637162</v>
      </c>
      <c r="AY649">
        <f t="shared" si="75"/>
        <v>0</v>
      </c>
      <c r="AZ649">
        <f t="shared" si="76"/>
        <v>1</v>
      </c>
    </row>
    <row r="650" spans="1:52" x14ac:dyDescent="0.2">
      <c r="A650">
        <f t="shared" si="70"/>
        <v>646</v>
      </c>
      <c r="B650">
        <v>2.0918933791793139E-2</v>
      </c>
      <c r="C650">
        <v>2.7454753583246748E-2</v>
      </c>
      <c r="D650">
        <v>3.7845023140677579E-2</v>
      </c>
      <c r="E650">
        <v>2.1967916791696962E-2</v>
      </c>
      <c r="F650">
        <v>3.2788077327096645E-3</v>
      </c>
      <c r="G650">
        <v>1.361797826299449E-2</v>
      </c>
      <c r="H650">
        <v>3.1590380642460003E-2</v>
      </c>
      <c r="I650">
        <v>0.13128431002350627</v>
      </c>
      <c r="J650">
        <v>0</v>
      </c>
      <c r="K650">
        <v>0.4306344432165865</v>
      </c>
      <c r="L650">
        <v>0.20938505393296214</v>
      </c>
      <c r="M650">
        <v>0.79061494606703786</v>
      </c>
      <c r="N650">
        <v>6.2411256568580709E-2</v>
      </c>
      <c r="O650" s="72">
        <v>0.99952894659672409</v>
      </c>
      <c r="P650">
        <v>0.99995382131551991</v>
      </c>
      <c r="Q650">
        <v>0.9717558766773724</v>
      </c>
      <c r="R650">
        <v>0.52627701387688264</v>
      </c>
      <c r="S650">
        <v>0.37580958908086182</v>
      </c>
      <c r="T650">
        <v>0.28335953796660551</v>
      </c>
      <c r="U650">
        <v>0.77444032725233303</v>
      </c>
      <c r="V650">
        <v>0.66009236039103536</v>
      </c>
      <c r="W650">
        <v>0.62827155526324718</v>
      </c>
      <c r="X650">
        <v>0.43944484230489506</v>
      </c>
      <c r="Y650">
        <v>0.47790312050100769</v>
      </c>
      <c r="Z650">
        <v>0.44535400828622695</v>
      </c>
      <c r="AA650">
        <v>0.68507833202663881</v>
      </c>
      <c r="AB650">
        <v>0.84962530934166236</v>
      </c>
      <c r="AC650">
        <v>0.68091204494550239</v>
      </c>
      <c r="AD650">
        <v>0.59387836141823747</v>
      </c>
      <c r="AE650">
        <v>143.46379469520133</v>
      </c>
      <c r="AF650">
        <v>1167.9667306055426</v>
      </c>
      <c r="AG650">
        <v>1296.6619586090405</v>
      </c>
      <c r="AH650">
        <v>13916.677130336409</v>
      </c>
      <c r="AI650">
        <v>9874.5616425868266</v>
      </c>
      <c r="AJ650">
        <v>41712.946754919343</v>
      </c>
      <c r="AK650">
        <v>14975.781299048442</v>
      </c>
      <c r="AL650">
        <v>2699.8227412832257</v>
      </c>
      <c r="AM650">
        <v>309.68331510467863</v>
      </c>
      <c r="AO650">
        <v>39488.751305450693</v>
      </c>
      <c r="AP650">
        <v>13.667649715985695</v>
      </c>
      <c r="AQ650">
        <v>45254.404338660483</v>
      </c>
      <c r="AR650">
        <v>13.837862899171983</v>
      </c>
      <c r="AS650" s="2">
        <f t="shared" si="71"/>
        <v>5765.65303320979</v>
      </c>
      <c r="AT650" s="2">
        <f t="shared" si="72"/>
        <v>0.17021318318628786</v>
      </c>
      <c r="AV650">
        <f t="shared" si="73"/>
        <v>1327276.2202931189</v>
      </c>
      <c r="AW650">
        <f t="shared" si="74"/>
        <v>1338531.8855785378</v>
      </c>
      <c r="AY650">
        <f t="shared" si="75"/>
        <v>0</v>
      </c>
      <c r="AZ650">
        <f t="shared" si="76"/>
        <v>1</v>
      </c>
    </row>
    <row r="651" spans="1:52" x14ac:dyDescent="0.2">
      <c r="A651">
        <f t="shared" si="70"/>
        <v>647</v>
      </c>
      <c r="B651">
        <v>2.3670739858938854E-2</v>
      </c>
      <c r="C651">
        <v>4.5885958302311347E-2</v>
      </c>
      <c r="D651">
        <v>3.8563200613631499E-2</v>
      </c>
      <c r="E651">
        <v>1.4010301035964901E-2</v>
      </c>
      <c r="F651">
        <v>3.2880324469345898E-3</v>
      </c>
      <c r="G651">
        <v>2.1047042753388756E-2</v>
      </c>
      <c r="H651">
        <v>2.319330031014381E-2</v>
      </c>
      <c r="I651">
        <v>0.1282634031103719</v>
      </c>
      <c r="J651">
        <v>0</v>
      </c>
      <c r="K651">
        <v>0.42127790320673209</v>
      </c>
      <c r="L651">
        <v>0.17742283932867414</v>
      </c>
      <c r="M651">
        <v>0.82257716067132591</v>
      </c>
      <c r="N651">
        <v>6.1717179386266974E-2</v>
      </c>
      <c r="O651" s="72">
        <v>0.99990034310690634</v>
      </c>
      <c r="P651">
        <v>0.99999889462236513</v>
      </c>
      <c r="Q651">
        <v>0.91333042726849423</v>
      </c>
      <c r="R651">
        <v>0.49853372120113326</v>
      </c>
      <c r="S651">
        <v>0.45575261610790596</v>
      </c>
      <c r="T651">
        <v>0.1648470446452337</v>
      </c>
      <c r="U651">
        <v>0.76455911632803586</v>
      </c>
      <c r="V651">
        <v>0.6958401883359735</v>
      </c>
      <c r="W651">
        <v>0.51302812169607881</v>
      </c>
      <c r="X651">
        <v>0.46847404353302946</v>
      </c>
      <c r="Y651">
        <v>0.42507494863880513</v>
      </c>
      <c r="Z651">
        <v>0.47506010753641803</v>
      </c>
      <c r="AA651">
        <v>0.7206830550624943</v>
      </c>
      <c r="AB651">
        <v>0.84823723817594487</v>
      </c>
      <c r="AC651">
        <v>0.67573176421712267</v>
      </c>
      <c r="AD651">
        <v>0.62894249167397231</v>
      </c>
      <c r="AE651">
        <v>147.36977965269713</v>
      </c>
      <c r="AF651">
        <v>1022.6828660995048</v>
      </c>
      <c r="AG651">
        <v>1699.2677180944429</v>
      </c>
      <c r="AH651">
        <v>15204.855338430165</v>
      </c>
      <c r="AI651">
        <v>9292.4974519257612</v>
      </c>
      <c r="AJ651">
        <v>33661.71341601156</v>
      </c>
      <c r="AK651">
        <v>13439.342868581634</v>
      </c>
      <c r="AL651">
        <v>1826.7176950741832</v>
      </c>
      <c r="AM651">
        <v>439.47791929559685</v>
      </c>
      <c r="AO651">
        <v>44544.757403078416</v>
      </c>
      <c r="AP651">
        <v>13.594318562461639</v>
      </c>
      <c r="AQ651">
        <v>47546.739484483143</v>
      </c>
      <c r="AR651">
        <v>13.854602359052445</v>
      </c>
      <c r="AS651" s="2">
        <f t="shared" si="71"/>
        <v>3001.9820814047271</v>
      </c>
      <c r="AT651" s="2">
        <f t="shared" si="72"/>
        <v>0.26028379659080514</v>
      </c>
      <c r="AV651">
        <f t="shared" si="73"/>
        <v>1314887.0988430853</v>
      </c>
      <c r="AW651">
        <f t="shared" si="74"/>
        <v>1337913.4964207613</v>
      </c>
      <c r="AY651">
        <f t="shared" si="75"/>
        <v>0</v>
      </c>
      <c r="AZ651">
        <f t="shared" si="76"/>
        <v>1</v>
      </c>
    </row>
    <row r="652" spans="1:52" x14ac:dyDescent="0.2">
      <c r="A652">
        <f t="shared" si="70"/>
        <v>648</v>
      </c>
      <c r="B652">
        <v>2.1756462616612779E-2</v>
      </c>
      <c r="C652">
        <v>3.3429113676053716E-2</v>
      </c>
      <c r="D652">
        <v>2.2487001801777866E-2</v>
      </c>
      <c r="E652">
        <v>1.4839258513402509E-2</v>
      </c>
      <c r="F652">
        <v>3.3596768817303335E-3</v>
      </c>
      <c r="G652">
        <v>3.7455711772895707E-3</v>
      </c>
      <c r="H652">
        <v>3.0067175636162569E-2</v>
      </c>
      <c r="I652">
        <v>0.13080851619608924</v>
      </c>
      <c r="J652">
        <v>0</v>
      </c>
      <c r="K652">
        <v>0.42442829771276819</v>
      </c>
      <c r="L652">
        <v>0.16503922937143151</v>
      </c>
      <c r="M652">
        <v>0.83496077062856844</v>
      </c>
      <c r="N652">
        <v>6.0255782876958985E-2</v>
      </c>
      <c r="O652" s="72">
        <v>0.99392972550262493</v>
      </c>
      <c r="P652">
        <v>0.99926768110391551</v>
      </c>
      <c r="Q652">
        <v>0.97555012303564403</v>
      </c>
      <c r="R652">
        <v>0.5049572791667114</v>
      </c>
      <c r="S652">
        <v>0.33961291618982536</v>
      </c>
      <c r="T652">
        <v>0.20722406558787132</v>
      </c>
      <c r="U652">
        <v>0.72860948058543973</v>
      </c>
      <c r="V652">
        <v>0.69457810553205401</v>
      </c>
      <c r="W652">
        <v>0.53704037805303906</v>
      </c>
      <c r="X652">
        <v>0.47038280754536166</v>
      </c>
      <c r="Y652">
        <v>0.43291845871043783</v>
      </c>
      <c r="Z652">
        <v>0.43999304802194239</v>
      </c>
      <c r="AA652">
        <v>0.69513646230487947</v>
      </c>
      <c r="AB652">
        <v>0.84464876793403731</v>
      </c>
      <c r="AC652">
        <v>0.80312781199323013</v>
      </c>
      <c r="AD652">
        <v>0.66998477908975673</v>
      </c>
      <c r="AE652">
        <v>224.95758051367315</v>
      </c>
      <c r="AF652">
        <v>997.70283852562693</v>
      </c>
      <c r="AG652">
        <v>1955.6570729625889</v>
      </c>
      <c r="AH652">
        <v>9795.3700415426374</v>
      </c>
      <c r="AI652">
        <v>11340.106947973982</v>
      </c>
      <c r="AJ652">
        <v>38843.708571475843</v>
      </c>
      <c r="AK652">
        <v>10929.127706049265</v>
      </c>
      <c r="AL652">
        <v>1800.1600573445205</v>
      </c>
      <c r="AM652">
        <v>420.39452693977296</v>
      </c>
      <c r="AO652">
        <v>44103.589621012819</v>
      </c>
      <c r="AP652">
        <v>13.852604884884263</v>
      </c>
      <c r="AQ652">
        <v>47049.934274991967</v>
      </c>
      <c r="AR652">
        <v>14.09455452601507</v>
      </c>
      <c r="AS652" s="2">
        <f t="shared" si="71"/>
        <v>2946.3446539791476</v>
      </c>
      <c r="AT652" s="2">
        <f t="shared" si="72"/>
        <v>0.24194964113080708</v>
      </c>
      <c r="AV652">
        <f t="shared" si="73"/>
        <v>1341156.8988674134</v>
      </c>
      <c r="AW652">
        <f t="shared" si="74"/>
        <v>1362405.5183265151</v>
      </c>
      <c r="AY652">
        <f t="shared" si="75"/>
        <v>0</v>
      </c>
      <c r="AZ652">
        <f t="shared" si="76"/>
        <v>1</v>
      </c>
    </row>
    <row r="653" spans="1:52" x14ac:dyDescent="0.2">
      <c r="A653">
        <f t="shared" si="70"/>
        <v>649</v>
      </c>
      <c r="B653">
        <v>2.2369437341641811E-2</v>
      </c>
      <c r="C653">
        <v>4.1374577183828976E-2</v>
      </c>
      <c r="D653">
        <v>3.0926545775926791E-2</v>
      </c>
      <c r="E653">
        <v>2.4467289516291414E-3</v>
      </c>
      <c r="F653">
        <v>3.3479812983366886E-3</v>
      </c>
      <c r="G653">
        <v>7.6800966257481321E-3</v>
      </c>
      <c r="H653">
        <v>1.0993381602258231E-2</v>
      </c>
      <c r="I653">
        <v>0.13913564027526004</v>
      </c>
      <c r="J653">
        <v>0</v>
      </c>
      <c r="K653">
        <v>0.46703841123917123</v>
      </c>
      <c r="L653">
        <v>0.18313497877715035</v>
      </c>
      <c r="M653">
        <v>0.81686502122284965</v>
      </c>
      <c r="N653">
        <v>9.520274252543115E-2</v>
      </c>
      <c r="O653" s="72">
        <v>0.99999668345444492</v>
      </c>
      <c r="P653">
        <v>0.99999090742998809</v>
      </c>
      <c r="Q653">
        <v>0.97337604853802917</v>
      </c>
      <c r="R653">
        <v>0.49150666194557535</v>
      </c>
      <c r="S653">
        <v>0.53773593183891188</v>
      </c>
      <c r="T653">
        <v>0.23518527774567921</v>
      </c>
      <c r="U653">
        <v>0.76407178060161673</v>
      </c>
      <c r="V653">
        <v>0.66298781052645006</v>
      </c>
      <c r="W653">
        <v>0.51816606896615502</v>
      </c>
      <c r="X653">
        <v>0.44058548951422727</v>
      </c>
      <c r="Y653">
        <v>0.43520552565915493</v>
      </c>
      <c r="Z653">
        <v>0.44585996830599972</v>
      </c>
      <c r="AA653">
        <v>0.68048492960261142</v>
      </c>
      <c r="AB653">
        <v>0.83042010850307268</v>
      </c>
      <c r="AC653">
        <v>0.77708069166146709</v>
      </c>
      <c r="AD653">
        <v>0.61196955756229499</v>
      </c>
      <c r="AE653">
        <v>223.13475246571986</v>
      </c>
      <c r="AF653">
        <v>1036.1060305411052</v>
      </c>
      <c r="AG653">
        <v>1492.4651525420893</v>
      </c>
      <c r="AH653">
        <v>13766.017541953703</v>
      </c>
      <c r="AI653">
        <v>8417.9069196480068</v>
      </c>
      <c r="AJ653">
        <v>40440.163292933365</v>
      </c>
      <c r="AK653">
        <v>8633.6216404080333</v>
      </c>
      <c r="AL653">
        <v>1825.114419054853</v>
      </c>
      <c r="AM653">
        <v>321.99154290185533</v>
      </c>
      <c r="AO653">
        <v>40866.525586269316</v>
      </c>
      <c r="AP653">
        <v>13.60889443902253</v>
      </c>
      <c r="AQ653">
        <v>45499.426551032477</v>
      </c>
      <c r="AR653">
        <v>13.769042578890266</v>
      </c>
      <c r="AS653" s="2">
        <f t="shared" si="71"/>
        <v>4632.900964763161</v>
      </c>
      <c r="AT653" s="2">
        <f t="shared" si="72"/>
        <v>0.16014813986773646</v>
      </c>
      <c r="AV653">
        <f t="shared" si="73"/>
        <v>1320022.9183159836</v>
      </c>
      <c r="AW653">
        <f t="shared" si="74"/>
        <v>1331404.831337994</v>
      </c>
      <c r="AY653">
        <f t="shared" si="75"/>
        <v>0</v>
      </c>
      <c r="AZ653">
        <f t="shared" si="76"/>
        <v>1</v>
      </c>
    </row>
    <row r="654" spans="1:52" x14ac:dyDescent="0.2">
      <c r="A654">
        <f t="shared" si="70"/>
        <v>650</v>
      </c>
      <c r="B654">
        <v>2.6225076301297112E-2</v>
      </c>
      <c r="C654">
        <v>4.0699381887623454E-2</v>
      </c>
      <c r="D654">
        <v>3.171185044834967E-2</v>
      </c>
      <c r="E654">
        <v>1.6622647790711785E-3</v>
      </c>
      <c r="F654">
        <v>3.3511256200424722E-3</v>
      </c>
      <c r="G654">
        <v>1.3984237883089778E-2</v>
      </c>
      <c r="H654">
        <v>3.3440738943802839E-2</v>
      </c>
      <c r="I654">
        <v>0.13454607808323837</v>
      </c>
      <c r="J654">
        <v>0</v>
      </c>
      <c r="K654">
        <v>0.41382209536914411</v>
      </c>
      <c r="L654">
        <v>0.15282245673087391</v>
      </c>
      <c r="M654">
        <v>0.84717754326912609</v>
      </c>
      <c r="N654">
        <v>7.8157816785541678E-2</v>
      </c>
      <c r="O654" s="72">
        <v>0.98660680621892094</v>
      </c>
      <c r="P654">
        <v>0.99974963555409779</v>
      </c>
      <c r="Q654">
        <v>0.95997863030397146</v>
      </c>
      <c r="R654">
        <v>0.48901122334384506</v>
      </c>
      <c r="S654">
        <v>0.29784406858739543</v>
      </c>
      <c r="T654">
        <v>0.29558656121358762</v>
      </c>
      <c r="U654">
        <v>0.80031581489589521</v>
      </c>
      <c r="V654">
        <v>0.68309771776768913</v>
      </c>
      <c r="W654">
        <v>0.59986160494012886</v>
      </c>
      <c r="X654">
        <v>0.40951967627268393</v>
      </c>
      <c r="Y654">
        <v>0.44536089409865393</v>
      </c>
      <c r="Z654">
        <v>0.49371713645999471</v>
      </c>
      <c r="AA654">
        <v>0.61828498535056464</v>
      </c>
      <c r="AB654">
        <v>0.84442013837763497</v>
      </c>
      <c r="AC654">
        <v>0.74097672076698684</v>
      </c>
      <c r="AD654">
        <v>0.59838750598407464</v>
      </c>
      <c r="AE654">
        <v>202.81189558675905</v>
      </c>
      <c r="AF654">
        <v>1015.3939549520923</v>
      </c>
      <c r="AG654">
        <v>2056.5255546639933</v>
      </c>
      <c r="AH654">
        <v>10700.814358092424</v>
      </c>
      <c r="AI654">
        <v>12528.552781124325</v>
      </c>
      <c r="AJ654">
        <v>34302.49293888003</v>
      </c>
      <c r="AK654">
        <v>10978.15425096931</v>
      </c>
      <c r="AL654">
        <v>2288.175342587097</v>
      </c>
      <c r="AM654">
        <v>563.88244626178073</v>
      </c>
      <c r="AO654">
        <v>46198.233272560043</v>
      </c>
      <c r="AP654">
        <v>13.730987832902155</v>
      </c>
      <c r="AQ654">
        <v>49371.960955113718</v>
      </c>
      <c r="AR654">
        <v>13.879131618854407</v>
      </c>
      <c r="AS654" s="2">
        <f t="shared" si="71"/>
        <v>3173.7276825536755</v>
      </c>
      <c r="AT654" s="2">
        <f t="shared" si="72"/>
        <v>0.14814378595225186</v>
      </c>
      <c r="AV654">
        <f t="shared" si="73"/>
        <v>1326900.5500176556</v>
      </c>
      <c r="AW654">
        <f t="shared" si="74"/>
        <v>1338541.2009303269</v>
      </c>
      <c r="AY654">
        <f t="shared" si="75"/>
        <v>0</v>
      </c>
      <c r="AZ654">
        <f t="shared" si="76"/>
        <v>1</v>
      </c>
    </row>
    <row r="655" spans="1:52" x14ac:dyDescent="0.2">
      <c r="A655">
        <f t="shared" si="70"/>
        <v>651</v>
      </c>
      <c r="B655">
        <v>2.3294178897768664E-2</v>
      </c>
      <c r="C655">
        <v>4.4468865891330589E-2</v>
      </c>
      <c r="D655">
        <v>1.9570564238023266E-2</v>
      </c>
      <c r="E655">
        <v>2.1092803873293486E-2</v>
      </c>
      <c r="F655">
        <v>3.4252636210357901E-3</v>
      </c>
      <c r="G655">
        <v>1.4449807065424425E-2</v>
      </c>
      <c r="H655">
        <v>3.3594037834748014E-2</v>
      </c>
      <c r="I655">
        <v>0.13127706819363616</v>
      </c>
      <c r="J655">
        <v>0</v>
      </c>
      <c r="K655">
        <v>0.41868725435039961</v>
      </c>
      <c r="L655">
        <v>0.35194900503021198</v>
      </c>
      <c r="M655">
        <v>0.64805099496978802</v>
      </c>
      <c r="N655">
        <v>5.0095230013595157E-2</v>
      </c>
      <c r="O655" s="72">
        <v>0.99096212949399776</v>
      </c>
      <c r="P655">
        <v>0.99999615634816208</v>
      </c>
      <c r="Q655">
        <v>0.99846693118157614</v>
      </c>
      <c r="R655">
        <v>0.48815436536117551</v>
      </c>
      <c r="S655">
        <v>0.39468862854252362</v>
      </c>
      <c r="T655">
        <v>0.25459045290406013</v>
      </c>
      <c r="U655">
        <v>0.77589366064886978</v>
      </c>
      <c r="V655">
        <v>0.65556458482786784</v>
      </c>
      <c r="W655">
        <v>0.53360211950698833</v>
      </c>
      <c r="X655">
        <v>0.43931378887212552</v>
      </c>
      <c r="Y655">
        <v>0.44598915563660668</v>
      </c>
      <c r="Z655">
        <v>0.50196600317503304</v>
      </c>
      <c r="AA655">
        <v>0.7045822702429827</v>
      </c>
      <c r="AB655">
        <v>0.76955411175348976</v>
      </c>
      <c r="AC655">
        <v>0.7105038394284523</v>
      </c>
      <c r="AD655">
        <v>0.68329396899082417</v>
      </c>
      <c r="AE655">
        <v>214.54609144657178</v>
      </c>
      <c r="AF655">
        <v>1209.0938628514864</v>
      </c>
      <c r="AG655">
        <v>1978.8469408573819</v>
      </c>
      <c r="AH655">
        <v>14439.076775480644</v>
      </c>
      <c r="AI655">
        <v>13522.962570859461</v>
      </c>
      <c r="AJ655">
        <v>42582.15429072125</v>
      </c>
      <c r="AK655">
        <v>18488.860987504922</v>
      </c>
      <c r="AL655">
        <v>1513.4498048759651</v>
      </c>
      <c r="AM655">
        <v>372.46454744997232</v>
      </c>
      <c r="AO655">
        <v>42770.517914401418</v>
      </c>
      <c r="AP655">
        <v>12.770852975561343</v>
      </c>
      <c r="AQ655">
        <v>46324.011032607188</v>
      </c>
      <c r="AR655">
        <v>12.903044953186066</v>
      </c>
      <c r="AS655" s="2">
        <f t="shared" si="71"/>
        <v>3553.4931182057699</v>
      </c>
      <c r="AT655" s="2">
        <f t="shared" si="72"/>
        <v>0.13219197762472312</v>
      </c>
      <c r="AV655">
        <f t="shared" si="73"/>
        <v>1234314.779641733</v>
      </c>
      <c r="AW655">
        <f t="shared" si="74"/>
        <v>1243980.4842859996</v>
      </c>
      <c r="AY655">
        <f t="shared" si="75"/>
        <v>0</v>
      </c>
      <c r="AZ655">
        <f t="shared" si="76"/>
        <v>1</v>
      </c>
    </row>
    <row r="656" spans="1:52" x14ac:dyDescent="0.2">
      <c r="A656">
        <f t="shared" si="70"/>
        <v>652</v>
      </c>
      <c r="B656">
        <v>2.2568122643844436E-2</v>
      </c>
      <c r="C656">
        <v>3.4759967952026086E-2</v>
      </c>
      <c r="D656">
        <v>5.7883635987961535E-2</v>
      </c>
      <c r="E656">
        <v>1.2619799318891123E-2</v>
      </c>
      <c r="F656">
        <v>3.3322402443220307E-3</v>
      </c>
      <c r="G656">
        <v>7.0108445643577103E-3</v>
      </c>
      <c r="H656">
        <v>3.5098734992613068E-2</v>
      </c>
      <c r="I656">
        <v>0.13507429650648684</v>
      </c>
      <c r="J656">
        <v>0</v>
      </c>
      <c r="K656">
        <v>0.34638677602607537</v>
      </c>
      <c r="L656">
        <v>0.22384951195999736</v>
      </c>
      <c r="M656">
        <v>0.77615048804000264</v>
      </c>
      <c r="N656">
        <v>4.8780214062377696E-2</v>
      </c>
      <c r="O656" s="72">
        <v>0.99794856341617511</v>
      </c>
      <c r="P656">
        <v>0.99929474756212722</v>
      </c>
      <c r="Q656">
        <v>0.96029080140080536</v>
      </c>
      <c r="R656">
        <v>0.46747269457135721</v>
      </c>
      <c r="S656">
        <v>0.3098269055943641</v>
      </c>
      <c r="T656">
        <v>0.17674226189210063</v>
      </c>
      <c r="U656">
        <v>0.76319727322066122</v>
      </c>
      <c r="V656">
        <v>0.64458269392960577</v>
      </c>
      <c r="W656">
        <v>0.63852351859968604</v>
      </c>
      <c r="X656">
        <v>0.46066109779713205</v>
      </c>
      <c r="Y656">
        <v>0.40161240730477066</v>
      </c>
      <c r="Z656">
        <v>0.43712418026849192</v>
      </c>
      <c r="AA656">
        <v>0.67430792740252254</v>
      </c>
      <c r="AB656">
        <v>0.82158166248076914</v>
      </c>
      <c r="AC656">
        <v>0.74934670233029022</v>
      </c>
      <c r="AD656">
        <v>0.67178358615674472</v>
      </c>
      <c r="AE656">
        <v>218.56888120724065</v>
      </c>
      <c r="AF656">
        <v>1087.0169404136807</v>
      </c>
      <c r="AG656">
        <v>2162.6743714810964</v>
      </c>
      <c r="AH656">
        <v>15432.220473856903</v>
      </c>
      <c r="AI656">
        <v>14194.088471172456</v>
      </c>
      <c r="AJ656">
        <v>39980.443342801707</v>
      </c>
      <c r="AK656">
        <v>16346.417490017961</v>
      </c>
      <c r="AL656">
        <v>1815.4130062950917</v>
      </c>
      <c r="AM656">
        <v>514.65355751601658</v>
      </c>
      <c r="AO656">
        <v>49119.804758409569</v>
      </c>
      <c r="AP656">
        <v>13.413333020499792</v>
      </c>
      <c r="AQ656">
        <v>48702.909608840317</v>
      </c>
      <c r="AR656">
        <v>13.678550114741125</v>
      </c>
      <c r="AS656" s="2">
        <f t="shared" si="71"/>
        <v>-416.89514956925268</v>
      </c>
      <c r="AT656" s="2">
        <f t="shared" si="72"/>
        <v>0.26521709424133277</v>
      </c>
      <c r="AV656">
        <f t="shared" si="73"/>
        <v>1292213.4972915696</v>
      </c>
      <c r="AW656">
        <f t="shared" si="74"/>
        <v>1319152.1018652723</v>
      </c>
      <c r="AY656">
        <f t="shared" si="75"/>
        <v>0</v>
      </c>
      <c r="AZ656">
        <f t="shared" si="76"/>
        <v>1</v>
      </c>
    </row>
    <row r="657" spans="1:52" x14ac:dyDescent="0.2">
      <c r="A657">
        <f t="shared" si="70"/>
        <v>653</v>
      </c>
      <c r="B657">
        <v>2.4691025358978342E-2</v>
      </c>
      <c r="C657">
        <v>3.7360241518528792E-2</v>
      </c>
      <c r="D657">
        <v>3.4274959182364367E-2</v>
      </c>
      <c r="E657">
        <v>5.6219247289836403E-3</v>
      </c>
      <c r="F657">
        <v>3.2722754813603711E-3</v>
      </c>
      <c r="G657">
        <v>2.1537798089385607E-2</v>
      </c>
      <c r="H657">
        <v>2.803534156284691E-2</v>
      </c>
      <c r="I657">
        <v>0.13586810420146145</v>
      </c>
      <c r="J657">
        <v>0</v>
      </c>
      <c r="K657">
        <v>0.42876324645534025</v>
      </c>
      <c r="L657">
        <v>0.32246261388506903</v>
      </c>
      <c r="M657">
        <v>0.67753738611493097</v>
      </c>
      <c r="N657">
        <v>7.8355670499059782E-2</v>
      </c>
      <c r="O657" s="72">
        <v>0.99627907697540552</v>
      </c>
      <c r="P657">
        <v>0.99791897773635296</v>
      </c>
      <c r="Q657">
        <v>0.97563285137520317</v>
      </c>
      <c r="R657">
        <v>0.47351214698159427</v>
      </c>
      <c r="S657">
        <v>0.39051293192877989</v>
      </c>
      <c r="T657">
        <v>0.31508487732809487</v>
      </c>
      <c r="U657">
        <v>0.77301780576277235</v>
      </c>
      <c r="V657">
        <v>0.69879639755290168</v>
      </c>
      <c r="W657">
        <v>0.57214448540607488</v>
      </c>
      <c r="X657">
        <v>0.44198990722224574</v>
      </c>
      <c r="Y657">
        <v>0.47987478683715534</v>
      </c>
      <c r="Z657">
        <v>0.45009966657272049</v>
      </c>
      <c r="AA657">
        <v>0.63156476773690651</v>
      </c>
      <c r="AB657">
        <v>0.85106331618681574</v>
      </c>
      <c r="AC657">
        <v>0.63800048786001085</v>
      </c>
      <c r="AD657">
        <v>0.60905658183717781</v>
      </c>
      <c r="AE657">
        <v>192.88978446877948</v>
      </c>
      <c r="AF657">
        <v>1009.7713255526273</v>
      </c>
      <c r="AG657">
        <v>1680.5080226329655</v>
      </c>
      <c r="AH657">
        <v>10568.317486571379</v>
      </c>
      <c r="AI657">
        <v>9709.5045748951434</v>
      </c>
      <c r="AJ657">
        <v>42337.367718054811</v>
      </c>
      <c r="AK657">
        <v>14613.867587702327</v>
      </c>
      <c r="AL657">
        <v>2339.7936424813702</v>
      </c>
      <c r="AM657">
        <v>487.08761422053863</v>
      </c>
      <c r="AO657">
        <v>44072.532337406534</v>
      </c>
      <c r="AP657">
        <v>13.619857955265568</v>
      </c>
      <c r="AQ657">
        <v>48075.583728862825</v>
      </c>
      <c r="AR657">
        <v>13.800100829160202</v>
      </c>
      <c r="AS657" s="2">
        <f t="shared" si="71"/>
        <v>4003.0513914562907</v>
      </c>
      <c r="AT657" s="2">
        <f t="shared" si="72"/>
        <v>0.18024287389463467</v>
      </c>
      <c r="AV657">
        <f t="shared" si="73"/>
        <v>1317913.26318915</v>
      </c>
      <c r="AW657">
        <f t="shared" si="74"/>
        <v>1331934.4991871573</v>
      </c>
      <c r="AY657">
        <f t="shared" si="75"/>
        <v>0</v>
      </c>
      <c r="AZ657">
        <f t="shared" si="76"/>
        <v>1</v>
      </c>
    </row>
    <row r="658" spans="1:52" x14ac:dyDescent="0.2">
      <c r="A658">
        <f t="shared" si="70"/>
        <v>654</v>
      </c>
      <c r="B658">
        <v>2.125775712416323E-2</v>
      </c>
      <c r="C658">
        <v>2.7511773549040518E-2</v>
      </c>
      <c r="D658">
        <v>2.8205731564336763E-2</v>
      </c>
      <c r="E658">
        <v>1.8715703465819078E-2</v>
      </c>
      <c r="F658">
        <v>3.4038591901165427E-3</v>
      </c>
      <c r="G658">
        <v>1.2248360620614074E-2</v>
      </c>
      <c r="H658">
        <v>3.5528901518336431E-2</v>
      </c>
      <c r="I658">
        <v>0.14054387074911612</v>
      </c>
      <c r="J658">
        <v>0</v>
      </c>
      <c r="K658">
        <v>0.3915060979323271</v>
      </c>
      <c r="L658">
        <v>0.25012702160792077</v>
      </c>
      <c r="M658">
        <v>0.74987297839207923</v>
      </c>
      <c r="N658">
        <v>4.9592853117197203E-2</v>
      </c>
      <c r="O658" s="72">
        <v>0.99993245458889402</v>
      </c>
      <c r="P658">
        <v>0.99764307270889241</v>
      </c>
      <c r="Q658">
        <v>0.96428259428695706</v>
      </c>
      <c r="R658">
        <v>0.48693935587515458</v>
      </c>
      <c r="S658">
        <v>0.42616335193205457</v>
      </c>
      <c r="T658">
        <v>0.20181732276080266</v>
      </c>
      <c r="U658">
        <v>0.76415007029383253</v>
      </c>
      <c r="V658">
        <v>0.6526946184526311</v>
      </c>
      <c r="W658">
        <v>0.57268820250248798</v>
      </c>
      <c r="X658">
        <v>0.45234210786891471</v>
      </c>
      <c r="Y658">
        <v>0.45492612977032121</v>
      </c>
      <c r="Z658">
        <v>0.44475970996092046</v>
      </c>
      <c r="AA658">
        <v>0.65532137682625824</v>
      </c>
      <c r="AB658">
        <v>0.84819150168794999</v>
      </c>
      <c r="AC658">
        <v>0.794188005576143</v>
      </c>
      <c r="AD658">
        <v>0.58220506271984707</v>
      </c>
      <c r="AE658">
        <v>182.25425003148402</v>
      </c>
      <c r="AF658">
        <v>1143.359417235918</v>
      </c>
      <c r="AG658">
        <v>1382.4715203894095</v>
      </c>
      <c r="AH658">
        <v>11357.377881441562</v>
      </c>
      <c r="AI658">
        <v>10186.373375455123</v>
      </c>
      <c r="AJ658">
        <v>46179.81997262354</v>
      </c>
      <c r="AK658">
        <v>9895.8773118777299</v>
      </c>
      <c r="AL658">
        <v>2094.9895449213473</v>
      </c>
      <c r="AM658">
        <v>452.21062462507916</v>
      </c>
      <c r="AO658">
        <v>44221.504869613207</v>
      </c>
      <c r="AP658">
        <v>13.80769919939422</v>
      </c>
      <c r="AQ658">
        <v>47570.41221206577</v>
      </c>
      <c r="AR658">
        <v>14.005888803878602</v>
      </c>
      <c r="AS658" s="2">
        <f t="shared" si="71"/>
        <v>3348.9073424525632</v>
      </c>
      <c r="AT658" s="2">
        <f t="shared" si="72"/>
        <v>0.19818960448438183</v>
      </c>
      <c r="AV658">
        <f t="shared" si="73"/>
        <v>1336548.415069809</v>
      </c>
      <c r="AW658">
        <f t="shared" si="74"/>
        <v>1353018.4681757945</v>
      </c>
      <c r="AY658">
        <f t="shared" si="75"/>
        <v>0</v>
      </c>
      <c r="AZ658">
        <f t="shared" si="76"/>
        <v>1</v>
      </c>
    </row>
    <row r="659" spans="1:52" x14ac:dyDescent="0.2">
      <c r="A659">
        <f t="shared" si="70"/>
        <v>655</v>
      </c>
      <c r="B659">
        <v>2.7303967366398618E-2</v>
      </c>
      <c r="C659">
        <v>3.0867929301827458E-2</v>
      </c>
      <c r="D659">
        <v>5.5901707609018469E-2</v>
      </c>
      <c r="E659">
        <v>4.6152263196410082E-2</v>
      </c>
      <c r="F659">
        <v>3.3750361612114865E-3</v>
      </c>
      <c r="G659">
        <v>1.752398770372543E-2</v>
      </c>
      <c r="H659">
        <v>3.2350592648410781E-2</v>
      </c>
      <c r="I659">
        <v>0.13135402695479703</v>
      </c>
      <c r="J659">
        <v>0</v>
      </c>
      <c r="K659">
        <v>0.44537351670209335</v>
      </c>
      <c r="L659">
        <v>0.17536612501459981</v>
      </c>
      <c r="M659">
        <v>0.82463387498540019</v>
      </c>
      <c r="N659">
        <v>4.9681296410526619E-2</v>
      </c>
      <c r="O659" s="72">
        <v>0.99913273005825776</v>
      </c>
      <c r="P659">
        <v>0.99936776165240926</v>
      </c>
      <c r="Q659">
        <v>0.97217732449488847</v>
      </c>
      <c r="R659">
        <v>0.45672984818543139</v>
      </c>
      <c r="S659">
        <v>0.38003281323256599</v>
      </c>
      <c r="T659">
        <v>0.15782154728105979</v>
      </c>
      <c r="U659">
        <v>0.7455584254411507</v>
      </c>
      <c r="V659">
        <v>0.65240827264906565</v>
      </c>
      <c r="W659">
        <v>0.49149980417706285</v>
      </c>
      <c r="X659">
        <v>0.4374173321701797</v>
      </c>
      <c r="Y659">
        <v>0.41547036589592851</v>
      </c>
      <c r="Z659">
        <v>0.42580019428834309</v>
      </c>
      <c r="AA659">
        <v>0.6403042479919564</v>
      </c>
      <c r="AB659">
        <v>0.84602081719611699</v>
      </c>
      <c r="AC659">
        <v>0.7928680774586524</v>
      </c>
      <c r="AD659">
        <v>0.60886278736066823</v>
      </c>
      <c r="AE659">
        <v>210.44085564649129</v>
      </c>
      <c r="AF659">
        <v>1204.8080464173536</v>
      </c>
      <c r="AG659">
        <v>1868.8631487255147</v>
      </c>
      <c r="AH659">
        <v>14367.130252657602</v>
      </c>
      <c r="AI659">
        <v>9866.615668989185</v>
      </c>
      <c r="AJ659">
        <v>39009.916333598085</v>
      </c>
      <c r="AK659">
        <v>14777.078742151283</v>
      </c>
      <c r="AL659">
        <v>1879.8990536787971</v>
      </c>
      <c r="AM659">
        <v>354.4290500342928</v>
      </c>
      <c r="AO659">
        <v>45952.604570662385</v>
      </c>
      <c r="AP659">
        <v>13.621965947317102</v>
      </c>
      <c r="AQ659">
        <v>46091.697345145149</v>
      </c>
      <c r="AR659">
        <v>14.008999469228952</v>
      </c>
      <c r="AS659" s="2">
        <f t="shared" si="71"/>
        <v>139.09277448276407</v>
      </c>
      <c r="AT659" s="2">
        <f t="shared" si="72"/>
        <v>0.38703352191184948</v>
      </c>
      <c r="AV659">
        <f t="shared" si="73"/>
        <v>1316243.9901610478</v>
      </c>
      <c r="AW659">
        <f t="shared" si="74"/>
        <v>1354808.2495777502</v>
      </c>
      <c r="AY659">
        <f t="shared" si="75"/>
        <v>0</v>
      </c>
      <c r="AZ659">
        <f t="shared" si="76"/>
        <v>1</v>
      </c>
    </row>
    <row r="660" spans="1:52" x14ac:dyDescent="0.2">
      <c r="A660">
        <f t="shared" si="70"/>
        <v>656</v>
      </c>
      <c r="B660">
        <v>1.8276881927596026E-2</v>
      </c>
      <c r="C660">
        <v>4.2235637726634745E-2</v>
      </c>
      <c r="D660">
        <v>4.6308548987352038E-2</v>
      </c>
      <c r="E660">
        <v>6.6980820898298737E-3</v>
      </c>
      <c r="F660">
        <v>3.4910265519960682E-3</v>
      </c>
      <c r="G660">
        <v>2.6669473359322636E-3</v>
      </c>
      <c r="H660">
        <v>1.713621381285985E-2</v>
      </c>
      <c r="I660">
        <v>0.16043743422844348</v>
      </c>
      <c r="J660">
        <v>0</v>
      </c>
      <c r="K660">
        <v>0.44851670612141248</v>
      </c>
      <c r="L660">
        <v>0.25179540452574289</v>
      </c>
      <c r="M660">
        <v>0.74820459547425711</v>
      </c>
      <c r="N660">
        <v>5.4797826487921995E-2</v>
      </c>
      <c r="O660" s="72">
        <v>0.99644333558570097</v>
      </c>
      <c r="P660">
        <v>0.98892471835625584</v>
      </c>
      <c r="Q660">
        <v>0.87636369223400135</v>
      </c>
      <c r="R660">
        <v>0.45758866026143852</v>
      </c>
      <c r="S660">
        <v>0.32125978108885134</v>
      </c>
      <c r="T660">
        <v>0.19751250613506766</v>
      </c>
      <c r="U660">
        <v>0.73538034903529359</v>
      </c>
      <c r="V660">
        <v>0.61659675330339769</v>
      </c>
      <c r="W660">
        <v>0.56662611125108975</v>
      </c>
      <c r="X660">
        <v>0.48110796211360596</v>
      </c>
      <c r="Y660">
        <v>0.37855331297287881</v>
      </c>
      <c r="Z660">
        <v>0.42285629425744925</v>
      </c>
      <c r="AA660">
        <v>0.6618693254650857</v>
      </c>
      <c r="AB660">
        <v>0.82581086385197588</v>
      </c>
      <c r="AC660">
        <v>0.62873689024164459</v>
      </c>
      <c r="AD660">
        <v>0.65100215044643051</v>
      </c>
      <c r="AE660">
        <v>238.14711611188832</v>
      </c>
      <c r="AF660">
        <v>1010.0917803935538</v>
      </c>
      <c r="AG660">
        <v>1242.3331279876363</v>
      </c>
      <c r="AH660">
        <v>12196.424795173334</v>
      </c>
      <c r="AI660">
        <v>7934.1010216107516</v>
      </c>
      <c r="AJ660">
        <v>38320.309057629107</v>
      </c>
      <c r="AK660">
        <v>17727.416744817918</v>
      </c>
      <c r="AL660">
        <v>1775.4240136220199</v>
      </c>
      <c r="AM660">
        <v>353.22986411163993</v>
      </c>
      <c r="AO660">
        <v>45905.419708508038</v>
      </c>
      <c r="AP660">
        <v>13.228652862192384</v>
      </c>
      <c r="AQ660">
        <v>46669.181076295405</v>
      </c>
      <c r="AR660">
        <v>13.483138944824665</v>
      </c>
      <c r="AS660" s="2">
        <f t="shared" si="71"/>
        <v>763.76136778736691</v>
      </c>
      <c r="AT660" s="2">
        <f t="shared" si="72"/>
        <v>0.25448608263228145</v>
      </c>
      <c r="AV660">
        <f t="shared" si="73"/>
        <v>1276959.8665107302</v>
      </c>
      <c r="AW660">
        <f t="shared" si="74"/>
        <v>1301644.713406171</v>
      </c>
      <c r="AY660">
        <f t="shared" si="75"/>
        <v>0</v>
      </c>
      <c r="AZ660">
        <f t="shared" si="76"/>
        <v>1</v>
      </c>
    </row>
    <row r="661" spans="1:52" x14ac:dyDescent="0.2">
      <c r="A661">
        <f t="shared" si="70"/>
        <v>657</v>
      </c>
      <c r="B661">
        <v>2.0882216524663783E-2</v>
      </c>
      <c r="C661">
        <v>3.3396538394024122E-2</v>
      </c>
      <c r="D661">
        <v>3.4898431951099838E-2</v>
      </c>
      <c r="E661">
        <v>1.4800354971467922E-2</v>
      </c>
      <c r="F661">
        <v>3.3706014581452726E-3</v>
      </c>
      <c r="G661">
        <v>8.3625753647590968E-3</v>
      </c>
      <c r="H661">
        <v>2.619850416305779E-2</v>
      </c>
      <c r="I661">
        <v>0.11903037298657716</v>
      </c>
      <c r="J661">
        <v>0</v>
      </c>
      <c r="K661">
        <v>0.46649297216676922</v>
      </c>
      <c r="L661">
        <v>0.28418420550088153</v>
      </c>
      <c r="M661">
        <v>0.71581579449911847</v>
      </c>
      <c r="N661">
        <v>5.8119666734080311E-2</v>
      </c>
      <c r="O661" s="72">
        <v>0.99569185340729549</v>
      </c>
      <c r="P661">
        <v>0.99965771017776484</v>
      </c>
      <c r="Q661">
        <v>0.997517278164051</v>
      </c>
      <c r="R661">
        <v>0.46306013207525021</v>
      </c>
      <c r="S661">
        <v>0.45387584462590669</v>
      </c>
      <c r="T661">
        <v>0.19129313434061257</v>
      </c>
      <c r="U661">
        <v>0.76065990958275986</v>
      </c>
      <c r="V661">
        <v>0.64593439683732479</v>
      </c>
      <c r="W661">
        <v>0.56117666479039718</v>
      </c>
      <c r="X661">
        <v>0.43888291195556611</v>
      </c>
      <c r="Y661">
        <v>0.46394935764158574</v>
      </c>
      <c r="Z661">
        <v>0.44725230490704482</v>
      </c>
      <c r="AA661">
        <v>0.69156320864858856</v>
      </c>
      <c r="AB661">
        <v>0.72653078276867189</v>
      </c>
      <c r="AC661">
        <v>0.67657457541528709</v>
      </c>
      <c r="AD661">
        <v>0.59136440289024539</v>
      </c>
      <c r="AE661">
        <v>256.7100500074643</v>
      </c>
      <c r="AF661">
        <v>882.13233221300493</v>
      </c>
      <c r="AG661">
        <v>1541.4925353872316</v>
      </c>
      <c r="AH661">
        <v>13601.902561962159</v>
      </c>
      <c r="AI661">
        <v>11247.336824562113</v>
      </c>
      <c r="AJ661">
        <v>40714.424396725779</v>
      </c>
      <c r="AK661">
        <v>14563.855175960649</v>
      </c>
      <c r="AL661">
        <v>2702.1928185686415</v>
      </c>
      <c r="AM661">
        <v>392.90987885257556</v>
      </c>
      <c r="AO661">
        <v>44946.64739944374</v>
      </c>
      <c r="AP661">
        <v>12.026390748099541</v>
      </c>
      <c r="AQ661">
        <v>46601.508388426402</v>
      </c>
      <c r="AR661">
        <v>12.120262629057121</v>
      </c>
      <c r="AS661" s="2">
        <f t="shared" si="71"/>
        <v>1654.8609889826621</v>
      </c>
      <c r="AT661" s="2">
        <f t="shared" si="72"/>
        <v>9.38718809575807E-2</v>
      </c>
      <c r="AV661">
        <f t="shared" si="73"/>
        <v>1157692.4274105104</v>
      </c>
      <c r="AW661">
        <f t="shared" si="74"/>
        <v>1165424.7545172859</v>
      </c>
      <c r="AY661">
        <f t="shared" si="75"/>
        <v>0</v>
      </c>
      <c r="AZ661">
        <f t="shared" si="76"/>
        <v>1</v>
      </c>
    </row>
    <row r="662" spans="1:52" x14ac:dyDescent="0.2">
      <c r="A662">
        <f t="shared" si="70"/>
        <v>658</v>
      </c>
      <c r="B662">
        <v>2.6411933874684879E-2</v>
      </c>
      <c r="C662">
        <v>3.7931509879256753E-2</v>
      </c>
      <c r="D662">
        <v>4.1623326981717335E-2</v>
      </c>
      <c r="E662">
        <v>1.215966132004187E-2</v>
      </c>
      <c r="F662">
        <v>3.2424592939927382E-3</v>
      </c>
      <c r="G662">
        <v>1.2355759295710977E-2</v>
      </c>
      <c r="H662">
        <v>2.5964650323402609E-2</v>
      </c>
      <c r="I662">
        <v>0.13193640646651372</v>
      </c>
      <c r="J662">
        <v>0</v>
      </c>
      <c r="K662">
        <v>0.46413041529750576</v>
      </c>
      <c r="L662">
        <v>0.2327648242741881</v>
      </c>
      <c r="M662">
        <v>0.7672351757258119</v>
      </c>
      <c r="N662">
        <v>6.1029682981483369E-2</v>
      </c>
      <c r="O662" s="72">
        <v>0.99999422247023262</v>
      </c>
      <c r="P662">
        <v>0.99280931438368769</v>
      </c>
      <c r="Q662">
        <v>0.96201956118289245</v>
      </c>
      <c r="R662">
        <v>0.46904677632226854</v>
      </c>
      <c r="S662">
        <v>0.43192842853584457</v>
      </c>
      <c r="T662">
        <v>0.1987427994093921</v>
      </c>
      <c r="U662">
        <v>0.76573108429885717</v>
      </c>
      <c r="V662">
        <v>0.68459169926905306</v>
      </c>
      <c r="W662">
        <v>0.53866272213746724</v>
      </c>
      <c r="X662">
        <v>0.44410896893118473</v>
      </c>
      <c r="Y662">
        <v>0.47476578038439843</v>
      </c>
      <c r="Z662">
        <v>0.44946740235497318</v>
      </c>
      <c r="AA662">
        <v>0.70879475616419874</v>
      </c>
      <c r="AB662">
        <v>0.83141686210766785</v>
      </c>
      <c r="AC662">
        <v>0.56401816895485313</v>
      </c>
      <c r="AD662">
        <v>0.59538001209243285</v>
      </c>
      <c r="AE662">
        <v>225.18656551755387</v>
      </c>
      <c r="AF662">
        <v>1145.6601222012225</v>
      </c>
      <c r="AG662">
        <v>1568.9714517286561</v>
      </c>
      <c r="AH662">
        <v>16861.913790480914</v>
      </c>
      <c r="AI662">
        <v>9317.7770213856038</v>
      </c>
      <c r="AJ662">
        <v>40124.457260388583</v>
      </c>
      <c r="AK662">
        <v>18379.60080638915</v>
      </c>
      <c r="AL662">
        <v>1760.8588122370982</v>
      </c>
      <c r="AM662">
        <v>378.88037982306872</v>
      </c>
      <c r="AO662">
        <v>44687.733440640834</v>
      </c>
      <c r="AP662">
        <v>13.137642407217889</v>
      </c>
      <c r="AQ662">
        <v>46736.274760798085</v>
      </c>
      <c r="AR662">
        <v>13.374610992777317</v>
      </c>
      <c r="AS662" s="2">
        <f t="shared" si="71"/>
        <v>2048.5413201572519</v>
      </c>
      <c r="AT662" s="2">
        <f t="shared" si="72"/>
        <v>0.23696858555942768</v>
      </c>
      <c r="AV662">
        <f t="shared" si="73"/>
        <v>1269076.5072811481</v>
      </c>
      <c r="AW662">
        <f t="shared" si="74"/>
        <v>1290724.8245169336</v>
      </c>
      <c r="AY662">
        <f t="shared" si="75"/>
        <v>0</v>
      </c>
      <c r="AZ662">
        <f t="shared" si="76"/>
        <v>1</v>
      </c>
    </row>
    <row r="663" spans="1:52" x14ac:dyDescent="0.2">
      <c r="A663">
        <f t="shared" si="70"/>
        <v>659</v>
      </c>
      <c r="B663">
        <v>1.9966747247216247E-2</v>
      </c>
      <c r="C663">
        <v>3.6739508244863606E-2</v>
      </c>
      <c r="D663">
        <v>3.8151201823140066E-2</v>
      </c>
      <c r="E663">
        <v>1.5761930173846417E-2</v>
      </c>
      <c r="F663">
        <v>3.3954446540849226E-3</v>
      </c>
      <c r="G663">
        <v>8.8718191088813531E-3</v>
      </c>
      <c r="H663">
        <v>1.9856045054606319E-2</v>
      </c>
      <c r="I663">
        <v>0.12537831275071959</v>
      </c>
      <c r="J663">
        <v>0</v>
      </c>
      <c r="K663">
        <v>0.37981751512522088</v>
      </c>
      <c r="L663">
        <v>0.21194622898952276</v>
      </c>
      <c r="M663">
        <v>0.78805377101047724</v>
      </c>
      <c r="N663">
        <v>4.9308927018067453E-2</v>
      </c>
      <c r="O663" s="72">
        <v>0.99997256060312523</v>
      </c>
      <c r="P663">
        <v>0.99821826089721222</v>
      </c>
      <c r="Q663">
        <v>0.94143936152652952</v>
      </c>
      <c r="R663">
        <v>0.49772698891050671</v>
      </c>
      <c r="S663">
        <v>0.46353786908706796</v>
      </c>
      <c r="T663">
        <v>0.29760949959480798</v>
      </c>
      <c r="U663">
        <v>0.750748651047631</v>
      </c>
      <c r="V663">
        <v>0.68167760280905076</v>
      </c>
      <c r="W663">
        <v>0.55190189437577297</v>
      </c>
      <c r="X663">
        <v>0.46181491173129352</v>
      </c>
      <c r="Y663">
        <v>0.36985322438044221</v>
      </c>
      <c r="Z663">
        <v>0.46102747544273504</v>
      </c>
      <c r="AA663">
        <v>0.67388875383706781</v>
      </c>
      <c r="AB663">
        <v>0.8449488778978016</v>
      </c>
      <c r="AC663">
        <v>0.72674027003275044</v>
      </c>
      <c r="AD663">
        <v>0.60631900319653331</v>
      </c>
      <c r="AE663">
        <v>176.63148460333318</v>
      </c>
      <c r="AF663">
        <v>1282.1684145705854</v>
      </c>
      <c r="AG663">
        <v>1492.678908658303</v>
      </c>
      <c r="AH663">
        <v>11042.225512097821</v>
      </c>
      <c r="AI663">
        <v>11423.191821865772</v>
      </c>
      <c r="AJ663">
        <v>33041.354018627557</v>
      </c>
      <c r="AK663">
        <v>19828.72368129465</v>
      </c>
      <c r="AL663">
        <v>2728.4231841420578</v>
      </c>
      <c r="AM663">
        <v>299.53806887152524</v>
      </c>
      <c r="AO663">
        <v>39630.429296666509</v>
      </c>
      <c r="AP663">
        <v>13.685249253160828</v>
      </c>
      <c r="AQ663">
        <v>45273.00327688719</v>
      </c>
      <c r="AR663">
        <v>13.871349691174418</v>
      </c>
      <c r="AS663" s="2">
        <f t="shared" si="71"/>
        <v>5642.5739802206808</v>
      </c>
      <c r="AT663" s="2">
        <f t="shared" si="72"/>
        <v>0.18610043801358955</v>
      </c>
      <c r="AV663">
        <f t="shared" si="73"/>
        <v>1328894.4960194163</v>
      </c>
      <c r="AW663">
        <f t="shared" si="74"/>
        <v>1341861.9658405546</v>
      </c>
      <c r="AY663">
        <f t="shared" si="75"/>
        <v>0</v>
      </c>
      <c r="AZ663">
        <f t="shared" si="76"/>
        <v>1</v>
      </c>
    </row>
    <row r="664" spans="1:52" x14ac:dyDescent="0.2">
      <c r="A664">
        <f t="shared" si="70"/>
        <v>660</v>
      </c>
      <c r="B664">
        <v>2.6101487970060622E-2</v>
      </c>
      <c r="C664">
        <v>3.5771547245464039E-2</v>
      </c>
      <c r="D664">
        <v>4.1888934574714543E-2</v>
      </c>
      <c r="E664">
        <v>2.3649586078321572E-2</v>
      </c>
      <c r="F664">
        <v>3.2122861635572961E-3</v>
      </c>
      <c r="G664">
        <v>1.2949978037595233E-2</v>
      </c>
      <c r="H664">
        <v>4.5751805792894729E-2</v>
      </c>
      <c r="I664">
        <v>0.1393667500013881</v>
      </c>
      <c r="J664">
        <v>0</v>
      </c>
      <c r="K664">
        <v>0.39533369222908188</v>
      </c>
      <c r="L664">
        <v>0.22487679465718835</v>
      </c>
      <c r="M664">
        <v>0.77512320534281165</v>
      </c>
      <c r="N664">
        <v>6.962971946274954E-2</v>
      </c>
      <c r="O664" s="72">
        <v>0.99940178393239287</v>
      </c>
      <c r="P664">
        <v>0.99979753926486847</v>
      </c>
      <c r="Q664">
        <v>0.96264903937995216</v>
      </c>
      <c r="R664">
        <v>0.50200609199237722</v>
      </c>
      <c r="S664">
        <v>0.43035157332988394</v>
      </c>
      <c r="T664">
        <v>0.22066579863846525</v>
      </c>
      <c r="U664">
        <v>0.78534458523688</v>
      </c>
      <c r="V664">
        <v>0.65703401836759368</v>
      </c>
      <c r="W664">
        <v>0.62352614765512282</v>
      </c>
      <c r="X664">
        <v>0.45502924709051384</v>
      </c>
      <c r="Y664">
        <v>0.43133315328118493</v>
      </c>
      <c r="Z664">
        <v>0.47151341430274973</v>
      </c>
      <c r="AA664">
        <v>0.65281156487601744</v>
      </c>
      <c r="AB664">
        <v>0.80286378183596085</v>
      </c>
      <c r="AC664">
        <v>0.75941375662799282</v>
      </c>
      <c r="AD664">
        <v>0.54725886294361548</v>
      </c>
      <c r="AE664">
        <v>229.8659167316732</v>
      </c>
      <c r="AF664">
        <v>1291.4145051509745</v>
      </c>
      <c r="AG664">
        <v>2175.2437340069619</v>
      </c>
      <c r="AH664">
        <v>19088.699250852238</v>
      </c>
      <c r="AI664">
        <v>14689.126066087925</v>
      </c>
      <c r="AJ664">
        <v>31867.640852599241</v>
      </c>
      <c r="AK664">
        <v>9868.092188944247</v>
      </c>
      <c r="AL664">
        <v>2481.6864084524314</v>
      </c>
      <c r="AM664">
        <v>370.99236383051709</v>
      </c>
      <c r="AO664">
        <v>42649.518270388347</v>
      </c>
      <c r="AP664">
        <v>13.128528746265179</v>
      </c>
      <c r="AQ664">
        <v>46480.483267798591</v>
      </c>
      <c r="AR664">
        <v>13.267745202457816</v>
      </c>
      <c r="AS664" s="2">
        <f t="shared" si="71"/>
        <v>3830.9649974102431</v>
      </c>
      <c r="AT664" s="2">
        <f t="shared" si="72"/>
        <v>0.13921645619263678</v>
      </c>
      <c r="AV664">
        <f t="shared" si="73"/>
        <v>1270203.3563561295</v>
      </c>
      <c r="AW664">
        <f t="shared" si="74"/>
        <v>1280294.0369779831</v>
      </c>
      <c r="AY664">
        <f t="shared" si="75"/>
        <v>0</v>
      </c>
      <c r="AZ664">
        <f t="shared" si="76"/>
        <v>1</v>
      </c>
    </row>
    <row r="665" spans="1:52" x14ac:dyDescent="0.2">
      <c r="A665">
        <f t="shared" si="70"/>
        <v>661</v>
      </c>
      <c r="B665">
        <v>2.9630115668679124E-2</v>
      </c>
      <c r="C665">
        <v>4.4448162292439752E-2</v>
      </c>
      <c r="D665">
        <v>3.9326594239216139E-2</v>
      </c>
      <c r="E665">
        <v>6.2630790204395758E-3</v>
      </c>
      <c r="F665">
        <v>3.4004184328459974E-3</v>
      </c>
      <c r="G665">
        <v>5.1784732209277595E-2</v>
      </c>
      <c r="H665">
        <v>3.7908444274493802E-2</v>
      </c>
      <c r="I665">
        <v>0.12090210564507455</v>
      </c>
      <c r="J665">
        <v>0</v>
      </c>
      <c r="K665">
        <v>0.37681922790976863</v>
      </c>
      <c r="L665">
        <v>0.21627119731849553</v>
      </c>
      <c r="M665">
        <v>0.78372880268150447</v>
      </c>
      <c r="N665">
        <v>7.1133639671227766E-2</v>
      </c>
      <c r="O665" s="72">
        <v>0.99999600362588525</v>
      </c>
      <c r="P665">
        <v>0.99999839849468397</v>
      </c>
      <c r="Q665">
        <v>0.95602422389735509</v>
      </c>
      <c r="R665">
        <v>0.49913957996268887</v>
      </c>
      <c r="S665">
        <v>0.37420581348350423</v>
      </c>
      <c r="T665">
        <v>0.31172777893603687</v>
      </c>
      <c r="U665">
        <v>0.78209351910164804</v>
      </c>
      <c r="V665">
        <v>0.64155397275045578</v>
      </c>
      <c r="W665">
        <v>0.49474679595924392</v>
      </c>
      <c r="X665">
        <v>0.4851850718411912</v>
      </c>
      <c r="Y665">
        <v>0.41194291374633801</v>
      </c>
      <c r="Z665">
        <v>0.47945302512745913</v>
      </c>
      <c r="AA665">
        <v>0.65885931330916503</v>
      </c>
      <c r="AB665">
        <v>0.82604820306987392</v>
      </c>
      <c r="AC665">
        <v>0.7120798986652136</v>
      </c>
      <c r="AD665">
        <v>0.59217134343958922</v>
      </c>
      <c r="AE665">
        <v>218.20530456345071</v>
      </c>
      <c r="AF665">
        <v>1152.8022129711953</v>
      </c>
      <c r="AG665">
        <v>1944.6943030994803</v>
      </c>
      <c r="AH665">
        <v>14490.604427700819</v>
      </c>
      <c r="AI665">
        <v>12502.856955329709</v>
      </c>
      <c r="AJ665">
        <v>44739.58518182463</v>
      </c>
      <c r="AK665">
        <v>13901.370710019764</v>
      </c>
      <c r="AL665">
        <v>2929.3572650262049</v>
      </c>
      <c r="AM665">
        <v>354.43349460831428</v>
      </c>
      <c r="AO665">
        <v>41514.549767779776</v>
      </c>
      <c r="AP665">
        <v>13.393213790428511</v>
      </c>
      <c r="AQ665">
        <v>46136.874482837084</v>
      </c>
      <c r="AR665">
        <v>13.56397551782166</v>
      </c>
      <c r="AS665" s="2">
        <f t="shared" si="71"/>
        <v>4622.3247150573079</v>
      </c>
      <c r="AT665" s="2">
        <f t="shared" si="72"/>
        <v>0.17076172739314899</v>
      </c>
      <c r="AV665">
        <f t="shared" si="73"/>
        <v>1297806.8292750712</v>
      </c>
      <c r="AW665">
        <f t="shared" si="74"/>
        <v>1310260.6772993291</v>
      </c>
      <c r="AY665">
        <f t="shared" si="75"/>
        <v>0</v>
      </c>
      <c r="AZ665">
        <f t="shared" si="76"/>
        <v>1</v>
      </c>
    </row>
    <row r="666" spans="1:52" x14ac:dyDescent="0.2">
      <c r="A666">
        <f t="shared" si="70"/>
        <v>662</v>
      </c>
      <c r="B666">
        <v>2.2176139869658062E-2</v>
      </c>
      <c r="C666">
        <v>3.5082971153410331E-2</v>
      </c>
      <c r="D666">
        <v>4.8695272020313318E-2</v>
      </c>
      <c r="E666">
        <v>2.27231356755299E-3</v>
      </c>
      <c r="F666">
        <v>3.353393076767075E-3</v>
      </c>
      <c r="G666">
        <v>6.2239414706747867E-3</v>
      </c>
      <c r="H666">
        <v>2.0055962944906702E-2</v>
      </c>
      <c r="I666">
        <v>0.1246770965929611</v>
      </c>
      <c r="J666">
        <v>0</v>
      </c>
      <c r="K666">
        <v>0.45533280110555097</v>
      </c>
      <c r="L666">
        <v>0.17453720971769981</v>
      </c>
      <c r="M666">
        <v>0.82546279028230019</v>
      </c>
      <c r="N666">
        <v>4.4744916081358659E-2</v>
      </c>
      <c r="O666" s="72">
        <v>0.98247186250240803</v>
      </c>
      <c r="P666">
        <v>0.99986707941743413</v>
      </c>
      <c r="Q666">
        <v>0.96580521468294611</v>
      </c>
      <c r="R666">
        <v>0.47864111668858456</v>
      </c>
      <c r="S666">
        <v>0.34407795395919905</v>
      </c>
      <c r="T666">
        <v>0.15205930852009331</v>
      </c>
      <c r="U666">
        <v>0.7884611530142227</v>
      </c>
      <c r="V666">
        <v>0.68914278492515835</v>
      </c>
      <c r="W666">
        <v>0.52797586344227876</v>
      </c>
      <c r="X666">
        <v>0.45197100620572839</v>
      </c>
      <c r="Y666">
        <v>0.41651406458499324</v>
      </c>
      <c r="Z666">
        <v>0.40166096367534193</v>
      </c>
      <c r="AA666">
        <v>0.77887549203430428</v>
      </c>
      <c r="AB666">
        <v>0.76101224695291314</v>
      </c>
      <c r="AC666">
        <v>0.72944459504961578</v>
      </c>
      <c r="AD666">
        <v>0.60037067127683053</v>
      </c>
      <c r="AE666">
        <v>201.58709100643446</v>
      </c>
      <c r="AF666">
        <v>1066.6881222677107</v>
      </c>
      <c r="AG666">
        <v>1608.8551783949949</v>
      </c>
      <c r="AH666">
        <v>14237.27468498531</v>
      </c>
      <c r="AI666">
        <v>14961.966812004817</v>
      </c>
      <c r="AJ666">
        <v>44931.628465543661</v>
      </c>
      <c r="AK666">
        <v>10430.759429615146</v>
      </c>
      <c r="AL666">
        <v>2022.6565896258144</v>
      </c>
      <c r="AM666">
        <v>461.269330348935</v>
      </c>
      <c r="AO666">
        <v>47894.071659509937</v>
      </c>
      <c r="AP666">
        <v>12.569645167722021</v>
      </c>
      <c r="AQ666">
        <v>47823.161611604854</v>
      </c>
      <c r="AR666">
        <v>12.705660015745764</v>
      </c>
      <c r="AS666" s="2">
        <f t="shared" si="71"/>
        <v>-70.910047905083047</v>
      </c>
      <c r="AT666" s="2">
        <f t="shared" si="72"/>
        <v>0.13601484802374308</v>
      </c>
      <c r="AV666">
        <f t="shared" si="73"/>
        <v>1209070.445112692</v>
      </c>
      <c r="AW666">
        <f t="shared" si="74"/>
        <v>1222742.8399629714</v>
      </c>
      <c r="AY666">
        <f t="shared" si="75"/>
        <v>0</v>
      </c>
      <c r="AZ666">
        <f t="shared" si="76"/>
        <v>1</v>
      </c>
    </row>
    <row r="667" spans="1:52" x14ac:dyDescent="0.2">
      <c r="A667">
        <f t="shared" si="70"/>
        <v>663</v>
      </c>
      <c r="B667">
        <v>2.1345519558427384E-2</v>
      </c>
      <c r="C667">
        <v>3.4391546856257102E-2</v>
      </c>
      <c r="D667">
        <v>4.5041668512906585E-2</v>
      </c>
      <c r="E667">
        <v>1.307787972694463E-2</v>
      </c>
      <c r="F667">
        <v>3.2478248887331499E-3</v>
      </c>
      <c r="G667">
        <v>2.0362350873596835E-2</v>
      </c>
      <c r="H667">
        <v>2.6255992055249124E-2</v>
      </c>
      <c r="I667">
        <v>0.13169198215086875</v>
      </c>
      <c r="J667">
        <v>0</v>
      </c>
      <c r="K667">
        <v>0.44765839509004868</v>
      </c>
      <c r="L667">
        <v>0.28096766745288604</v>
      </c>
      <c r="M667">
        <v>0.71903233254711396</v>
      </c>
      <c r="N667">
        <v>6.1178545728804545E-2</v>
      </c>
      <c r="O667" s="72">
        <v>0.99408733067506183</v>
      </c>
      <c r="P667">
        <v>0.99835533674550503</v>
      </c>
      <c r="Q667">
        <v>0.9644819874930437</v>
      </c>
      <c r="R667">
        <v>0.48731438520870407</v>
      </c>
      <c r="S667">
        <v>0.40870895208926672</v>
      </c>
      <c r="T667">
        <v>0.31955684036530507</v>
      </c>
      <c r="U667">
        <v>0.77847670761953358</v>
      </c>
      <c r="V667">
        <v>0.73431511314361009</v>
      </c>
      <c r="W667">
        <v>0.52060165665173641</v>
      </c>
      <c r="X667">
        <v>0.43172713210843072</v>
      </c>
      <c r="Y667">
        <v>0.44393083164910307</v>
      </c>
      <c r="Z667">
        <v>0.47054267152505147</v>
      </c>
      <c r="AA667">
        <v>0.6764985382994928</v>
      </c>
      <c r="AB667">
        <v>0.87521718121477265</v>
      </c>
      <c r="AC667">
        <v>0.74000603561071632</v>
      </c>
      <c r="AD667">
        <v>0.49401361877790873</v>
      </c>
      <c r="AE667">
        <v>211.54934865966632</v>
      </c>
      <c r="AF667">
        <v>1142.883409358521</v>
      </c>
      <c r="AG667">
        <v>1525.4620807922977</v>
      </c>
      <c r="AH667">
        <v>13894.594215268466</v>
      </c>
      <c r="AI667">
        <v>10206.298048772454</v>
      </c>
      <c r="AJ667">
        <v>36057.541415758307</v>
      </c>
      <c r="AK667">
        <v>14971.799650606787</v>
      </c>
      <c r="AL667">
        <v>2731.5041702392737</v>
      </c>
      <c r="AM667">
        <v>379.6474752134003</v>
      </c>
      <c r="AO667">
        <v>41695.85452798177</v>
      </c>
      <c r="AP667">
        <v>13.981441290834326</v>
      </c>
      <c r="AQ667">
        <v>46508.982898099137</v>
      </c>
      <c r="AR667">
        <v>14.162105344554885</v>
      </c>
      <c r="AS667" s="2">
        <f t="shared" si="71"/>
        <v>4813.128370117367</v>
      </c>
      <c r="AT667" s="2">
        <f t="shared" si="72"/>
        <v>0.18066405372055883</v>
      </c>
      <c r="AV667">
        <f t="shared" si="73"/>
        <v>1356448.2745554508</v>
      </c>
      <c r="AW667">
        <f t="shared" si="74"/>
        <v>1369701.5515573893</v>
      </c>
      <c r="AY667">
        <f t="shared" si="75"/>
        <v>0</v>
      </c>
      <c r="AZ667">
        <f t="shared" si="76"/>
        <v>1</v>
      </c>
    </row>
    <row r="668" spans="1:52" x14ac:dyDescent="0.2">
      <c r="A668">
        <f t="shared" si="70"/>
        <v>664</v>
      </c>
      <c r="B668">
        <v>2.1055075215966852E-2</v>
      </c>
      <c r="C668">
        <v>3.1944276483833765E-2</v>
      </c>
      <c r="D668">
        <v>2.8786747954490162E-2</v>
      </c>
      <c r="E668">
        <v>1.8968546949316822E-2</v>
      </c>
      <c r="F668">
        <v>3.4549202371848553E-3</v>
      </c>
      <c r="G668">
        <v>1.6186670444454987E-2</v>
      </c>
      <c r="H668">
        <v>1.6911570794801479E-2</v>
      </c>
      <c r="I668">
        <v>0.12784099484548686</v>
      </c>
      <c r="J668">
        <v>0</v>
      </c>
      <c r="K668">
        <v>0.41416231002021636</v>
      </c>
      <c r="L668">
        <v>0.29293709336004226</v>
      </c>
      <c r="M668">
        <v>0.70706290663995774</v>
      </c>
      <c r="N668">
        <v>5.8983888614427493E-2</v>
      </c>
      <c r="O668" s="72">
        <v>0.99993341535092117</v>
      </c>
      <c r="P668">
        <v>0.98006701963242648</v>
      </c>
      <c r="Q668">
        <v>0.94828337129431317</v>
      </c>
      <c r="R668">
        <v>0.44602636296549136</v>
      </c>
      <c r="S668">
        <v>0.47055540139191365</v>
      </c>
      <c r="T668">
        <v>0.22286390507012788</v>
      </c>
      <c r="U668">
        <v>0.78159110698666723</v>
      </c>
      <c r="V668">
        <v>0.70893077749367084</v>
      </c>
      <c r="W668">
        <v>0.59995180725108432</v>
      </c>
      <c r="X668">
        <v>0.43325480680448492</v>
      </c>
      <c r="Y668">
        <v>0.45802153705968973</v>
      </c>
      <c r="Z668">
        <v>0.43198683571335339</v>
      </c>
      <c r="AA668">
        <v>0.62878026464698644</v>
      </c>
      <c r="AB668">
        <v>0.81703213897352667</v>
      </c>
      <c r="AC668">
        <v>0.77083641148384863</v>
      </c>
      <c r="AD668">
        <v>0.60859412758289821</v>
      </c>
      <c r="AE668">
        <v>276.62961463476995</v>
      </c>
      <c r="AF668">
        <v>1012.9656588442695</v>
      </c>
      <c r="AG668">
        <v>1664.5665614026416</v>
      </c>
      <c r="AH668">
        <v>12672.432672891244</v>
      </c>
      <c r="AI668">
        <v>11488.951319118509</v>
      </c>
      <c r="AJ668">
        <v>43365.361361691947</v>
      </c>
      <c r="AK668">
        <v>12557.599994835526</v>
      </c>
      <c r="AL668">
        <v>1903.8454438946292</v>
      </c>
      <c r="AM668">
        <v>360.98521190560473</v>
      </c>
      <c r="AO668">
        <v>44524.807773869259</v>
      </c>
      <c r="AP668">
        <v>13.418397402108781</v>
      </c>
      <c r="AQ668">
        <v>46880.888207091077</v>
      </c>
      <c r="AR668">
        <v>13.565307649685343</v>
      </c>
      <c r="AS668" s="2">
        <f t="shared" si="71"/>
        <v>2356.0804332218177</v>
      </c>
      <c r="AT668" s="2">
        <f t="shared" si="72"/>
        <v>0.14691024757656201</v>
      </c>
      <c r="AV668">
        <f t="shared" si="73"/>
        <v>1297314.9324370087</v>
      </c>
      <c r="AW668">
        <f t="shared" si="74"/>
        <v>1309649.8767614432</v>
      </c>
      <c r="AY668">
        <f t="shared" si="75"/>
        <v>0</v>
      </c>
      <c r="AZ668">
        <f t="shared" si="76"/>
        <v>1</v>
      </c>
    </row>
    <row r="669" spans="1:52" x14ac:dyDescent="0.2">
      <c r="A669">
        <f t="shared" si="70"/>
        <v>665</v>
      </c>
      <c r="B669">
        <v>2.0404159211111012E-2</v>
      </c>
      <c r="C669">
        <v>4.0490748288832035E-2</v>
      </c>
      <c r="D669">
        <v>3.7993365045773692E-2</v>
      </c>
      <c r="E669">
        <v>7.3270265107777338E-3</v>
      </c>
      <c r="F669">
        <v>3.3681849414548548E-3</v>
      </c>
      <c r="G669">
        <v>1.2262742256148984E-2</v>
      </c>
      <c r="H669">
        <v>6.2864240484468148E-2</v>
      </c>
      <c r="I669">
        <v>0.13664185325017475</v>
      </c>
      <c r="J669">
        <v>0</v>
      </c>
      <c r="K669">
        <v>0.44078759819780944</v>
      </c>
      <c r="L669">
        <v>0.20933646396242878</v>
      </c>
      <c r="M669">
        <v>0.79066353603757122</v>
      </c>
      <c r="N669">
        <v>4.7127377776272093E-2</v>
      </c>
      <c r="O669" s="72">
        <v>0.99978472574099875</v>
      </c>
      <c r="P669">
        <v>0.99759696567288736</v>
      </c>
      <c r="Q669">
        <v>0.98821066140133296</v>
      </c>
      <c r="R669">
        <v>0.50787043742252402</v>
      </c>
      <c r="S669">
        <v>0.45625170070981147</v>
      </c>
      <c r="T669">
        <v>0.28811994756150427</v>
      </c>
      <c r="U669">
        <v>0.77222989777198758</v>
      </c>
      <c r="V669">
        <v>0.66931602279683644</v>
      </c>
      <c r="W669">
        <v>0.53995840322838184</v>
      </c>
      <c r="X669">
        <v>0.44538795398266734</v>
      </c>
      <c r="Y669">
        <v>0.44031822370274115</v>
      </c>
      <c r="Z669">
        <v>0.42694506541567528</v>
      </c>
      <c r="AA669">
        <v>0.65238167377685974</v>
      </c>
      <c r="AB669">
        <v>0.78818002908804174</v>
      </c>
      <c r="AC669">
        <v>0.66521651573353535</v>
      </c>
      <c r="AD669">
        <v>0.68223399550977248</v>
      </c>
      <c r="AE669">
        <v>246.23596306957674</v>
      </c>
      <c r="AF669">
        <v>774.74891462039602</v>
      </c>
      <c r="AG669">
        <v>1548.438454345674</v>
      </c>
      <c r="AH669">
        <v>13102.3271727883</v>
      </c>
      <c r="AI669">
        <v>11395.548738129321</v>
      </c>
      <c r="AJ669">
        <v>34487.840807937937</v>
      </c>
      <c r="AK669">
        <v>14814.694699301646</v>
      </c>
      <c r="AL669">
        <v>2571.3179541073041</v>
      </c>
      <c r="AM669">
        <v>435.85080641610352</v>
      </c>
      <c r="AO669">
        <v>41460.815938009946</v>
      </c>
      <c r="AP669">
        <v>12.951617037651141</v>
      </c>
      <c r="AQ669">
        <v>47295.0865139284</v>
      </c>
      <c r="AR669">
        <v>13.079064349737974</v>
      </c>
      <c r="AS669" s="2">
        <f t="shared" si="71"/>
        <v>5834.2705759184537</v>
      </c>
      <c r="AT669" s="2">
        <f t="shared" si="72"/>
        <v>0.12744731208683291</v>
      </c>
      <c r="AV669">
        <f t="shared" si="73"/>
        <v>1253700.8878271042</v>
      </c>
      <c r="AW669">
        <f t="shared" si="74"/>
        <v>1260611.3484598692</v>
      </c>
      <c r="AY669">
        <f t="shared" si="75"/>
        <v>0</v>
      </c>
      <c r="AZ669">
        <f t="shared" si="76"/>
        <v>1</v>
      </c>
    </row>
    <row r="670" spans="1:52" x14ac:dyDescent="0.2">
      <c r="A670">
        <f t="shared" si="70"/>
        <v>666</v>
      </c>
      <c r="B670">
        <v>2.875445099956031E-2</v>
      </c>
      <c r="C670">
        <v>4.2007913127758201E-2</v>
      </c>
      <c r="D670">
        <v>2.5051288701477627E-2</v>
      </c>
      <c r="E670">
        <v>1.6718321550356463E-2</v>
      </c>
      <c r="F670">
        <v>3.3426441258795903E-3</v>
      </c>
      <c r="G670">
        <v>7.0049531762361936E-3</v>
      </c>
      <c r="H670">
        <v>1.5823165387056297E-2</v>
      </c>
      <c r="I670">
        <v>0.12259504839603499</v>
      </c>
      <c r="J670">
        <v>0</v>
      </c>
      <c r="K670">
        <v>0.45503581762471501</v>
      </c>
      <c r="L670">
        <v>0.19957163585616472</v>
      </c>
      <c r="M670">
        <v>0.80042836414383522</v>
      </c>
      <c r="N670">
        <v>4.4941757525767949E-2</v>
      </c>
      <c r="O670" s="72">
        <v>0.99821979114561299</v>
      </c>
      <c r="P670">
        <v>0.99590901029926471</v>
      </c>
      <c r="Q670">
        <v>0.94485698180003863</v>
      </c>
      <c r="R670">
        <v>0.45094938246370464</v>
      </c>
      <c r="S670">
        <v>0.34578285895397365</v>
      </c>
      <c r="T670">
        <v>0.20285870392183658</v>
      </c>
      <c r="U670">
        <v>0.77420142236987965</v>
      </c>
      <c r="V670">
        <v>0.73445606551600462</v>
      </c>
      <c r="W670">
        <v>0.55587591061006414</v>
      </c>
      <c r="X670">
        <v>0.41440889046538859</v>
      </c>
      <c r="Y670">
        <v>0.45015346537767864</v>
      </c>
      <c r="Z670">
        <v>0.42074130040768215</v>
      </c>
      <c r="AA670">
        <v>0.60457882896631332</v>
      </c>
      <c r="AB670">
        <v>0.87430669287010887</v>
      </c>
      <c r="AC670">
        <v>0.78445789866682014</v>
      </c>
      <c r="AD670">
        <v>0.71751162310460614</v>
      </c>
      <c r="AE670">
        <v>253.8340031485387</v>
      </c>
      <c r="AF670">
        <v>1101.4045659990984</v>
      </c>
      <c r="AG670">
        <v>1928.6846215457097</v>
      </c>
      <c r="AH670">
        <v>12765.848363663194</v>
      </c>
      <c r="AI670">
        <v>17318.41497934888</v>
      </c>
      <c r="AJ670">
        <v>41480.385517013114</v>
      </c>
      <c r="AK670">
        <v>14989.272247238794</v>
      </c>
      <c r="AL670">
        <v>1529.7148952789189</v>
      </c>
      <c r="AM670">
        <v>384.67819433985585</v>
      </c>
      <c r="AO670">
        <v>46783.321032948086</v>
      </c>
      <c r="AP670">
        <v>14.246614174096392</v>
      </c>
      <c r="AQ670">
        <v>46794.804040002797</v>
      </c>
      <c r="AR670">
        <v>14.533666674380719</v>
      </c>
      <c r="AS670" s="2">
        <f t="shared" si="71"/>
        <v>11.48300705471047</v>
      </c>
      <c r="AT670" s="2">
        <f t="shared" si="72"/>
        <v>0.28705250028432694</v>
      </c>
      <c r="AV670">
        <f t="shared" si="73"/>
        <v>1377878.096376691</v>
      </c>
      <c r="AW670">
        <f t="shared" si="74"/>
        <v>1406571.8633980691</v>
      </c>
      <c r="AY670">
        <f t="shared" si="75"/>
        <v>0</v>
      </c>
      <c r="AZ670">
        <f t="shared" si="76"/>
        <v>1</v>
      </c>
    </row>
    <row r="671" spans="1:52" x14ac:dyDescent="0.2">
      <c r="A671">
        <f t="shared" si="70"/>
        <v>667</v>
      </c>
      <c r="B671">
        <v>2.9604004977691223E-2</v>
      </c>
      <c r="C671">
        <v>4.0752083382820548E-2</v>
      </c>
      <c r="D671">
        <v>3.3766715134805121E-2</v>
      </c>
      <c r="E671">
        <v>4.5992382560342215E-2</v>
      </c>
      <c r="F671">
        <v>3.3743700091896089E-3</v>
      </c>
      <c r="G671">
        <v>1.7885028898140365E-2</v>
      </c>
      <c r="H671">
        <v>3.198417064161585E-2</v>
      </c>
      <c r="I671">
        <v>0.12467901508432816</v>
      </c>
      <c r="J671">
        <v>0</v>
      </c>
      <c r="K671">
        <v>0.49415042993834168</v>
      </c>
      <c r="L671">
        <v>0.20294541597503274</v>
      </c>
      <c r="M671">
        <v>0.79705458402496721</v>
      </c>
      <c r="N671">
        <v>4.7444346275554848E-2</v>
      </c>
      <c r="O671" s="72">
        <v>0.99494615591828717</v>
      </c>
      <c r="P671">
        <v>0.99999179865123033</v>
      </c>
      <c r="Q671">
        <v>0.99564056341499774</v>
      </c>
      <c r="R671">
        <v>0.56158255207003538</v>
      </c>
      <c r="S671">
        <v>0.38161964730721887</v>
      </c>
      <c r="T671">
        <v>0.14503320340538206</v>
      </c>
      <c r="U671">
        <v>0.78230117121575149</v>
      </c>
      <c r="V671">
        <v>0.60868916530967687</v>
      </c>
      <c r="W671">
        <v>0.53336639492880455</v>
      </c>
      <c r="X671">
        <v>0.4934959416150021</v>
      </c>
      <c r="Y671">
        <v>0.40402940056593972</v>
      </c>
      <c r="Z671">
        <v>0.43374304512609013</v>
      </c>
      <c r="AA671">
        <v>0.71417314976534452</v>
      </c>
      <c r="AB671">
        <v>0.80849964517792372</v>
      </c>
      <c r="AC671">
        <v>0.68075534302969065</v>
      </c>
      <c r="AD671">
        <v>0.60702866900873653</v>
      </c>
      <c r="AE671">
        <v>279.06171209288158</v>
      </c>
      <c r="AF671">
        <v>1175.5090196647811</v>
      </c>
      <c r="AG671">
        <v>1238.9236746905667</v>
      </c>
      <c r="AH671">
        <v>16265.85169856561</v>
      </c>
      <c r="AI671">
        <v>8220.3952967188179</v>
      </c>
      <c r="AJ671">
        <v>33517.782774386134</v>
      </c>
      <c r="AK671">
        <v>10053.542102860545</v>
      </c>
      <c r="AL671">
        <v>1987.322924775337</v>
      </c>
      <c r="AM671">
        <v>348.17099263437223</v>
      </c>
      <c r="AO671">
        <v>41351.05666312659</v>
      </c>
      <c r="AP671">
        <v>13.003020525330097</v>
      </c>
      <c r="AQ671">
        <v>45948.845985150889</v>
      </c>
      <c r="AR671">
        <v>13.286875416225019</v>
      </c>
      <c r="AS671" s="2">
        <f t="shared" si="71"/>
        <v>4597.7893220242986</v>
      </c>
      <c r="AT671" s="2">
        <f t="shared" si="72"/>
        <v>0.28385489089492211</v>
      </c>
      <c r="AV671">
        <f t="shared" si="73"/>
        <v>1258950.9958698831</v>
      </c>
      <c r="AW671">
        <f t="shared" si="74"/>
        <v>1282738.6956373509</v>
      </c>
      <c r="AY671">
        <f t="shared" si="75"/>
        <v>0</v>
      </c>
      <c r="AZ671">
        <f t="shared" si="76"/>
        <v>1</v>
      </c>
    </row>
    <row r="672" spans="1:52" x14ac:dyDescent="0.2">
      <c r="A672">
        <f t="shared" si="70"/>
        <v>668</v>
      </c>
      <c r="B672">
        <v>2.0202462152499039E-2</v>
      </c>
      <c r="C672">
        <v>2.3243278004714266E-2</v>
      </c>
      <c r="D672">
        <v>3.2628353718189972E-2</v>
      </c>
      <c r="E672">
        <v>5.001867857626738E-3</v>
      </c>
      <c r="F672">
        <v>3.3567498014183128E-3</v>
      </c>
      <c r="G672">
        <v>6.1478923292422952E-3</v>
      </c>
      <c r="H672">
        <v>4.6451623327504521E-2</v>
      </c>
      <c r="I672">
        <v>0.14619133094484793</v>
      </c>
      <c r="J672">
        <v>0</v>
      </c>
      <c r="K672">
        <v>0.42610095410459692</v>
      </c>
      <c r="L672">
        <v>0.19186889180762656</v>
      </c>
      <c r="M672">
        <v>0.80813110819237344</v>
      </c>
      <c r="N672">
        <v>5.9473466823279586E-2</v>
      </c>
      <c r="O672" s="72">
        <v>0.99971228897923703</v>
      </c>
      <c r="P672">
        <v>0.99966354604314833</v>
      </c>
      <c r="Q672">
        <v>0.96993768128678493</v>
      </c>
      <c r="R672">
        <v>0.47812142800900126</v>
      </c>
      <c r="S672">
        <v>0.37920221683930155</v>
      </c>
      <c r="T672">
        <v>0.29867901997628077</v>
      </c>
      <c r="U672">
        <v>0.78831859384123737</v>
      </c>
      <c r="V672">
        <v>0.62883191315775355</v>
      </c>
      <c r="W672">
        <v>0.59309467730365129</v>
      </c>
      <c r="X672">
        <v>0.44333105909874715</v>
      </c>
      <c r="Y672">
        <v>0.46746180663626924</v>
      </c>
      <c r="Z672">
        <v>0.44981629645481902</v>
      </c>
      <c r="AA672">
        <v>0.79483546099279001</v>
      </c>
      <c r="AB672">
        <v>0.83662610290501105</v>
      </c>
      <c r="AC672">
        <v>0.77196629383031046</v>
      </c>
      <c r="AD672">
        <v>0.61423810378854127</v>
      </c>
      <c r="AE672">
        <v>238.64094920802563</v>
      </c>
      <c r="AF672">
        <v>1067.3806902319161</v>
      </c>
      <c r="AG672">
        <v>2076.2215083540145</v>
      </c>
      <c r="AH672">
        <v>14080.135926867692</v>
      </c>
      <c r="AI672">
        <v>13687.182241034985</v>
      </c>
      <c r="AJ672">
        <v>35640.490130933853</v>
      </c>
      <c r="AK672">
        <v>14658.088263835665</v>
      </c>
      <c r="AL672">
        <v>2405.5346030695532</v>
      </c>
      <c r="AM672">
        <v>368.74598428143537</v>
      </c>
      <c r="AO672">
        <v>42750.537543798993</v>
      </c>
      <c r="AP672">
        <v>13.710982537814553</v>
      </c>
      <c r="AQ672">
        <v>46322.748118077907</v>
      </c>
      <c r="AR672">
        <v>13.85066138408993</v>
      </c>
      <c r="AS672" s="2">
        <f t="shared" si="71"/>
        <v>3572.2105742789136</v>
      </c>
      <c r="AT672" s="2">
        <f t="shared" si="72"/>
        <v>0.13967884627537686</v>
      </c>
      <c r="AV672">
        <f t="shared" si="73"/>
        <v>1328347.7162376563</v>
      </c>
      <c r="AW672">
        <f t="shared" si="74"/>
        <v>1338743.390290915</v>
      </c>
      <c r="AY672">
        <f t="shared" si="75"/>
        <v>0</v>
      </c>
      <c r="AZ672">
        <f t="shared" si="76"/>
        <v>1</v>
      </c>
    </row>
    <row r="673" spans="1:52" x14ac:dyDescent="0.2">
      <c r="A673">
        <f t="shared" si="70"/>
        <v>669</v>
      </c>
      <c r="B673">
        <v>2.3244989732042219E-2</v>
      </c>
      <c r="C673">
        <v>2.9037839125859423E-2</v>
      </c>
      <c r="D673">
        <v>2.6587398853576524E-2</v>
      </c>
      <c r="E673">
        <v>3.2159394095830078E-3</v>
      </c>
      <c r="F673">
        <v>3.2460143519510015E-3</v>
      </c>
      <c r="G673">
        <v>9.8776727396708251E-3</v>
      </c>
      <c r="H673">
        <v>2.9949588061225385E-2</v>
      </c>
      <c r="I673">
        <v>0.1186027729784358</v>
      </c>
      <c r="J673">
        <v>0</v>
      </c>
      <c r="K673">
        <v>0.47862792813596466</v>
      </c>
      <c r="L673">
        <v>0.17364237945084232</v>
      </c>
      <c r="M673">
        <v>0.82635762054915762</v>
      </c>
      <c r="N673">
        <v>4.6384594927696657E-2</v>
      </c>
      <c r="O673" s="72">
        <v>0.99999976385649447</v>
      </c>
      <c r="P673">
        <v>0.99984163678732496</v>
      </c>
      <c r="Q673">
        <v>0.97983366672540329</v>
      </c>
      <c r="R673">
        <v>0.50622967134042374</v>
      </c>
      <c r="S673">
        <v>0.32251031409561526</v>
      </c>
      <c r="T673">
        <v>0.17345942539887604</v>
      </c>
      <c r="U673">
        <v>0.77503308818968164</v>
      </c>
      <c r="V673">
        <v>0.63195433070744889</v>
      </c>
      <c r="W673">
        <v>0.5381526497669753</v>
      </c>
      <c r="X673">
        <v>0.43193484331132598</v>
      </c>
      <c r="Y673">
        <v>0.50169910462112322</v>
      </c>
      <c r="Z673">
        <v>0.44657562726072386</v>
      </c>
      <c r="AA673">
        <v>0.59473621066159421</v>
      </c>
      <c r="AB673">
        <v>0.84035925400304357</v>
      </c>
      <c r="AC673">
        <v>0.75734432081986724</v>
      </c>
      <c r="AD673">
        <v>0.59706575807271522</v>
      </c>
      <c r="AE673">
        <v>150.46031115581022</v>
      </c>
      <c r="AF673">
        <v>1153.3616927769192</v>
      </c>
      <c r="AG673">
        <v>953.32711125291007</v>
      </c>
      <c r="AH673">
        <v>9723.9813409120889</v>
      </c>
      <c r="AI673">
        <v>12433.237063086857</v>
      </c>
      <c r="AJ673">
        <v>32745.545829666869</v>
      </c>
      <c r="AK673">
        <v>12463.680024199701</v>
      </c>
      <c r="AL673">
        <v>2973.3802645281216</v>
      </c>
      <c r="AM673">
        <v>378.60874463531223</v>
      </c>
      <c r="AO673">
        <v>44358.815779539131</v>
      </c>
      <c r="AP673">
        <v>13.662603018472179</v>
      </c>
      <c r="AQ673">
        <v>46210.786348022331</v>
      </c>
      <c r="AR673">
        <v>13.853218611451815</v>
      </c>
      <c r="AS673" s="2">
        <f t="shared" si="71"/>
        <v>1851.9705684832006</v>
      </c>
      <c r="AT673" s="2">
        <f t="shared" si="72"/>
        <v>0.19061559297963626</v>
      </c>
      <c r="AV673">
        <f t="shared" si="73"/>
        <v>1321901.4860676788</v>
      </c>
      <c r="AW673">
        <f t="shared" si="74"/>
        <v>1339111.0747971593</v>
      </c>
      <c r="AY673">
        <f t="shared" si="75"/>
        <v>0</v>
      </c>
      <c r="AZ673">
        <f t="shared" si="76"/>
        <v>1</v>
      </c>
    </row>
    <row r="674" spans="1:52" x14ac:dyDescent="0.2">
      <c r="A674">
        <f t="shared" si="70"/>
        <v>670</v>
      </c>
      <c r="B674">
        <v>2.5399792379404484E-2</v>
      </c>
      <c r="C674">
        <v>4.2406635704460238E-2</v>
      </c>
      <c r="D674">
        <v>3.220977557284193E-2</v>
      </c>
      <c r="E674">
        <v>4.3364997469686362E-2</v>
      </c>
      <c r="F674">
        <v>3.1926349071278396E-3</v>
      </c>
      <c r="G674">
        <v>9.2681950972277483E-3</v>
      </c>
      <c r="H674">
        <v>3.4511916699698553E-2</v>
      </c>
      <c r="I674">
        <v>0.1355757011201616</v>
      </c>
      <c r="J674">
        <v>0</v>
      </c>
      <c r="K674">
        <v>0.38186040816907135</v>
      </c>
      <c r="L674">
        <v>0.18762493292325336</v>
      </c>
      <c r="M674">
        <v>0.81237506707674667</v>
      </c>
      <c r="N674">
        <v>5.0923947922937023E-2</v>
      </c>
      <c r="O674" s="72">
        <v>0.99376150822024512</v>
      </c>
      <c r="P674">
        <v>0.99440850117573687</v>
      </c>
      <c r="Q674">
        <v>0.9861984070427513</v>
      </c>
      <c r="R674">
        <v>0.4307247340430731</v>
      </c>
      <c r="S674">
        <v>0.38706440209100668</v>
      </c>
      <c r="T674">
        <v>0.24308819213361332</v>
      </c>
      <c r="U674">
        <v>0.7932297242327474</v>
      </c>
      <c r="V674">
        <v>0.62070668314423993</v>
      </c>
      <c r="W674">
        <v>0.56661155765800209</v>
      </c>
      <c r="X674">
        <v>0.46831916045525745</v>
      </c>
      <c r="Y674">
        <v>0.44415523033227522</v>
      </c>
      <c r="Z674">
        <v>0.54189650610605311</v>
      </c>
      <c r="AA674">
        <v>0.68692268628321129</v>
      </c>
      <c r="AB674">
        <v>0.80810096536289311</v>
      </c>
      <c r="AC674">
        <v>0.70067287676638679</v>
      </c>
      <c r="AD674">
        <v>0.62128288034219525</v>
      </c>
      <c r="AE674">
        <v>258.41067729808185</v>
      </c>
      <c r="AF674">
        <v>1098.0965671537601</v>
      </c>
      <c r="AG674">
        <v>1925.877742757184</v>
      </c>
      <c r="AH674">
        <v>12155.011753814109</v>
      </c>
      <c r="AI674">
        <v>10170.971529664474</v>
      </c>
      <c r="AJ674">
        <v>43545.081929527099</v>
      </c>
      <c r="AK674">
        <v>8658.3474907128675</v>
      </c>
      <c r="AL674">
        <v>2240.578899256951</v>
      </c>
      <c r="AM674">
        <v>395.76705946899108</v>
      </c>
      <c r="AO674">
        <v>46297.076919668805</v>
      </c>
      <c r="AP674">
        <v>13.118948552844518</v>
      </c>
      <c r="AQ674">
        <v>46843.049524219277</v>
      </c>
      <c r="AR674">
        <v>13.336506020382274</v>
      </c>
      <c r="AS674" s="2">
        <f t="shared" si="71"/>
        <v>545.97260455047217</v>
      </c>
      <c r="AT674" s="2">
        <f t="shared" si="72"/>
        <v>0.2175574675377554</v>
      </c>
      <c r="AV674">
        <f t="shared" si="73"/>
        <v>1265597.7783647829</v>
      </c>
      <c r="AW674">
        <f t="shared" si="74"/>
        <v>1286807.552514008</v>
      </c>
      <c r="AY674">
        <f t="shared" si="75"/>
        <v>0</v>
      </c>
      <c r="AZ674">
        <f t="shared" si="76"/>
        <v>1</v>
      </c>
    </row>
    <row r="675" spans="1:52" x14ac:dyDescent="0.2">
      <c r="A675">
        <f t="shared" si="70"/>
        <v>671</v>
      </c>
      <c r="B675">
        <v>2.1176962861668116E-2</v>
      </c>
      <c r="C675">
        <v>3.5446051777778424E-2</v>
      </c>
      <c r="D675">
        <v>4.2759603364010856E-2</v>
      </c>
      <c r="E675">
        <v>2.3876211732456798E-2</v>
      </c>
      <c r="F675">
        <v>3.3613060469871447E-3</v>
      </c>
      <c r="G675">
        <v>7.0942933566700006E-3</v>
      </c>
      <c r="H675">
        <v>3.0528209874419954E-2</v>
      </c>
      <c r="I675">
        <v>0.13728633722815786</v>
      </c>
      <c r="J675">
        <v>0</v>
      </c>
      <c r="K675">
        <v>0.40175687108639269</v>
      </c>
      <c r="L675">
        <v>0.25765720361540934</v>
      </c>
      <c r="M675">
        <v>0.74234279638459066</v>
      </c>
      <c r="N675">
        <v>3.7106675583624023E-2</v>
      </c>
      <c r="O675" s="72">
        <v>0.9999683549163233</v>
      </c>
      <c r="P675">
        <v>0.99937615580339512</v>
      </c>
      <c r="Q675">
        <v>0.96438701704051633</v>
      </c>
      <c r="R675">
        <v>0.45401738906533395</v>
      </c>
      <c r="S675">
        <v>0.47293865698437854</v>
      </c>
      <c r="T675">
        <v>0.19259218509356535</v>
      </c>
      <c r="U675">
        <v>0.76699166065568969</v>
      </c>
      <c r="V675">
        <v>0.65301867928880064</v>
      </c>
      <c r="W675">
        <v>0.56756599216144132</v>
      </c>
      <c r="X675">
        <v>0.41727262572087825</v>
      </c>
      <c r="Y675">
        <v>0.45977000476437524</v>
      </c>
      <c r="Z675">
        <v>0.4364110089565903</v>
      </c>
      <c r="AA675">
        <v>0.6881046136527158</v>
      </c>
      <c r="AB675">
        <v>0.85513854505674103</v>
      </c>
      <c r="AC675">
        <v>0.77102468639794697</v>
      </c>
      <c r="AD675">
        <v>0.64248552428029737</v>
      </c>
      <c r="AE675">
        <v>233.11278986028194</v>
      </c>
      <c r="AF675">
        <v>1018.5007892593522</v>
      </c>
      <c r="AG675">
        <v>1246.622408134396</v>
      </c>
      <c r="AH675">
        <v>12855.249379723795</v>
      </c>
      <c r="AI675">
        <v>14386.94093775737</v>
      </c>
      <c r="AJ675">
        <v>43278.952168322656</v>
      </c>
      <c r="AK675">
        <v>11735.986477436683</v>
      </c>
      <c r="AL675">
        <v>1372.9285979171466</v>
      </c>
      <c r="AM675">
        <v>394.68179218763021</v>
      </c>
      <c r="AO675">
        <v>44969.318283626846</v>
      </c>
      <c r="AP675">
        <v>13.866660251427387</v>
      </c>
      <c r="AQ675">
        <v>46663.855216117976</v>
      </c>
      <c r="AR675">
        <v>14.142051046046323</v>
      </c>
      <c r="AS675" s="2">
        <f t="shared" si="71"/>
        <v>1694.5369324911298</v>
      </c>
      <c r="AT675" s="2">
        <f t="shared" si="72"/>
        <v>0.27539079461893579</v>
      </c>
      <c r="AV675">
        <f t="shared" si="73"/>
        <v>1341696.7068591118</v>
      </c>
      <c r="AW675">
        <f t="shared" si="74"/>
        <v>1367541.2493885143</v>
      </c>
      <c r="AY675">
        <f t="shared" si="75"/>
        <v>0</v>
      </c>
      <c r="AZ675">
        <f t="shared" si="76"/>
        <v>1</v>
      </c>
    </row>
    <row r="676" spans="1:52" x14ac:dyDescent="0.2">
      <c r="A676">
        <f t="shared" si="70"/>
        <v>672</v>
      </c>
      <c r="B676">
        <v>2.6857036334312578E-2</v>
      </c>
      <c r="C676">
        <v>4.384983561441802E-2</v>
      </c>
      <c r="D676">
        <v>3.5690176715451521E-2</v>
      </c>
      <c r="E676">
        <v>9.9291495275167351E-3</v>
      </c>
      <c r="F676">
        <v>3.3692309983437418E-3</v>
      </c>
      <c r="G676">
        <v>1.42615967780233E-2</v>
      </c>
      <c r="H676">
        <v>1.8778700411410137E-2</v>
      </c>
      <c r="I676">
        <v>0.13904921799783454</v>
      </c>
      <c r="J676">
        <v>0</v>
      </c>
      <c r="K676">
        <v>0.46741648230856991</v>
      </c>
      <c r="L676">
        <v>0.26126795853163398</v>
      </c>
      <c r="M676">
        <v>0.73873204146836602</v>
      </c>
      <c r="N676">
        <v>4.7026423713152146E-2</v>
      </c>
      <c r="O676" s="72">
        <v>0.99957537224951576</v>
      </c>
      <c r="P676">
        <v>0.99257320375648117</v>
      </c>
      <c r="Q676">
        <v>0.93616743033652328</v>
      </c>
      <c r="R676">
        <v>0.4555875189451436</v>
      </c>
      <c r="S676">
        <v>0.29535610310214799</v>
      </c>
      <c r="T676">
        <v>0.20100403646338227</v>
      </c>
      <c r="U676">
        <v>0.7834140935125713</v>
      </c>
      <c r="V676">
        <v>0.58318444187694107</v>
      </c>
      <c r="W676">
        <v>0.52385546057927534</v>
      </c>
      <c r="X676">
        <v>0.44763498648576644</v>
      </c>
      <c r="Y676">
        <v>0.45133119130752375</v>
      </c>
      <c r="Z676">
        <v>0.48195081686707275</v>
      </c>
      <c r="AA676">
        <v>0.71580998048326994</v>
      </c>
      <c r="AB676">
        <v>0.79796321191243813</v>
      </c>
      <c r="AC676">
        <v>0.69626020032151725</v>
      </c>
      <c r="AD676">
        <v>0.55449706777627639</v>
      </c>
      <c r="AE676">
        <v>242.26624718219213</v>
      </c>
      <c r="AF676">
        <v>1161.9730081162179</v>
      </c>
      <c r="AG676">
        <v>1345.2420837126706</v>
      </c>
      <c r="AH676">
        <v>12138.497397505782</v>
      </c>
      <c r="AI676">
        <v>9073.6454071989483</v>
      </c>
      <c r="AJ676">
        <v>44891.606637327233</v>
      </c>
      <c r="AK676">
        <v>13473.979947808362</v>
      </c>
      <c r="AL676">
        <v>1075.2093908312463</v>
      </c>
      <c r="AM676">
        <v>270.12801661195397</v>
      </c>
      <c r="AO676">
        <v>45469.45382370265</v>
      </c>
      <c r="AP676">
        <v>12.899332886803972</v>
      </c>
      <c r="AQ676">
        <v>45033.551088066561</v>
      </c>
      <c r="AR676">
        <v>13.092972189701094</v>
      </c>
      <c r="AS676" s="2">
        <f t="shared" si="71"/>
        <v>-435.90273563608935</v>
      </c>
      <c r="AT676" s="2">
        <f t="shared" si="72"/>
        <v>0.19363930289712172</v>
      </c>
      <c r="AV676">
        <f t="shared" si="73"/>
        <v>1244463.8348566946</v>
      </c>
      <c r="AW676">
        <f t="shared" si="74"/>
        <v>1264263.6678820427</v>
      </c>
      <c r="AY676">
        <f t="shared" si="75"/>
        <v>0</v>
      </c>
      <c r="AZ676">
        <f t="shared" si="76"/>
        <v>1</v>
      </c>
    </row>
    <row r="677" spans="1:52" x14ac:dyDescent="0.2">
      <c r="A677">
        <f t="shared" si="70"/>
        <v>673</v>
      </c>
      <c r="B677">
        <v>1.7044591187801619E-2</v>
      </c>
      <c r="C677">
        <v>3.5547638204406033E-2</v>
      </c>
      <c r="D677">
        <v>5.5493821133958177E-2</v>
      </c>
      <c r="E677">
        <v>2.8067829094686747E-2</v>
      </c>
      <c r="F677">
        <v>3.3561931609161766E-3</v>
      </c>
      <c r="G677">
        <v>6.0754014965924358E-3</v>
      </c>
      <c r="H677">
        <v>3.7741192317006789E-2</v>
      </c>
      <c r="I677">
        <v>0.13296000757843973</v>
      </c>
      <c r="J677">
        <v>0</v>
      </c>
      <c r="K677">
        <v>0.41316466078266656</v>
      </c>
      <c r="L677">
        <v>0.27451450992468251</v>
      </c>
      <c r="M677">
        <v>0.72548549007531749</v>
      </c>
      <c r="N677">
        <v>6.2787887495306394E-2</v>
      </c>
      <c r="O677" s="72">
        <v>0.9999999996969442</v>
      </c>
      <c r="P677">
        <v>0.9832568449295731</v>
      </c>
      <c r="Q677">
        <v>0.92978628844901812</v>
      </c>
      <c r="R677">
        <v>0.44841476848787809</v>
      </c>
      <c r="S677">
        <v>0.39947990594940364</v>
      </c>
      <c r="T677">
        <v>0.16636509670802613</v>
      </c>
      <c r="U677">
        <v>0.76533825553937096</v>
      </c>
      <c r="V677">
        <v>0.65169157677942002</v>
      </c>
      <c r="W677">
        <v>0.54980301977491064</v>
      </c>
      <c r="X677">
        <v>0.46293131454724568</v>
      </c>
      <c r="Y677">
        <v>0.44053635401002611</v>
      </c>
      <c r="Z677">
        <v>0.43107512183362329</v>
      </c>
      <c r="AA677">
        <v>0.72436175759391286</v>
      </c>
      <c r="AB677">
        <v>0.8272159381831995</v>
      </c>
      <c r="AC677">
        <v>0.65919726403186496</v>
      </c>
      <c r="AD677">
        <v>0.54968403912189934</v>
      </c>
      <c r="AE677">
        <v>181.26462109899575</v>
      </c>
      <c r="AF677">
        <v>944.88267795303398</v>
      </c>
      <c r="AG677">
        <v>1480.0834165934439</v>
      </c>
      <c r="AH677">
        <v>12480.083368054755</v>
      </c>
      <c r="AI677">
        <v>10956.991271193858</v>
      </c>
      <c r="AJ677">
        <v>40183.571185984372</v>
      </c>
      <c r="AK677">
        <v>9941.2295228202238</v>
      </c>
      <c r="AL677">
        <v>2400.7618031583957</v>
      </c>
      <c r="AM677">
        <v>389.3082841056189</v>
      </c>
      <c r="AO677">
        <v>46378.053971783287</v>
      </c>
      <c r="AP677">
        <v>13.174673609786115</v>
      </c>
      <c r="AQ677">
        <v>47179.227839658939</v>
      </c>
      <c r="AR677">
        <v>13.423666068662795</v>
      </c>
      <c r="AS677" s="2">
        <f t="shared" si="71"/>
        <v>801.17386787565192</v>
      </c>
      <c r="AT677" s="2">
        <f t="shared" si="72"/>
        <v>0.24899245887668009</v>
      </c>
      <c r="AV677">
        <f t="shared" si="73"/>
        <v>1271089.3070068283</v>
      </c>
      <c r="AW677">
        <f t="shared" si="74"/>
        <v>1295187.3790266206</v>
      </c>
      <c r="AY677">
        <f t="shared" si="75"/>
        <v>0</v>
      </c>
      <c r="AZ677">
        <f t="shared" si="76"/>
        <v>1</v>
      </c>
    </row>
    <row r="678" spans="1:52" x14ac:dyDescent="0.2">
      <c r="A678">
        <f t="shared" si="70"/>
        <v>674</v>
      </c>
      <c r="B678">
        <v>2.5106814040157355E-2</v>
      </c>
      <c r="C678">
        <v>3.9372939807869489E-2</v>
      </c>
      <c r="D678">
        <v>3.0626222470871333E-2</v>
      </c>
      <c r="E678">
        <v>7.1336600451334612E-3</v>
      </c>
      <c r="F678">
        <v>3.2964538953299352E-3</v>
      </c>
      <c r="G678">
        <v>4.3427929795002611E-3</v>
      </c>
      <c r="H678">
        <v>2.2010924437374232E-2</v>
      </c>
      <c r="I678">
        <v>0.13314500833376308</v>
      </c>
      <c r="J678">
        <v>0</v>
      </c>
      <c r="K678">
        <v>0.42870651862246006</v>
      </c>
      <c r="L678">
        <v>0.23107268714863038</v>
      </c>
      <c r="M678">
        <v>0.76892731285136962</v>
      </c>
      <c r="N678">
        <v>4.8746430989446712E-2</v>
      </c>
      <c r="O678" s="72">
        <v>0.99983765928364454</v>
      </c>
      <c r="P678">
        <v>0.96830758321122157</v>
      </c>
      <c r="Q678">
        <v>0.82477741332775756</v>
      </c>
      <c r="R678">
        <v>0.50490586431108464</v>
      </c>
      <c r="S678">
        <v>0.3152862381221897</v>
      </c>
      <c r="T678">
        <v>0.27667499750409064</v>
      </c>
      <c r="U678">
        <v>0.73718693110351252</v>
      </c>
      <c r="V678">
        <v>0.64989398509028984</v>
      </c>
      <c r="W678">
        <v>0.56109882430365676</v>
      </c>
      <c r="X678">
        <v>0.46748952222818629</v>
      </c>
      <c r="Y678">
        <v>0.43918501146724437</v>
      </c>
      <c r="Z678">
        <v>0.48474824158646368</v>
      </c>
      <c r="AA678">
        <v>0.70843893469655317</v>
      </c>
      <c r="AB678">
        <v>0.75411806166070949</v>
      </c>
      <c r="AC678">
        <v>0.70595309451548527</v>
      </c>
      <c r="AD678">
        <v>0.61831547027403722</v>
      </c>
      <c r="AE678">
        <v>249.00205415156651</v>
      </c>
      <c r="AF678">
        <v>1086.0107354965753</v>
      </c>
      <c r="AG678">
        <v>1621.6525982465953</v>
      </c>
      <c r="AH678">
        <v>10820.578999422567</v>
      </c>
      <c r="AI678">
        <v>10114.437284248681</v>
      </c>
      <c r="AJ678">
        <v>49685.300241083503</v>
      </c>
      <c r="AK678">
        <v>20933.567898221885</v>
      </c>
      <c r="AL678">
        <v>2767.1741437715709</v>
      </c>
      <c r="AM678">
        <v>231.90442985028014</v>
      </c>
      <c r="AO678">
        <v>40544.854354523442</v>
      </c>
      <c r="AP678">
        <v>12.477107153082009</v>
      </c>
      <c r="AQ678">
        <v>45700.16015346357</v>
      </c>
      <c r="AR678">
        <v>12.587042404212312</v>
      </c>
      <c r="AS678" s="2">
        <f t="shared" si="71"/>
        <v>5155.3057989401277</v>
      </c>
      <c r="AT678" s="2">
        <f t="shared" si="72"/>
        <v>0.10993525113030245</v>
      </c>
      <c r="AV678">
        <f t="shared" si="73"/>
        <v>1207165.8609536777</v>
      </c>
      <c r="AW678">
        <f t="shared" si="74"/>
        <v>1213004.0802677677</v>
      </c>
      <c r="AY678">
        <f t="shared" si="75"/>
        <v>0</v>
      </c>
      <c r="AZ678">
        <f t="shared" si="76"/>
        <v>1</v>
      </c>
    </row>
    <row r="679" spans="1:52" x14ac:dyDescent="0.2">
      <c r="A679">
        <f t="shared" si="70"/>
        <v>675</v>
      </c>
      <c r="B679">
        <v>2.439049944174549E-2</v>
      </c>
      <c r="C679">
        <v>4.2725422684929071E-2</v>
      </c>
      <c r="D679">
        <v>3.3528846312087857E-2</v>
      </c>
      <c r="E679">
        <v>1.4320765671163471E-2</v>
      </c>
      <c r="F679">
        <v>3.3104696060581797E-3</v>
      </c>
      <c r="G679">
        <v>8.6439430864312227E-3</v>
      </c>
      <c r="H679">
        <v>1.4768713887370759E-2</v>
      </c>
      <c r="I679">
        <v>0.11469895362125843</v>
      </c>
      <c r="J679">
        <v>0</v>
      </c>
      <c r="K679">
        <v>0.40342518816636119</v>
      </c>
      <c r="L679">
        <v>0.21441504647999521</v>
      </c>
      <c r="M679">
        <v>0.78558495352000479</v>
      </c>
      <c r="N679">
        <v>6.4792149204824678E-2</v>
      </c>
      <c r="O679" s="72">
        <v>0.9999378828514115</v>
      </c>
      <c r="P679">
        <v>0.99941985295565061</v>
      </c>
      <c r="Q679">
        <v>0.98195046536111652</v>
      </c>
      <c r="R679">
        <v>0.48879849094035066</v>
      </c>
      <c r="S679">
        <v>0.36065329467492957</v>
      </c>
      <c r="T679">
        <v>0.22489387203074651</v>
      </c>
      <c r="U679">
        <v>0.7493966928124588</v>
      </c>
      <c r="V679">
        <v>0.65153978887454223</v>
      </c>
      <c r="W679">
        <v>0.61081205407062877</v>
      </c>
      <c r="X679">
        <v>0.46829067853314288</v>
      </c>
      <c r="Y679">
        <v>0.48139636426412269</v>
      </c>
      <c r="Z679">
        <v>0.46430717842852043</v>
      </c>
      <c r="AA679">
        <v>0.58660275010765195</v>
      </c>
      <c r="AB679">
        <v>0.77175601836215713</v>
      </c>
      <c r="AC679">
        <v>0.7258284506446796</v>
      </c>
      <c r="AD679">
        <v>0.59135532441052518</v>
      </c>
      <c r="AE679">
        <v>281.29254135938186</v>
      </c>
      <c r="AF679">
        <v>1035.8926177318851</v>
      </c>
      <c r="AG679">
        <v>1960.6381725893893</v>
      </c>
      <c r="AH679">
        <v>18079.782210417667</v>
      </c>
      <c r="AI679">
        <v>13873.522031230184</v>
      </c>
      <c r="AJ679">
        <v>42693.34317038118</v>
      </c>
      <c r="AK679">
        <v>14062.828490631058</v>
      </c>
      <c r="AL679">
        <v>1825.8949969289843</v>
      </c>
      <c r="AM679">
        <v>515.84539193852515</v>
      </c>
      <c r="AO679">
        <v>46331.11352902709</v>
      </c>
      <c r="AP679">
        <v>12.700742225536976</v>
      </c>
      <c r="AQ679">
        <v>48750.991472568552</v>
      </c>
      <c r="AR679">
        <v>12.836963973000643</v>
      </c>
      <c r="AS679" s="2">
        <f t="shared" si="71"/>
        <v>2419.8779435414617</v>
      </c>
      <c r="AT679" s="2">
        <f t="shared" si="72"/>
        <v>0.13622174746366689</v>
      </c>
      <c r="AV679">
        <f t="shared" si="73"/>
        <v>1223743.1090246704</v>
      </c>
      <c r="AW679">
        <f t="shared" si="74"/>
        <v>1234945.4058274957</v>
      </c>
      <c r="AY679">
        <f t="shared" si="75"/>
        <v>0</v>
      </c>
      <c r="AZ679">
        <f t="shared" si="76"/>
        <v>1</v>
      </c>
    </row>
    <row r="680" spans="1:52" x14ac:dyDescent="0.2">
      <c r="A680">
        <f t="shared" si="70"/>
        <v>676</v>
      </c>
      <c r="B680">
        <v>2.476064430483934E-2</v>
      </c>
      <c r="C680">
        <v>3.3011122622050935E-2</v>
      </c>
      <c r="D680">
        <v>3.2157562942953279E-2</v>
      </c>
      <c r="E680">
        <v>2.57683125955439E-3</v>
      </c>
      <c r="F680">
        <v>3.3809768653064731E-3</v>
      </c>
      <c r="G680">
        <v>3.1437966995292888E-2</v>
      </c>
      <c r="H680">
        <v>2.0129389925033738E-2</v>
      </c>
      <c r="I680">
        <v>0.12302595157310667</v>
      </c>
      <c r="J680">
        <v>0</v>
      </c>
      <c r="K680">
        <v>0.42906380121452559</v>
      </c>
      <c r="L680">
        <v>0.19958515964000847</v>
      </c>
      <c r="M680">
        <v>0.80041484035999155</v>
      </c>
      <c r="N680">
        <v>6.232159970369644E-2</v>
      </c>
      <c r="O680" s="72">
        <v>0.99973018698160199</v>
      </c>
      <c r="P680">
        <v>0.99691683348909077</v>
      </c>
      <c r="Q680">
        <v>0.99703054588428042</v>
      </c>
      <c r="R680">
        <v>0.49416935609812607</v>
      </c>
      <c r="S680">
        <v>0.43540421920421413</v>
      </c>
      <c r="T680">
        <v>0.20923619229608958</v>
      </c>
      <c r="U680">
        <v>0.75946605125880706</v>
      </c>
      <c r="V680">
        <v>0.62495620149988462</v>
      </c>
      <c r="W680">
        <v>0.57713401521376695</v>
      </c>
      <c r="X680">
        <v>0.50964945002636752</v>
      </c>
      <c r="Y680">
        <v>0.46408384380881751</v>
      </c>
      <c r="Z680">
        <v>0.45254746998180129</v>
      </c>
      <c r="AA680">
        <v>0.69227601614919587</v>
      </c>
      <c r="AB680">
        <v>0.8052800766410585</v>
      </c>
      <c r="AC680">
        <v>0.64799175434061007</v>
      </c>
      <c r="AD680">
        <v>0.56157330154941376</v>
      </c>
      <c r="AE680">
        <v>257.55867354285095</v>
      </c>
      <c r="AF680">
        <v>1032.2717277167528</v>
      </c>
      <c r="AG680">
        <v>1925.409849168353</v>
      </c>
      <c r="AH680">
        <v>14779.586336864773</v>
      </c>
      <c r="AI680">
        <v>13797.126245900827</v>
      </c>
      <c r="AJ680">
        <v>48304.978002420998</v>
      </c>
      <c r="AK680">
        <v>14640.280930056455</v>
      </c>
      <c r="AL680">
        <v>2567.233968016712</v>
      </c>
      <c r="AM680">
        <v>307.6302376689805</v>
      </c>
      <c r="AO680">
        <v>42211.106437562739</v>
      </c>
      <c r="AP680">
        <v>12.979336757422868</v>
      </c>
      <c r="AQ680">
        <v>45387.682695443269</v>
      </c>
      <c r="AR680">
        <v>13.120164605467078</v>
      </c>
      <c r="AS680" s="2">
        <f t="shared" si="71"/>
        <v>3176.5762578805297</v>
      </c>
      <c r="AT680" s="2">
        <f t="shared" si="72"/>
        <v>0.14082784804421067</v>
      </c>
      <c r="AV680">
        <f t="shared" si="73"/>
        <v>1255722.569304724</v>
      </c>
      <c r="AW680">
        <f t="shared" si="74"/>
        <v>1266628.7778512645</v>
      </c>
      <c r="AY680">
        <f t="shared" si="75"/>
        <v>0</v>
      </c>
      <c r="AZ680">
        <f t="shared" si="76"/>
        <v>1</v>
      </c>
    </row>
    <row r="681" spans="1:52" x14ac:dyDescent="0.2">
      <c r="A681">
        <f t="shared" si="70"/>
        <v>677</v>
      </c>
      <c r="B681">
        <v>2.2002655995653642E-2</v>
      </c>
      <c r="C681">
        <v>3.2293211924131121E-2</v>
      </c>
      <c r="D681">
        <v>3.4794569231539958E-2</v>
      </c>
      <c r="E681">
        <v>1.4199826543049965E-2</v>
      </c>
      <c r="F681">
        <v>3.3093845556931693E-3</v>
      </c>
      <c r="G681">
        <v>1.7898445193299738E-3</v>
      </c>
      <c r="H681">
        <v>5.8600942009703227E-2</v>
      </c>
      <c r="I681">
        <v>0.11937880484515009</v>
      </c>
      <c r="J681">
        <v>0</v>
      </c>
      <c r="K681">
        <v>0.43962255285549412</v>
      </c>
      <c r="L681">
        <v>0.22750379955860489</v>
      </c>
      <c r="M681">
        <v>0.77249620044139511</v>
      </c>
      <c r="N681">
        <v>5.3929171826427966E-2</v>
      </c>
      <c r="O681" s="72">
        <v>0.99919321484283874</v>
      </c>
      <c r="P681">
        <v>0.99859377797950932</v>
      </c>
      <c r="Q681">
        <v>0.96769209019965474</v>
      </c>
      <c r="R681">
        <v>0.46427549490458431</v>
      </c>
      <c r="S681">
        <v>0.4317612240382559</v>
      </c>
      <c r="T681">
        <v>0.32919200796863157</v>
      </c>
      <c r="U681">
        <v>0.75235446293707087</v>
      </c>
      <c r="V681">
        <v>0.60729968390587385</v>
      </c>
      <c r="W681">
        <v>0.52329022239827827</v>
      </c>
      <c r="X681">
        <v>0.38228874893668485</v>
      </c>
      <c r="Y681">
        <v>0.47750581370291134</v>
      </c>
      <c r="Z681">
        <v>0.47023871725117539</v>
      </c>
      <c r="AA681">
        <v>0.69472136497910075</v>
      </c>
      <c r="AB681">
        <v>0.82132082263622141</v>
      </c>
      <c r="AC681">
        <v>0.74306192828735396</v>
      </c>
      <c r="AD681">
        <v>0.67681377053326242</v>
      </c>
      <c r="AE681">
        <v>185.99116187228441</v>
      </c>
      <c r="AF681">
        <v>1005.0149833219431</v>
      </c>
      <c r="AG681">
        <v>1626.896498495217</v>
      </c>
      <c r="AH681">
        <v>11759.711603042402</v>
      </c>
      <c r="AI681">
        <v>11519.363946690435</v>
      </c>
      <c r="AJ681">
        <v>36728.087184363547</v>
      </c>
      <c r="AK681">
        <v>14322.088873406408</v>
      </c>
      <c r="AL681">
        <v>1337.0241988389839</v>
      </c>
      <c r="AM681">
        <v>372.70209182274971</v>
      </c>
      <c r="AO681">
        <v>42313.730852610512</v>
      </c>
      <c r="AP681">
        <v>13.482235049090654</v>
      </c>
      <c r="AQ681">
        <v>46320.65030215474</v>
      </c>
      <c r="AR681">
        <v>13.671285113216531</v>
      </c>
      <c r="AS681" s="2">
        <f t="shared" si="71"/>
        <v>4006.919449544228</v>
      </c>
      <c r="AT681" s="2">
        <f t="shared" si="72"/>
        <v>0.1890500641258761</v>
      </c>
      <c r="AV681">
        <f t="shared" si="73"/>
        <v>1305909.7740564551</v>
      </c>
      <c r="AW681">
        <f t="shared" si="74"/>
        <v>1320807.8610194984</v>
      </c>
      <c r="AY681">
        <f t="shared" si="75"/>
        <v>0</v>
      </c>
      <c r="AZ681">
        <f t="shared" si="76"/>
        <v>1</v>
      </c>
    </row>
    <row r="682" spans="1:52" x14ac:dyDescent="0.2">
      <c r="A682">
        <f t="shared" si="70"/>
        <v>678</v>
      </c>
      <c r="B682">
        <v>1.6642451657456172E-2</v>
      </c>
      <c r="C682">
        <v>4.968552681357008E-2</v>
      </c>
      <c r="D682">
        <v>2.8567328168800019E-2</v>
      </c>
      <c r="E682">
        <v>1.5092120370902462E-2</v>
      </c>
      <c r="F682">
        <v>3.3261901620739169E-3</v>
      </c>
      <c r="G682">
        <v>4.149143952732276E-3</v>
      </c>
      <c r="H682">
        <v>2.67990405530962E-2</v>
      </c>
      <c r="I682">
        <v>0.12524532910059238</v>
      </c>
      <c r="J682">
        <v>0</v>
      </c>
      <c r="K682">
        <v>0.42728126217820123</v>
      </c>
      <c r="L682">
        <v>0.17629491886974949</v>
      </c>
      <c r="M682">
        <v>0.82370508113025054</v>
      </c>
      <c r="N682">
        <v>6.65875384950817E-2</v>
      </c>
      <c r="O682" s="72">
        <v>0.99976923060620448</v>
      </c>
      <c r="P682">
        <v>0.99918325859956347</v>
      </c>
      <c r="Q682">
        <v>0.99833236608498588</v>
      </c>
      <c r="R682">
        <v>0.50085814712447674</v>
      </c>
      <c r="S682">
        <v>0.40301534381756066</v>
      </c>
      <c r="T682">
        <v>0.25427409460322248</v>
      </c>
      <c r="U682">
        <v>0.78567487610825948</v>
      </c>
      <c r="V682">
        <v>0.65220789207583729</v>
      </c>
      <c r="W682">
        <v>0.54944990470477317</v>
      </c>
      <c r="X682">
        <v>0.49343483465877447</v>
      </c>
      <c r="Y682">
        <v>0.42415483982330698</v>
      </c>
      <c r="Z682">
        <v>0.43084312623455823</v>
      </c>
      <c r="AA682">
        <v>0.60964950850794664</v>
      </c>
      <c r="AB682">
        <v>0.77864546178859717</v>
      </c>
      <c r="AC682">
        <v>0.65663089109342265</v>
      </c>
      <c r="AD682">
        <v>0.67012039347005592</v>
      </c>
      <c r="AE682">
        <v>231.46853984778849</v>
      </c>
      <c r="AF682">
        <v>928.33415712273609</v>
      </c>
      <c r="AG682">
        <v>1688.9160284703364</v>
      </c>
      <c r="AH682">
        <v>13149.794106246753</v>
      </c>
      <c r="AI682">
        <v>9567.0593043958124</v>
      </c>
      <c r="AJ682">
        <v>40020.781942272806</v>
      </c>
      <c r="AK682">
        <v>21386.374773734482</v>
      </c>
      <c r="AL682">
        <v>2288.6023398419857</v>
      </c>
      <c r="AM682">
        <v>427.74636632569008</v>
      </c>
      <c r="AO682">
        <v>42739.056987502336</v>
      </c>
      <c r="AP682">
        <v>12.797273944480438</v>
      </c>
      <c r="AQ682">
        <v>47123.360828285447</v>
      </c>
      <c r="AR682">
        <v>12.915926153294881</v>
      </c>
      <c r="AS682" s="2">
        <f t="shared" si="71"/>
        <v>4384.3038407831118</v>
      </c>
      <c r="AT682" s="2">
        <f t="shared" si="72"/>
        <v>0.11865220881444394</v>
      </c>
      <c r="AV682">
        <f t="shared" si="73"/>
        <v>1236988.3374605414</v>
      </c>
      <c r="AW682">
        <f t="shared" si="74"/>
        <v>1244469.2545012028</v>
      </c>
      <c r="AY682">
        <f t="shared" si="75"/>
        <v>0</v>
      </c>
      <c r="AZ682">
        <f t="shared" si="76"/>
        <v>1</v>
      </c>
    </row>
    <row r="683" spans="1:52" x14ac:dyDescent="0.2">
      <c r="A683">
        <f t="shared" si="70"/>
        <v>679</v>
      </c>
      <c r="B683">
        <v>1.798096627327057E-2</v>
      </c>
      <c r="C683">
        <v>5.2504098367814112E-2</v>
      </c>
      <c r="D683">
        <v>4.125034245353254E-2</v>
      </c>
      <c r="E683">
        <v>1.2974649736736171E-3</v>
      </c>
      <c r="F683">
        <v>3.3649537704890653E-3</v>
      </c>
      <c r="G683">
        <v>2.4385122909873158E-2</v>
      </c>
      <c r="H683">
        <v>2.9471279300361086E-2</v>
      </c>
      <c r="I683">
        <v>0.11326932628130301</v>
      </c>
      <c r="J683">
        <v>0</v>
      </c>
      <c r="K683">
        <v>0.44397544541173717</v>
      </c>
      <c r="L683">
        <v>0.27946850765096509</v>
      </c>
      <c r="M683">
        <v>0.72053149234903491</v>
      </c>
      <c r="N683">
        <v>7.8257584940724101E-2</v>
      </c>
      <c r="O683" s="72">
        <v>0.99497698271834312</v>
      </c>
      <c r="P683">
        <v>0.94832325847716559</v>
      </c>
      <c r="Q683">
        <v>0.97938319004535124</v>
      </c>
      <c r="R683">
        <v>0.50227732797942337</v>
      </c>
      <c r="S683">
        <v>0.40709456742210137</v>
      </c>
      <c r="T683">
        <v>0.24639911465202047</v>
      </c>
      <c r="U683">
        <v>0.77109476810032573</v>
      </c>
      <c r="V683">
        <v>0.70781134576779103</v>
      </c>
      <c r="W683">
        <v>0.46813435822421334</v>
      </c>
      <c r="X683">
        <v>0.47838834302926803</v>
      </c>
      <c r="Y683">
        <v>0.45058518227138333</v>
      </c>
      <c r="Z683">
        <v>0.3915718942536448</v>
      </c>
      <c r="AA683">
        <v>0.69799050108803529</v>
      </c>
      <c r="AB683">
        <v>0.8231920307228543</v>
      </c>
      <c r="AC683">
        <v>0.77372093200642966</v>
      </c>
      <c r="AD683">
        <v>0.63113593164133241</v>
      </c>
      <c r="AE683">
        <v>185.75519199803517</v>
      </c>
      <c r="AF683">
        <v>1100.6223921537494</v>
      </c>
      <c r="AG683">
        <v>1250.8613743156486</v>
      </c>
      <c r="AH683">
        <v>13560.599808518771</v>
      </c>
      <c r="AI683">
        <v>16294.968532316265</v>
      </c>
      <c r="AJ683">
        <v>40406.830118027116</v>
      </c>
      <c r="AK683">
        <v>9216.7195119791486</v>
      </c>
      <c r="AL683">
        <v>2545.7436313956168</v>
      </c>
      <c r="AM683">
        <v>249.17865350810823</v>
      </c>
      <c r="AO683">
        <v>40206.544505662416</v>
      </c>
      <c r="AP683">
        <v>13.5150310911968</v>
      </c>
      <c r="AQ683">
        <v>46017.846805681605</v>
      </c>
      <c r="AR683">
        <v>13.687776488207064</v>
      </c>
      <c r="AS683" s="2">
        <f t="shared" si="71"/>
        <v>5811.3023000191897</v>
      </c>
      <c r="AT683" s="2">
        <f t="shared" si="72"/>
        <v>0.1727453970102637</v>
      </c>
      <c r="AV683">
        <f t="shared" si="73"/>
        <v>1311296.5646140175</v>
      </c>
      <c r="AW683">
        <f t="shared" si="74"/>
        <v>1322759.8020150247</v>
      </c>
      <c r="AY683">
        <f t="shared" si="75"/>
        <v>0</v>
      </c>
      <c r="AZ683">
        <f t="shared" si="76"/>
        <v>1</v>
      </c>
    </row>
    <row r="684" spans="1:52" x14ac:dyDescent="0.2">
      <c r="A684">
        <f t="shared" si="70"/>
        <v>680</v>
      </c>
      <c r="B684">
        <v>2.6416864477718849E-2</v>
      </c>
      <c r="C684">
        <v>2.7718481328158445E-2</v>
      </c>
      <c r="D684">
        <v>3.4871385954047408E-2</v>
      </c>
      <c r="E684">
        <v>1.9139275134494515E-3</v>
      </c>
      <c r="F684">
        <v>3.4071143176742646E-3</v>
      </c>
      <c r="G684">
        <v>2.2250627195052886E-2</v>
      </c>
      <c r="H684">
        <v>3.2295330335411654E-2</v>
      </c>
      <c r="I684">
        <v>0.13533414633253771</v>
      </c>
      <c r="J684">
        <v>0</v>
      </c>
      <c r="K684">
        <v>0.43478083180110572</v>
      </c>
      <c r="L684">
        <v>0.20914707613633021</v>
      </c>
      <c r="M684">
        <v>0.79085292386366979</v>
      </c>
      <c r="N684">
        <v>6.7631734449165593E-2</v>
      </c>
      <c r="O684" s="72">
        <v>0.99948361070339775</v>
      </c>
      <c r="P684">
        <v>0.99999849138601893</v>
      </c>
      <c r="Q684">
        <v>0.97865626007485018</v>
      </c>
      <c r="R684">
        <v>0.4941764069275203</v>
      </c>
      <c r="S684">
        <v>0.34351031724846437</v>
      </c>
      <c r="T684">
        <v>0.22747642331237228</v>
      </c>
      <c r="U684">
        <v>0.7699030023307728</v>
      </c>
      <c r="V684">
        <v>0.59954251941623871</v>
      </c>
      <c r="W684">
        <v>0.51343951050467562</v>
      </c>
      <c r="X684">
        <v>0.51579472265255943</v>
      </c>
      <c r="Y684">
        <v>0.45832514072270414</v>
      </c>
      <c r="Z684">
        <v>0.4267284790672376</v>
      </c>
      <c r="AA684">
        <v>0.66630757006119168</v>
      </c>
      <c r="AB684">
        <v>0.83859481020049342</v>
      </c>
      <c r="AC684">
        <v>0.76714001011148014</v>
      </c>
      <c r="AD684">
        <v>0.65183719395567996</v>
      </c>
      <c r="AE684">
        <v>188.55475657289767</v>
      </c>
      <c r="AF684">
        <v>923.33182684695532</v>
      </c>
      <c r="AG684">
        <v>2076.7165285743372</v>
      </c>
      <c r="AH684">
        <v>13890.482469539342</v>
      </c>
      <c r="AI684">
        <v>10802.380849882707</v>
      </c>
      <c r="AJ684">
        <v>40191.825938001217</v>
      </c>
      <c r="AK684">
        <v>7874.6300614310976</v>
      </c>
      <c r="AL684">
        <v>2485.3357259192512</v>
      </c>
      <c r="AM684">
        <v>259.3199634141003</v>
      </c>
      <c r="AO684">
        <v>42029.903062365396</v>
      </c>
      <c r="AP684">
        <v>13.705699361826607</v>
      </c>
      <c r="AQ684">
        <v>44509.994949835062</v>
      </c>
      <c r="AR684">
        <v>13.920565020463371</v>
      </c>
      <c r="AS684" s="2">
        <f t="shared" si="71"/>
        <v>2480.0918874696654</v>
      </c>
      <c r="AT684" s="2">
        <f t="shared" si="72"/>
        <v>0.21486565863676432</v>
      </c>
      <c r="AV684">
        <f t="shared" si="73"/>
        <v>1328540.0331202953</v>
      </c>
      <c r="AW684">
        <f t="shared" si="74"/>
        <v>1347546.507096502</v>
      </c>
      <c r="AY684">
        <f t="shared" si="75"/>
        <v>0</v>
      </c>
      <c r="AZ684">
        <f t="shared" si="76"/>
        <v>1</v>
      </c>
    </row>
    <row r="685" spans="1:52" x14ac:dyDescent="0.2">
      <c r="A685">
        <f t="shared" si="70"/>
        <v>681</v>
      </c>
      <c r="B685">
        <v>2.539668653885585E-2</v>
      </c>
      <c r="C685">
        <v>2.7745309671234238E-2</v>
      </c>
      <c r="D685">
        <v>4.4393849605890101E-2</v>
      </c>
      <c r="E685">
        <v>8.2145746741694708E-3</v>
      </c>
      <c r="F685">
        <v>3.4540210631430757E-3</v>
      </c>
      <c r="G685">
        <v>7.6879503655438103E-3</v>
      </c>
      <c r="H685">
        <v>5.4652811763455045E-2</v>
      </c>
      <c r="I685">
        <v>0.12691257201449094</v>
      </c>
      <c r="J685">
        <v>0</v>
      </c>
      <c r="K685">
        <v>0.47343988708689544</v>
      </c>
      <c r="L685">
        <v>0.22138523079246419</v>
      </c>
      <c r="M685">
        <v>0.77861476920753581</v>
      </c>
      <c r="N685">
        <v>5.7642422686394856E-2</v>
      </c>
      <c r="O685" s="72">
        <v>0.99251306329660582</v>
      </c>
      <c r="P685">
        <v>0.99315835349633663</v>
      </c>
      <c r="Q685">
        <v>0.99052095408013374</v>
      </c>
      <c r="R685">
        <v>0.47133013513701971</v>
      </c>
      <c r="S685">
        <v>0.36010233584851481</v>
      </c>
      <c r="T685">
        <v>0.17996048724559066</v>
      </c>
      <c r="U685">
        <v>0.7751946188836718</v>
      </c>
      <c r="V685">
        <v>0.66233246601372953</v>
      </c>
      <c r="W685">
        <v>0.58489288828375741</v>
      </c>
      <c r="X685">
        <v>0.42880354231477169</v>
      </c>
      <c r="Y685">
        <v>0.4955358739909097</v>
      </c>
      <c r="Z685">
        <v>0.51099532093031763</v>
      </c>
      <c r="AA685">
        <v>0.57744402113409932</v>
      </c>
      <c r="AB685">
        <v>0.87853050252314602</v>
      </c>
      <c r="AC685">
        <v>0.67844612090052292</v>
      </c>
      <c r="AD685">
        <v>0.57211577455739704</v>
      </c>
      <c r="AE685">
        <v>191.3650007214076</v>
      </c>
      <c r="AF685">
        <v>996.95661539647858</v>
      </c>
      <c r="AG685">
        <v>1654.9376551866239</v>
      </c>
      <c r="AH685">
        <v>14459.27645795764</v>
      </c>
      <c r="AI685">
        <v>9230.785740267067</v>
      </c>
      <c r="AJ685">
        <v>42168.401209594653</v>
      </c>
      <c r="AK685">
        <v>15024.590491941883</v>
      </c>
      <c r="AL685">
        <v>989.57208382728459</v>
      </c>
      <c r="AM685">
        <v>446.6963758801129</v>
      </c>
      <c r="AO685">
        <v>46719.68149828037</v>
      </c>
      <c r="AP685">
        <v>13.950402450107156</v>
      </c>
      <c r="AQ685">
        <v>47658.815851987245</v>
      </c>
      <c r="AR685">
        <v>14.203545174244919</v>
      </c>
      <c r="AS685" s="2">
        <f t="shared" si="71"/>
        <v>939.13435370687512</v>
      </c>
      <c r="AT685" s="2">
        <f t="shared" si="72"/>
        <v>0.25314272413776351</v>
      </c>
      <c r="AV685">
        <f t="shared" si="73"/>
        <v>1348320.5635124352</v>
      </c>
      <c r="AW685">
        <f t="shared" si="74"/>
        <v>1372695.7015725046</v>
      </c>
      <c r="AY685">
        <f t="shared" si="75"/>
        <v>0</v>
      </c>
      <c r="AZ685">
        <f t="shared" si="76"/>
        <v>1</v>
      </c>
    </row>
    <row r="686" spans="1:52" x14ac:dyDescent="0.2">
      <c r="A686">
        <f t="shared" si="70"/>
        <v>682</v>
      </c>
      <c r="B686">
        <v>2.9209132117899106E-2</v>
      </c>
      <c r="C686">
        <v>3.2122942276931764E-2</v>
      </c>
      <c r="D686">
        <v>3.3197749308307135E-2</v>
      </c>
      <c r="E686">
        <v>2.1016829907619883E-2</v>
      </c>
      <c r="F686">
        <v>3.2237898090604149E-3</v>
      </c>
      <c r="G686">
        <v>2.0540488443186677E-2</v>
      </c>
      <c r="H686">
        <v>2.9882271756222711E-2</v>
      </c>
      <c r="I686">
        <v>0.14050561442716758</v>
      </c>
      <c r="J686">
        <v>0</v>
      </c>
      <c r="K686">
        <v>0.42288493526346344</v>
      </c>
      <c r="L686">
        <v>0.23003681977310286</v>
      </c>
      <c r="M686">
        <v>0.76996318022689714</v>
      </c>
      <c r="N686">
        <v>5.6832330729270186E-2</v>
      </c>
      <c r="O686" s="72">
        <v>0.99990886361642273</v>
      </c>
      <c r="P686">
        <v>0.99980771229381216</v>
      </c>
      <c r="Q686">
        <v>0.96310753424834794</v>
      </c>
      <c r="R686">
        <v>0.4546976151922919</v>
      </c>
      <c r="S686">
        <v>0.39163357300028057</v>
      </c>
      <c r="T686">
        <v>0.29082353831531682</v>
      </c>
      <c r="U686">
        <v>0.7380637027446465</v>
      </c>
      <c r="V686">
        <v>0.65924375487245457</v>
      </c>
      <c r="W686">
        <v>0.53101708034001771</v>
      </c>
      <c r="X686">
        <v>0.43037280791199006</v>
      </c>
      <c r="Y686">
        <v>0.44124418911411833</v>
      </c>
      <c r="Z686">
        <v>0.44935471811087818</v>
      </c>
      <c r="AA686">
        <v>0.64356324655127406</v>
      </c>
      <c r="AB686">
        <v>0.86215382183582268</v>
      </c>
      <c r="AC686">
        <v>0.81954463506361674</v>
      </c>
      <c r="AD686">
        <v>0.60538526202449461</v>
      </c>
      <c r="AE686">
        <v>198.03636964798366</v>
      </c>
      <c r="AF686">
        <v>972.42053052652682</v>
      </c>
      <c r="AG686">
        <v>1251.1878360323426</v>
      </c>
      <c r="AH686">
        <v>13948.37608110664</v>
      </c>
      <c r="AI686">
        <v>12742.781361186198</v>
      </c>
      <c r="AJ686">
        <v>39316.563415237171</v>
      </c>
      <c r="AK686">
        <v>11030.564311370388</v>
      </c>
      <c r="AL686">
        <v>1841.8550864068864</v>
      </c>
      <c r="AM686">
        <v>375.04424852456771</v>
      </c>
      <c r="AO686">
        <v>43720.394449709638</v>
      </c>
      <c r="AP686">
        <v>14.018557019412816</v>
      </c>
      <c r="AQ686">
        <v>46307.074558842251</v>
      </c>
      <c r="AR686">
        <v>14.277001000573639</v>
      </c>
      <c r="AS686" s="2">
        <f t="shared" si="71"/>
        <v>2586.6801091326124</v>
      </c>
      <c r="AT686" s="2">
        <f t="shared" si="72"/>
        <v>0.25844398116082345</v>
      </c>
      <c r="AV686">
        <f t="shared" si="73"/>
        <v>1358135.3074915719</v>
      </c>
      <c r="AW686">
        <f t="shared" si="74"/>
        <v>1381393.0254985217</v>
      </c>
      <c r="AY686">
        <f t="shared" si="75"/>
        <v>0</v>
      </c>
      <c r="AZ686">
        <f t="shared" si="76"/>
        <v>1</v>
      </c>
    </row>
    <row r="687" spans="1:52" x14ac:dyDescent="0.2">
      <c r="A687">
        <f t="shared" si="70"/>
        <v>683</v>
      </c>
      <c r="B687">
        <v>2.4016637217534286E-2</v>
      </c>
      <c r="C687">
        <v>3.0486501862416079E-2</v>
      </c>
      <c r="D687">
        <v>2.9948258152432329E-2</v>
      </c>
      <c r="E687">
        <v>2.343542821363731E-2</v>
      </c>
      <c r="F687">
        <v>3.243510201440437E-3</v>
      </c>
      <c r="G687">
        <v>4.3093408659192018E-3</v>
      </c>
      <c r="H687">
        <v>2.0733813890644326E-2</v>
      </c>
      <c r="I687">
        <v>0.13419718192454189</v>
      </c>
      <c r="J687">
        <v>0</v>
      </c>
      <c r="K687">
        <v>0.41742975742678828</v>
      </c>
      <c r="L687">
        <v>0.25940220147313187</v>
      </c>
      <c r="M687">
        <v>0.74059779852686813</v>
      </c>
      <c r="N687">
        <v>4.9452454481909366E-2</v>
      </c>
      <c r="O687" s="72">
        <v>0.99908734314351233</v>
      </c>
      <c r="P687">
        <v>0.98549785592952044</v>
      </c>
      <c r="Q687">
        <v>0.99401634678839546</v>
      </c>
      <c r="R687">
        <v>0.42452634561693714</v>
      </c>
      <c r="S687">
        <v>0.45805877108463389</v>
      </c>
      <c r="T687">
        <v>0.3131089840785054</v>
      </c>
      <c r="U687">
        <v>0.77321158349590369</v>
      </c>
      <c r="V687">
        <v>0.60004401899736293</v>
      </c>
      <c r="W687">
        <v>0.4970315888349422</v>
      </c>
      <c r="X687">
        <v>0.46614077059660242</v>
      </c>
      <c r="Y687">
        <v>0.46651727610360816</v>
      </c>
      <c r="Z687">
        <v>0.45084820758328914</v>
      </c>
      <c r="AA687">
        <v>0.67746499786946712</v>
      </c>
      <c r="AB687">
        <v>0.82806370695966514</v>
      </c>
      <c r="AC687">
        <v>0.73382918847787926</v>
      </c>
      <c r="AD687">
        <v>0.53599773139366946</v>
      </c>
      <c r="AE687">
        <v>259.81106620142799</v>
      </c>
      <c r="AF687">
        <v>1212.7038705128705</v>
      </c>
      <c r="AG687">
        <v>1704.5652739030882</v>
      </c>
      <c r="AH687">
        <v>14215.240023530314</v>
      </c>
      <c r="AI687">
        <v>14435.238401456767</v>
      </c>
      <c r="AJ687">
        <v>39101.345087656024</v>
      </c>
      <c r="AK687">
        <v>10211.488158551738</v>
      </c>
      <c r="AL687">
        <v>1942.4225279077866</v>
      </c>
      <c r="AM687">
        <v>438.10321180339372</v>
      </c>
      <c r="AO687">
        <v>45739.835574772333</v>
      </c>
      <c r="AP687">
        <v>13.371479412470993</v>
      </c>
      <c r="AQ687">
        <v>47782.341014305544</v>
      </c>
      <c r="AR687">
        <v>13.555447506326537</v>
      </c>
      <c r="AS687" s="2">
        <f t="shared" si="71"/>
        <v>2042.5054395332118</v>
      </c>
      <c r="AT687" s="2">
        <f t="shared" si="72"/>
        <v>0.18396809385554391</v>
      </c>
      <c r="AV687">
        <f t="shared" si="73"/>
        <v>1291408.1056723269</v>
      </c>
      <c r="AW687">
        <f t="shared" si="74"/>
        <v>1307762.4096183481</v>
      </c>
      <c r="AY687">
        <f t="shared" si="75"/>
        <v>0</v>
      </c>
      <c r="AZ687">
        <f t="shared" si="76"/>
        <v>1</v>
      </c>
    </row>
    <row r="688" spans="1:52" x14ac:dyDescent="0.2">
      <c r="A688">
        <f t="shared" si="70"/>
        <v>684</v>
      </c>
      <c r="B688">
        <v>2.6445014907338193E-2</v>
      </c>
      <c r="C688">
        <v>3.3421600226827448E-2</v>
      </c>
      <c r="D688">
        <v>3.0891838816913507E-2</v>
      </c>
      <c r="E688">
        <v>1.5643264176118277E-2</v>
      </c>
      <c r="F688">
        <v>3.3041796103561618E-3</v>
      </c>
      <c r="G688">
        <v>3.0155495298039847E-2</v>
      </c>
      <c r="H688">
        <v>2.2396526155523407E-2</v>
      </c>
      <c r="I688">
        <v>0.1401550872541788</v>
      </c>
      <c r="J688">
        <v>0</v>
      </c>
      <c r="K688">
        <v>0.47133087174666444</v>
      </c>
      <c r="L688">
        <v>0.12731403297827498</v>
      </c>
      <c r="M688">
        <v>0.87268596702172507</v>
      </c>
      <c r="N688">
        <v>6.6780442011729724E-2</v>
      </c>
      <c r="O688" s="72">
        <v>0.99971914490990454</v>
      </c>
      <c r="P688">
        <v>0.99960439113452404</v>
      </c>
      <c r="Q688">
        <v>0.98799462167100216</v>
      </c>
      <c r="R688">
        <v>0.45880531254757895</v>
      </c>
      <c r="S688">
        <v>0.3357740355321307</v>
      </c>
      <c r="T688">
        <v>0.2796511041584534</v>
      </c>
      <c r="U688">
        <v>0.7600204318588375</v>
      </c>
      <c r="V688">
        <v>0.57944327070089774</v>
      </c>
      <c r="W688">
        <v>0.56477091893911791</v>
      </c>
      <c r="X688">
        <v>0.45905104241343342</v>
      </c>
      <c r="Y688">
        <v>0.45048234166482015</v>
      </c>
      <c r="Z688">
        <v>0.46554241764044113</v>
      </c>
      <c r="AA688">
        <v>0.68230506148396997</v>
      </c>
      <c r="AB688">
        <v>0.8311646597148159</v>
      </c>
      <c r="AC688">
        <v>0.72906425165813638</v>
      </c>
      <c r="AD688">
        <v>0.66688557089504563</v>
      </c>
      <c r="AE688">
        <v>195.99886337970185</v>
      </c>
      <c r="AF688">
        <v>1308.89986534186</v>
      </c>
      <c r="AG688">
        <v>1327.1722603056994</v>
      </c>
      <c r="AH688">
        <v>14028.516944255634</v>
      </c>
      <c r="AI688">
        <v>10865.502847129455</v>
      </c>
      <c r="AJ688">
        <v>40606.039837341465</v>
      </c>
      <c r="AK688">
        <v>14629.15962763238</v>
      </c>
      <c r="AL688">
        <v>1831.5803462049059</v>
      </c>
      <c r="AM688">
        <v>366.77859782405386</v>
      </c>
      <c r="AO688">
        <v>44409.130898478164</v>
      </c>
      <c r="AP688">
        <v>13.535184392688969</v>
      </c>
      <c r="AQ688">
        <v>46140.362659589038</v>
      </c>
      <c r="AR688">
        <v>13.768548481152546</v>
      </c>
      <c r="AS688" s="2">
        <f t="shared" si="71"/>
        <v>1731.2317611108738</v>
      </c>
      <c r="AT688" s="2">
        <f t="shared" si="72"/>
        <v>0.2333640884635777</v>
      </c>
      <c r="AV688">
        <f t="shared" si="73"/>
        <v>1309109.3083704186</v>
      </c>
      <c r="AW688">
        <f t="shared" si="74"/>
        <v>1330714.4854556657</v>
      </c>
      <c r="AY688">
        <f t="shared" si="75"/>
        <v>0</v>
      </c>
      <c r="AZ688">
        <f t="shared" si="76"/>
        <v>1</v>
      </c>
    </row>
    <row r="689" spans="1:52" x14ac:dyDescent="0.2">
      <c r="A689">
        <f t="shared" si="70"/>
        <v>685</v>
      </c>
      <c r="B689">
        <v>2.5561520314663078E-2</v>
      </c>
      <c r="C689">
        <v>3.603154583911463E-2</v>
      </c>
      <c r="D689">
        <v>3.1220714616409847E-2</v>
      </c>
      <c r="E689">
        <v>1.5005270111100089E-2</v>
      </c>
      <c r="F689">
        <v>3.2636436776264624E-3</v>
      </c>
      <c r="G689">
        <v>9.7235362193759094E-3</v>
      </c>
      <c r="H689">
        <v>3.1260248613967478E-2</v>
      </c>
      <c r="I689">
        <v>0.12948186242908896</v>
      </c>
      <c r="J689">
        <v>0</v>
      </c>
      <c r="K689">
        <v>0.45638207152485855</v>
      </c>
      <c r="L689">
        <v>0.11954366000733378</v>
      </c>
      <c r="M689">
        <v>0.88045633999266626</v>
      </c>
      <c r="N689">
        <v>5.740472472589786E-2</v>
      </c>
      <c r="O689" s="72">
        <v>0.99935760689637654</v>
      </c>
      <c r="P689">
        <v>0.99865836677696129</v>
      </c>
      <c r="Q689">
        <v>0.96368095205272419</v>
      </c>
      <c r="R689">
        <v>0.52241556603665362</v>
      </c>
      <c r="S689">
        <v>0.43659062239707858</v>
      </c>
      <c r="T689">
        <v>0.29636983771284964</v>
      </c>
      <c r="U689">
        <v>0.80346936822572457</v>
      </c>
      <c r="V689">
        <v>0.60643796038072351</v>
      </c>
      <c r="W689">
        <v>0.52230105785902137</v>
      </c>
      <c r="X689">
        <v>0.47599843096919625</v>
      </c>
      <c r="Y689">
        <v>0.45973437145791851</v>
      </c>
      <c r="Z689">
        <v>0.48413401498111019</v>
      </c>
      <c r="AA689">
        <v>0.6404760123647999</v>
      </c>
      <c r="AB689">
        <v>0.8224647853213054</v>
      </c>
      <c r="AC689">
        <v>0.66718784889406835</v>
      </c>
      <c r="AD689">
        <v>0.57867068258526411</v>
      </c>
      <c r="AE689">
        <v>156.96609000788132</v>
      </c>
      <c r="AF689">
        <v>1170.6997255903004</v>
      </c>
      <c r="AG689">
        <v>1761.2960645814792</v>
      </c>
      <c r="AH689">
        <v>12067.705518637507</v>
      </c>
      <c r="AI689">
        <v>11399.007432888564</v>
      </c>
      <c r="AJ689">
        <v>41412.078295466425</v>
      </c>
      <c r="AK689">
        <v>13297.339106003365</v>
      </c>
      <c r="AL689">
        <v>2148.0765609474865</v>
      </c>
      <c r="AM689">
        <v>257.4098880741235</v>
      </c>
      <c r="AO689">
        <v>38185.956575116732</v>
      </c>
      <c r="AP689">
        <v>13.279055799992317</v>
      </c>
      <c r="AQ689">
        <v>44521.283541828663</v>
      </c>
      <c r="AR689">
        <v>13.416437756016506</v>
      </c>
      <c r="AS689" s="2">
        <f t="shared" si="71"/>
        <v>6335.3269667119312</v>
      </c>
      <c r="AT689" s="2">
        <f t="shared" si="72"/>
        <v>0.13738195602418912</v>
      </c>
      <c r="AV689">
        <f t="shared" si="73"/>
        <v>1289719.6234241149</v>
      </c>
      <c r="AW689">
        <f t="shared" si="74"/>
        <v>1297122.492059822</v>
      </c>
      <c r="AY689">
        <f t="shared" si="75"/>
        <v>0</v>
      </c>
      <c r="AZ689">
        <f t="shared" si="76"/>
        <v>1</v>
      </c>
    </row>
    <row r="690" spans="1:52" x14ac:dyDescent="0.2">
      <c r="A690">
        <f t="shared" si="70"/>
        <v>686</v>
      </c>
      <c r="B690">
        <v>2.2454823997009717E-2</v>
      </c>
      <c r="C690">
        <v>4.4807016804349065E-2</v>
      </c>
      <c r="D690">
        <v>4.090982120537523E-2</v>
      </c>
      <c r="E690">
        <v>3.1106376350248811E-3</v>
      </c>
      <c r="F690">
        <v>3.3115158479251994E-3</v>
      </c>
      <c r="G690">
        <v>2.4840316252967898E-2</v>
      </c>
      <c r="H690">
        <v>2.5374068261206389E-2</v>
      </c>
      <c r="I690">
        <v>0.12253012953454878</v>
      </c>
      <c r="J690">
        <v>0</v>
      </c>
      <c r="K690">
        <v>0.41434124471444178</v>
      </c>
      <c r="L690">
        <v>0.17070954917570641</v>
      </c>
      <c r="M690">
        <v>0.82929045082429353</v>
      </c>
      <c r="N690">
        <v>4.3727298861815901E-2</v>
      </c>
      <c r="O690" s="72">
        <v>0.99758382797330258</v>
      </c>
      <c r="P690">
        <v>0.99999050515692056</v>
      </c>
      <c r="Q690">
        <v>0.98017838263519474</v>
      </c>
      <c r="R690">
        <v>0.5147723200320804</v>
      </c>
      <c r="S690">
        <v>0.39196987854954135</v>
      </c>
      <c r="T690">
        <v>0.22377548617694176</v>
      </c>
      <c r="U690">
        <v>0.75463477486026764</v>
      </c>
      <c r="V690">
        <v>0.68660701542727098</v>
      </c>
      <c r="W690">
        <v>0.54614950604298074</v>
      </c>
      <c r="X690">
        <v>0.41285170347716449</v>
      </c>
      <c r="Y690">
        <v>0.44915102624203129</v>
      </c>
      <c r="Z690">
        <v>0.48759552759521163</v>
      </c>
      <c r="AA690">
        <v>0.63997701051424138</v>
      </c>
      <c r="AB690">
        <v>0.83967162834863074</v>
      </c>
      <c r="AC690">
        <v>0.6484583590317835</v>
      </c>
      <c r="AD690">
        <v>0.64109739380443487</v>
      </c>
      <c r="AE690">
        <v>202.01547997454128</v>
      </c>
      <c r="AF690">
        <v>988.77186925081799</v>
      </c>
      <c r="AG690">
        <v>2086.6829542598684</v>
      </c>
      <c r="AH690">
        <v>10826.296037339902</v>
      </c>
      <c r="AI690">
        <v>12209.975855398696</v>
      </c>
      <c r="AJ690">
        <v>42313.370783654464</v>
      </c>
      <c r="AK690">
        <v>9477.8597918162795</v>
      </c>
      <c r="AL690">
        <v>1591.9179810945791</v>
      </c>
      <c r="AM690">
        <v>331.35403077928532</v>
      </c>
      <c r="AO690">
        <v>41479.105246206615</v>
      </c>
      <c r="AP690">
        <v>13.502855214986338</v>
      </c>
      <c r="AQ690">
        <v>45608.363555976597</v>
      </c>
      <c r="AR690">
        <v>13.70541864177698</v>
      </c>
      <c r="AS690" s="2">
        <f t="shared" si="71"/>
        <v>4129.2583097699826</v>
      </c>
      <c r="AT690" s="2">
        <f t="shared" si="72"/>
        <v>0.20256342679064154</v>
      </c>
      <c r="AV690">
        <f t="shared" si="73"/>
        <v>1308806.4162524273</v>
      </c>
      <c r="AW690">
        <f t="shared" si="74"/>
        <v>1324933.5006217214</v>
      </c>
      <c r="AY690">
        <f t="shared" si="75"/>
        <v>0</v>
      </c>
      <c r="AZ690">
        <f t="shared" si="76"/>
        <v>1</v>
      </c>
    </row>
    <row r="691" spans="1:52" x14ac:dyDescent="0.2">
      <c r="A691">
        <f t="shared" si="70"/>
        <v>687</v>
      </c>
      <c r="B691">
        <v>2.546181330009567E-2</v>
      </c>
      <c r="C691">
        <v>4.3376879328294593E-2</v>
      </c>
      <c r="D691">
        <v>2.0789192991407888E-2</v>
      </c>
      <c r="E691">
        <v>3.0661640424923808E-2</v>
      </c>
      <c r="F691">
        <v>3.3056597639718197E-3</v>
      </c>
      <c r="G691">
        <v>6.0895338254874217E-3</v>
      </c>
      <c r="H691">
        <v>4.5017050380420698E-2</v>
      </c>
      <c r="I691">
        <v>0.12453882565491266</v>
      </c>
      <c r="J691">
        <v>0</v>
      </c>
      <c r="K691">
        <v>0.43866489031032996</v>
      </c>
      <c r="L691">
        <v>0.1830544450051457</v>
      </c>
      <c r="M691">
        <v>0.81694555499485433</v>
      </c>
      <c r="N691">
        <v>5.549223963459269E-2</v>
      </c>
      <c r="O691" s="72">
        <v>0.99986369408902209</v>
      </c>
      <c r="P691">
        <v>0.97005417470983235</v>
      </c>
      <c r="Q691">
        <v>0.95418701823624597</v>
      </c>
      <c r="R691">
        <v>0.45883992029264409</v>
      </c>
      <c r="S691">
        <v>0.40751060356046942</v>
      </c>
      <c r="T691">
        <v>0.31557380794996204</v>
      </c>
      <c r="U691">
        <v>0.76582766208402209</v>
      </c>
      <c r="V691">
        <v>0.64290117753367537</v>
      </c>
      <c r="W691">
        <v>0.4450929174089075</v>
      </c>
      <c r="X691">
        <v>0.4692527581598831</v>
      </c>
      <c r="Y691">
        <v>0.43891668379569299</v>
      </c>
      <c r="Z691">
        <v>0.47405181198211455</v>
      </c>
      <c r="AA691">
        <v>0.71966100390428689</v>
      </c>
      <c r="AB691">
        <v>0.87890574997118542</v>
      </c>
      <c r="AC691">
        <v>0.77543291234030709</v>
      </c>
      <c r="AD691">
        <v>0.56942513716007226</v>
      </c>
      <c r="AE691">
        <v>180.16480357720462</v>
      </c>
      <c r="AF691">
        <v>1273.8049455491403</v>
      </c>
      <c r="AG691">
        <v>1389.3422044784299</v>
      </c>
      <c r="AH691">
        <v>12789.07087858932</v>
      </c>
      <c r="AI691">
        <v>17527.752432197642</v>
      </c>
      <c r="AJ691">
        <v>38330.022894267029</v>
      </c>
      <c r="AK691">
        <v>14427.392037841075</v>
      </c>
      <c r="AL691">
        <v>1264.493378413224</v>
      </c>
      <c r="AM691">
        <v>424.08977072979405</v>
      </c>
      <c r="AO691">
        <v>43779.316300994316</v>
      </c>
      <c r="AP691">
        <v>14.123629315629477</v>
      </c>
      <c r="AQ691">
        <v>48094.766884722339</v>
      </c>
      <c r="AR691">
        <v>14.378428069100618</v>
      </c>
      <c r="AS691" s="2">
        <f t="shared" si="71"/>
        <v>4315.450583728023</v>
      </c>
      <c r="AT691" s="2">
        <f t="shared" si="72"/>
        <v>0.25479875347114067</v>
      </c>
      <c r="AV691">
        <f t="shared" si="73"/>
        <v>1368583.6152619536</v>
      </c>
      <c r="AW691">
        <f t="shared" si="74"/>
        <v>1389748.0400253395</v>
      </c>
      <c r="AY691">
        <f t="shared" si="75"/>
        <v>0</v>
      </c>
      <c r="AZ691">
        <f t="shared" si="76"/>
        <v>1</v>
      </c>
    </row>
    <row r="692" spans="1:52" x14ac:dyDescent="0.2">
      <c r="A692">
        <f t="shared" si="70"/>
        <v>688</v>
      </c>
      <c r="B692">
        <v>2.7660308953230683E-2</v>
      </c>
      <c r="C692">
        <v>3.6313184783774564E-2</v>
      </c>
      <c r="D692">
        <v>4.1195132135550705E-2</v>
      </c>
      <c r="E692">
        <v>4.2893604182587031E-2</v>
      </c>
      <c r="F692">
        <v>3.3332683302614609E-3</v>
      </c>
      <c r="G692">
        <v>1.1114667755264941E-2</v>
      </c>
      <c r="H692">
        <v>3.7426663112661851E-2</v>
      </c>
      <c r="I692">
        <v>0.12534418279698034</v>
      </c>
      <c r="J692">
        <v>0</v>
      </c>
      <c r="K692">
        <v>0.44294444159728996</v>
      </c>
      <c r="L692">
        <v>0.23957818901171768</v>
      </c>
      <c r="M692">
        <v>0.76042181098828232</v>
      </c>
      <c r="N692">
        <v>5.4251557554909076E-2</v>
      </c>
      <c r="O692" s="72">
        <v>0.99967507085652163</v>
      </c>
      <c r="P692">
        <v>0.99581690223347141</v>
      </c>
      <c r="Q692">
        <v>0.999122410107531</v>
      </c>
      <c r="R692">
        <v>0.48922554186298228</v>
      </c>
      <c r="S692">
        <v>0.42987567898531698</v>
      </c>
      <c r="T692">
        <v>0.27306286793175805</v>
      </c>
      <c r="U692">
        <v>0.77365786155779559</v>
      </c>
      <c r="V692">
        <v>0.74376629048484788</v>
      </c>
      <c r="W692">
        <v>0.57434962840838355</v>
      </c>
      <c r="X692">
        <v>0.47894026929512723</v>
      </c>
      <c r="Y692">
        <v>0.48130229697788707</v>
      </c>
      <c r="Z692">
        <v>0.44793439770994137</v>
      </c>
      <c r="AA692">
        <v>0.69596109147548613</v>
      </c>
      <c r="AB692">
        <v>0.82674156038504643</v>
      </c>
      <c r="AC692">
        <v>0.65415646871236743</v>
      </c>
      <c r="AD692">
        <v>0.52272872004454851</v>
      </c>
      <c r="AE692">
        <v>249.29925729034011</v>
      </c>
      <c r="AF692">
        <v>913.42880404701179</v>
      </c>
      <c r="AG692">
        <v>1349.9875144883295</v>
      </c>
      <c r="AH692">
        <v>13020.304809328798</v>
      </c>
      <c r="AI692">
        <v>10611.028978048409</v>
      </c>
      <c r="AJ692">
        <v>43550.246034942102</v>
      </c>
      <c r="AK692">
        <v>10967.001262117825</v>
      </c>
      <c r="AL692">
        <v>1801.3162663271366</v>
      </c>
      <c r="AM692">
        <v>323.16052231080528</v>
      </c>
      <c r="AO692">
        <v>40952.005852645809</v>
      </c>
      <c r="AP692">
        <v>13.191880413746659</v>
      </c>
      <c r="AQ692">
        <v>45556.420165087467</v>
      </c>
      <c r="AR692">
        <v>13.376313538517671</v>
      </c>
      <c r="AS692" s="2">
        <f t="shared" si="71"/>
        <v>4604.4143124416587</v>
      </c>
      <c r="AT692" s="2">
        <f t="shared" si="72"/>
        <v>0.18443312477101159</v>
      </c>
      <c r="AV692">
        <f t="shared" si="73"/>
        <v>1278236.0355220202</v>
      </c>
      <c r="AW692">
        <f t="shared" si="74"/>
        <v>1292074.9336866795</v>
      </c>
      <c r="AY692">
        <f t="shared" si="75"/>
        <v>0</v>
      </c>
      <c r="AZ692">
        <f t="shared" si="76"/>
        <v>1</v>
      </c>
    </row>
    <row r="693" spans="1:52" x14ac:dyDescent="0.2">
      <c r="A693">
        <f t="shared" si="70"/>
        <v>689</v>
      </c>
      <c r="B693">
        <v>3.1187575271784285E-2</v>
      </c>
      <c r="C693">
        <v>3.0676984420981192E-2</v>
      </c>
      <c r="D693">
        <v>4.1724185809143832E-2</v>
      </c>
      <c r="E693">
        <v>3.0816504093986162E-3</v>
      </c>
      <c r="F693">
        <v>3.3817977022100321E-3</v>
      </c>
      <c r="G693">
        <v>3.2718809011332561E-3</v>
      </c>
      <c r="H693">
        <v>2.4811400869960268E-2</v>
      </c>
      <c r="I693">
        <v>0.14073331974945935</v>
      </c>
      <c r="J693">
        <v>0</v>
      </c>
      <c r="K693">
        <v>0.41267999668844674</v>
      </c>
      <c r="L693">
        <v>0.20809330269783732</v>
      </c>
      <c r="M693">
        <v>0.79190669730216268</v>
      </c>
      <c r="N693">
        <v>5.6597431466166248E-2</v>
      </c>
      <c r="O693" s="72">
        <v>0.99143327821763272</v>
      </c>
      <c r="P693">
        <v>0.99999950667326731</v>
      </c>
      <c r="Q693">
        <v>0.98339828925039041</v>
      </c>
      <c r="R693">
        <v>0.47054127428165982</v>
      </c>
      <c r="S693">
        <v>0.44539719014009138</v>
      </c>
      <c r="T693">
        <v>0.18877550324580716</v>
      </c>
      <c r="U693">
        <v>0.78603280962665278</v>
      </c>
      <c r="V693">
        <v>0.59537275512314514</v>
      </c>
      <c r="W693">
        <v>0.54061889121210072</v>
      </c>
      <c r="X693">
        <v>0.45354849749161619</v>
      </c>
      <c r="Y693">
        <v>0.4746733357660643</v>
      </c>
      <c r="Z693">
        <v>0.46483764381644588</v>
      </c>
      <c r="AA693">
        <v>0.6518359290648067</v>
      </c>
      <c r="AB693">
        <v>0.91482945593720899</v>
      </c>
      <c r="AC693">
        <v>0.65960424396378992</v>
      </c>
      <c r="AD693">
        <v>0.66847409414469983</v>
      </c>
      <c r="AE693">
        <v>259.10627044282904</v>
      </c>
      <c r="AF693">
        <v>1257.655221209121</v>
      </c>
      <c r="AG693">
        <v>1575.6361164232233</v>
      </c>
      <c r="AH693">
        <v>17100.296202626134</v>
      </c>
      <c r="AI693">
        <v>15022.137828101711</v>
      </c>
      <c r="AJ693">
        <v>41548.923243900819</v>
      </c>
      <c r="AK693">
        <v>21941.195688808879</v>
      </c>
      <c r="AL693">
        <v>2274.154567242158</v>
      </c>
      <c r="AM693">
        <v>315.95019427579001</v>
      </c>
      <c r="AO693">
        <v>44073.978541346834</v>
      </c>
      <c r="AP693">
        <v>14.456181048397854</v>
      </c>
      <c r="AQ693">
        <v>45547.945550255419</v>
      </c>
      <c r="AR693">
        <v>14.805175448781043</v>
      </c>
      <c r="AS693" s="2">
        <f t="shared" si="71"/>
        <v>1473.9670089085848</v>
      </c>
      <c r="AT693" s="2">
        <f t="shared" si="72"/>
        <v>0.34899440038318907</v>
      </c>
      <c r="AV693">
        <f t="shared" si="73"/>
        <v>1401544.1262984385</v>
      </c>
      <c r="AW693">
        <f t="shared" si="74"/>
        <v>1434969.5993278488</v>
      </c>
      <c r="AY693">
        <f t="shared" si="75"/>
        <v>0</v>
      </c>
      <c r="AZ693">
        <f t="shared" si="76"/>
        <v>1</v>
      </c>
    </row>
    <row r="694" spans="1:52" x14ac:dyDescent="0.2">
      <c r="A694">
        <f t="shared" si="70"/>
        <v>690</v>
      </c>
      <c r="B694">
        <v>2.6720996815951081E-2</v>
      </c>
      <c r="C694">
        <v>3.8739240129893493E-2</v>
      </c>
      <c r="D694">
        <v>3.5487374158055279E-2</v>
      </c>
      <c r="E694">
        <v>4.7150193312226812E-3</v>
      </c>
      <c r="F694">
        <v>3.3962821490717277E-3</v>
      </c>
      <c r="G694">
        <v>1.1337332352346338E-2</v>
      </c>
      <c r="H694">
        <v>5.9741135791320121E-2</v>
      </c>
      <c r="I694">
        <v>0.11552558186049933</v>
      </c>
      <c r="J694">
        <v>0</v>
      </c>
      <c r="K694">
        <v>0.4422215239179017</v>
      </c>
      <c r="L694">
        <v>0.23230563919599745</v>
      </c>
      <c r="M694">
        <v>0.76769436080400255</v>
      </c>
      <c r="N694">
        <v>4.5324837434807523E-2</v>
      </c>
      <c r="O694" s="72">
        <v>0.97901369378617709</v>
      </c>
      <c r="P694">
        <v>0.99999984607649528</v>
      </c>
      <c r="Q694">
        <v>0.99175790099716532</v>
      </c>
      <c r="R694">
        <v>0.48803964276536593</v>
      </c>
      <c r="S694">
        <v>0.34830070486563591</v>
      </c>
      <c r="T694">
        <v>0.25143709674319636</v>
      </c>
      <c r="U694">
        <v>0.79460543246804882</v>
      </c>
      <c r="V694">
        <v>0.66548843525898038</v>
      </c>
      <c r="W694">
        <v>0.59047231976329773</v>
      </c>
      <c r="X694">
        <v>0.48037661813982446</v>
      </c>
      <c r="Y694">
        <v>0.49112955235642186</v>
      </c>
      <c r="Z694">
        <v>0.46393828646570112</v>
      </c>
      <c r="AA694">
        <v>0.67528797410419261</v>
      </c>
      <c r="AB694">
        <v>0.86318007031418376</v>
      </c>
      <c r="AC694">
        <v>0.68078257347328419</v>
      </c>
      <c r="AD694">
        <v>0.53943991944099734</v>
      </c>
      <c r="AE694">
        <v>233.9853565615488</v>
      </c>
      <c r="AF694">
        <v>1032.9952516077249</v>
      </c>
      <c r="AG694">
        <v>1951.4378149152194</v>
      </c>
      <c r="AH694">
        <v>13212.058206739242</v>
      </c>
      <c r="AI694">
        <v>11599.98204481094</v>
      </c>
      <c r="AJ694">
        <v>41519.809465476741</v>
      </c>
      <c r="AK694">
        <v>13335.14290826909</v>
      </c>
      <c r="AL694">
        <v>2096.9731824111414</v>
      </c>
      <c r="AM694">
        <v>387.69738095751859</v>
      </c>
      <c r="AO694">
        <v>43816.176155356923</v>
      </c>
      <c r="AP694">
        <v>13.782870860096869</v>
      </c>
      <c r="AQ694">
        <v>46624.792643210545</v>
      </c>
      <c r="AR694">
        <v>13.953812979303494</v>
      </c>
      <c r="AS694" s="2">
        <f t="shared" si="71"/>
        <v>2808.6164878536219</v>
      </c>
      <c r="AT694" s="2">
        <f t="shared" si="72"/>
        <v>0.17094211920662516</v>
      </c>
      <c r="AV694">
        <f t="shared" si="73"/>
        <v>1334470.9098543299</v>
      </c>
      <c r="AW694">
        <f t="shared" si="74"/>
        <v>1348756.5052871387</v>
      </c>
      <c r="AY694">
        <f t="shared" si="75"/>
        <v>0</v>
      </c>
      <c r="AZ694">
        <f t="shared" si="76"/>
        <v>1</v>
      </c>
    </row>
    <row r="695" spans="1:52" x14ac:dyDescent="0.2">
      <c r="A695">
        <f t="shared" si="70"/>
        <v>691</v>
      </c>
      <c r="B695">
        <v>3.134507332194636E-2</v>
      </c>
      <c r="C695">
        <v>2.8713202455390014E-2</v>
      </c>
      <c r="D695">
        <v>5.1358143575242154E-2</v>
      </c>
      <c r="E695">
        <v>2.8704021642261379E-2</v>
      </c>
      <c r="F695">
        <v>3.151705831572343E-3</v>
      </c>
      <c r="G695">
        <v>2.3900297003536289E-3</v>
      </c>
      <c r="H695">
        <v>3.5467331459124951E-2</v>
      </c>
      <c r="I695">
        <v>0.1215371669221722</v>
      </c>
      <c r="J695">
        <v>0</v>
      </c>
      <c r="K695">
        <v>0.45281117801499937</v>
      </c>
      <c r="L695">
        <v>0.22768363391928814</v>
      </c>
      <c r="M695">
        <v>0.77231636608071186</v>
      </c>
      <c r="N695">
        <v>4.5983525908814216E-2</v>
      </c>
      <c r="O695" s="72">
        <v>0.99020536839397</v>
      </c>
      <c r="P695">
        <v>0.99991851561229261</v>
      </c>
      <c r="Q695">
        <v>0.96513696034686824</v>
      </c>
      <c r="R695">
        <v>0.48715331737587531</v>
      </c>
      <c r="S695">
        <v>0.30149649123546673</v>
      </c>
      <c r="T695">
        <v>0.38874151671418034</v>
      </c>
      <c r="U695">
        <v>0.78852964892279409</v>
      </c>
      <c r="V695">
        <v>0.71506463528398223</v>
      </c>
      <c r="W695">
        <v>0.55086239765070177</v>
      </c>
      <c r="X695">
        <v>0.42939603393817805</v>
      </c>
      <c r="Y695">
        <v>0.45356303941454634</v>
      </c>
      <c r="Z695">
        <v>0.42275679218878565</v>
      </c>
      <c r="AA695">
        <v>0.58904982468035705</v>
      </c>
      <c r="AB695">
        <v>0.78058840013746034</v>
      </c>
      <c r="AC695">
        <v>0.77899038061215586</v>
      </c>
      <c r="AD695">
        <v>0.65053567858679773</v>
      </c>
      <c r="AE695">
        <v>163.29495714625932</v>
      </c>
      <c r="AF695">
        <v>1170.4175864402416</v>
      </c>
      <c r="AG695">
        <v>979.52712903112092</v>
      </c>
      <c r="AH695">
        <v>14782.713520399973</v>
      </c>
      <c r="AI695">
        <v>8801.1700399911733</v>
      </c>
      <c r="AJ695">
        <v>40319.375910462782</v>
      </c>
      <c r="AK695">
        <v>13129.639659143715</v>
      </c>
      <c r="AL695">
        <v>2411.1547449354648</v>
      </c>
      <c r="AM695">
        <v>359.56197468833136</v>
      </c>
      <c r="AO695">
        <v>42235.231816548869</v>
      </c>
      <c r="AP695">
        <v>13.020659902150003</v>
      </c>
      <c r="AQ695">
        <v>46117.588806206644</v>
      </c>
      <c r="AR695">
        <v>13.135388061367737</v>
      </c>
      <c r="AS695" s="2">
        <f t="shared" si="71"/>
        <v>3882.3569896577756</v>
      </c>
      <c r="AT695" s="2">
        <f t="shared" si="72"/>
        <v>0.11472815921773361</v>
      </c>
      <c r="AV695">
        <f t="shared" si="73"/>
        <v>1259830.7583984514</v>
      </c>
      <c r="AW695">
        <f t="shared" si="74"/>
        <v>1267421.2173305671</v>
      </c>
      <c r="AY695">
        <f t="shared" si="75"/>
        <v>0</v>
      </c>
      <c r="AZ695">
        <f t="shared" si="76"/>
        <v>1</v>
      </c>
    </row>
    <row r="696" spans="1:52" x14ac:dyDescent="0.2">
      <c r="A696">
        <f t="shared" si="70"/>
        <v>692</v>
      </c>
      <c r="B696">
        <v>3.1905640207217645E-2</v>
      </c>
      <c r="C696">
        <v>4.1597946400326435E-2</v>
      </c>
      <c r="D696">
        <v>4.9615268337409479E-2</v>
      </c>
      <c r="E696">
        <v>1.4128217733461956E-2</v>
      </c>
      <c r="F696">
        <v>3.3262245648608959E-3</v>
      </c>
      <c r="G696">
        <v>7.6071941296380514E-3</v>
      </c>
      <c r="H696">
        <v>2.1518699859716869E-2</v>
      </c>
      <c r="I696">
        <v>0.12369215255699459</v>
      </c>
      <c r="J696">
        <v>0</v>
      </c>
      <c r="K696">
        <v>0.37918820669485315</v>
      </c>
      <c r="L696">
        <v>0.28398278919878417</v>
      </c>
      <c r="M696">
        <v>0.71601721080121583</v>
      </c>
      <c r="N696">
        <v>6.1114892136938326E-2</v>
      </c>
      <c r="O696" s="72">
        <v>0.99627348745656807</v>
      </c>
      <c r="P696">
        <v>0.99888933407963532</v>
      </c>
      <c r="Q696">
        <v>0.91003168665757517</v>
      </c>
      <c r="R696">
        <v>0.5409598871007345</v>
      </c>
      <c r="S696">
        <v>0.47291487334560645</v>
      </c>
      <c r="T696">
        <v>0.22423619906378833</v>
      </c>
      <c r="U696">
        <v>0.74713471702381618</v>
      </c>
      <c r="V696">
        <v>0.70187840185322381</v>
      </c>
      <c r="W696">
        <v>0.5420111433112319</v>
      </c>
      <c r="X696">
        <v>0.40425200939472961</v>
      </c>
      <c r="Y696">
        <v>0.47610872115466962</v>
      </c>
      <c r="Z696">
        <v>0.45465781199574995</v>
      </c>
      <c r="AA696">
        <v>0.67588316061184339</v>
      </c>
      <c r="AB696">
        <v>0.83700469710649594</v>
      </c>
      <c r="AC696">
        <v>0.69925965516766586</v>
      </c>
      <c r="AD696">
        <v>0.65925642606287393</v>
      </c>
      <c r="AE696">
        <v>125.95804053398346</v>
      </c>
      <c r="AF696">
        <v>1094.6148415155592</v>
      </c>
      <c r="AG696">
        <v>1637.1128393530632</v>
      </c>
      <c r="AH696">
        <v>16588.858041717445</v>
      </c>
      <c r="AI696">
        <v>13838.508869658965</v>
      </c>
      <c r="AJ696">
        <v>40966.894525289077</v>
      </c>
      <c r="AK696">
        <v>14597.792086030335</v>
      </c>
      <c r="AL696">
        <v>1551.5070830496891</v>
      </c>
      <c r="AM696">
        <v>289.53585766871146</v>
      </c>
      <c r="AO696">
        <v>39097.439115362009</v>
      </c>
      <c r="AP696">
        <v>13.541810296925938</v>
      </c>
      <c r="AQ696">
        <v>45313.205809393723</v>
      </c>
      <c r="AR696">
        <v>13.780239123518715</v>
      </c>
      <c r="AS696" s="2">
        <f t="shared" si="71"/>
        <v>6215.766694031714</v>
      </c>
      <c r="AT696" s="2">
        <f t="shared" si="72"/>
        <v>0.2384288265927772</v>
      </c>
      <c r="AV696">
        <f t="shared" si="73"/>
        <v>1315083.5905772317</v>
      </c>
      <c r="AW696">
        <f t="shared" si="74"/>
        <v>1332710.7065424779</v>
      </c>
      <c r="AY696">
        <f t="shared" si="75"/>
        <v>0</v>
      </c>
      <c r="AZ696">
        <f t="shared" si="76"/>
        <v>1</v>
      </c>
    </row>
    <row r="697" spans="1:52" x14ac:dyDescent="0.2">
      <c r="A697">
        <f t="shared" si="70"/>
        <v>693</v>
      </c>
      <c r="B697">
        <v>2.8369255795012704E-2</v>
      </c>
      <c r="C697">
        <v>5.0726118713479873E-2</v>
      </c>
      <c r="D697">
        <v>3.8018830282852981E-2</v>
      </c>
      <c r="E697">
        <v>5.3436592246806991E-3</v>
      </c>
      <c r="F697">
        <v>3.3639494573702855E-3</v>
      </c>
      <c r="G697">
        <v>6.1152992481801104E-3</v>
      </c>
      <c r="H697">
        <v>5.317206691288745E-2</v>
      </c>
      <c r="I697">
        <v>0.14227958345628355</v>
      </c>
      <c r="J697">
        <v>0</v>
      </c>
      <c r="K697">
        <v>0.4092607696896437</v>
      </c>
      <c r="L697">
        <v>0.22186400812001605</v>
      </c>
      <c r="M697">
        <v>0.77813599187998395</v>
      </c>
      <c r="N697">
        <v>6.6197437323416319E-2</v>
      </c>
      <c r="O697" s="72">
        <v>0.99942490854621469</v>
      </c>
      <c r="P697">
        <v>0.98474292281769693</v>
      </c>
      <c r="Q697">
        <v>0.96134277595200679</v>
      </c>
      <c r="R697">
        <v>0.46968859922090456</v>
      </c>
      <c r="S697">
        <v>0.31272776162888871</v>
      </c>
      <c r="T697">
        <v>0.23939546603877282</v>
      </c>
      <c r="U697">
        <v>0.76882007763232663</v>
      </c>
      <c r="V697">
        <v>0.59285546356016416</v>
      </c>
      <c r="W697">
        <v>0.51472419533807179</v>
      </c>
      <c r="X697">
        <v>0.40109574459062242</v>
      </c>
      <c r="Y697">
        <v>0.46112517646695694</v>
      </c>
      <c r="Z697">
        <v>0.47939933732104667</v>
      </c>
      <c r="AA697">
        <v>0.6764556475313207</v>
      </c>
      <c r="AB697">
        <v>0.7899846716735357</v>
      </c>
      <c r="AC697">
        <v>0.64821966675912157</v>
      </c>
      <c r="AD697">
        <v>0.57486928523653125</v>
      </c>
      <c r="AE697">
        <v>282.81531032717442</v>
      </c>
      <c r="AF697">
        <v>1037.7101307194564</v>
      </c>
      <c r="AG697">
        <v>1692.7082316288679</v>
      </c>
      <c r="AH697">
        <v>15827.57619235263</v>
      </c>
      <c r="AI697">
        <v>10647.817641552621</v>
      </c>
      <c r="AJ697">
        <v>38487.494340519559</v>
      </c>
      <c r="AK697">
        <v>12531.335788485962</v>
      </c>
      <c r="AL697">
        <v>1779.8986526585111</v>
      </c>
      <c r="AM697">
        <v>335.10936994682476</v>
      </c>
      <c r="AO697">
        <v>44898.149499941741</v>
      </c>
      <c r="AP697">
        <v>12.74445340891454</v>
      </c>
      <c r="AQ697">
        <v>46329.506619520587</v>
      </c>
      <c r="AR697">
        <v>12.923407965971929</v>
      </c>
      <c r="AS697" s="2">
        <f t="shared" si="71"/>
        <v>1431.3571195788463</v>
      </c>
      <c r="AT697" s="2">
        <f t="shared" si="72"/>
        <v>0.17895455705738961</v>
      </c>
      <c r="AV697">
        <f t="shared" si="73"/>
        <v>1229547.1913915121</v>
      </c>
      <c r="AW697">
        <f t="shared" si="74"/>
        <v>1246011.2899776725</v>
      </c>
      <c r="AY697">
        <f t="shared" si="75"/>
        <v>0</v>
      </c>
      <c r="AZ697">
        <f t="shared" si="76"/>
        <v>1</v>
      </c>
    </row>
    <row r="698" spans="1:52" x14ac:dyDescent="0.2">
      <c r="A698">
        <f t="shared" si="70"/>
        <v>694</v>
      </c>
      <c r="B698">
        <v>2.1015098360122601E-2</v>
      </c>
      <c r="C698">
        <v>4.2891035377716547E-2</v>
      </c>
      <c r="D698">
        <v>2.7774460416529027E-2</v>
      </c>
      <c r="E698">
        <v>1.7245050671297779E-2</v>
      </c>
      <c r="F698">
        <v>3.3126802301053793E-3</v>
      </c>
      <c r="G698">
        <v>2.2511346005581911E-2</v>
      </c>
      <c r="H698">
        <v>2.7321338856863817E-2</v>
      </c>
      <c r="I698">
        <v>0.15021201744322321</v>
      </c>
      <c r="J698">
        <v>0</v>
      </c>
      <c r="K698">
        <v>0.46366080676607435</v>
      </c>
      <c r="L698">
        <v>0.28927624702820431</v>
      </c>
      <c r="M698">
        <v>0.71072375297179569</v>
      </c>
      <c r="N698">
        <v>5.5601611951909359E-2</v>
      </c>
      <c r="O698" s="72">
        <v>0.99981319792080448</v>
      </c>
      <c r="P698">
        <v>0.99977304023778446</v>
      </c>
      <c r="Q698">
        <v>0.95630536104941422</v>
      </c>
      <c r="R698">
        <v>0.44970385269707347</v>
      </c>
      <c r="S698">
        <v>0.47187077677852463</v>
      </c>
      <c r="T698">
        <v>0.18053691848951481</v>
      </c>
      <c r="U698">
        <v>0.74664650308550129</v>
      </c>
      <c r="V698">
        <v>0.7773937845308112</v>
      </c>
      <c r="W698">
        <v>0.55947165755957873</v>
      </c>
      <c r="X698">
        <v>0.49717321461386388</v>
      </c>
      <c r="Y698">
        <v>0.45736958984808229</v>
      </c>
      <c r="Z698">
        <v>0.43650242451565296</v>
      </c>
      <c r="AA698">
        <v>0.73513235785666486</v>
      </c>
      <c r="AB698">
        <v>0.90756707762572886</v>
      </c>
      <c r="AC698">
        <v>0.79593249329724503</v>
      </c>
      <c r="AD698">
        <v>0.55503575165066277</v>
      </c>
      <c r="AE698">
        <v>235.92266615375232</v>
      </c>
      <c r="AF698">
        <v>993.42126646076042</v>
      </c>
      <c r="AG698">
        <v>1999.7023376491868</v>
      </c>
      <c r="AH698">
        <v>11535.122096834908</v>
      </c>
      <c r="AI698">
        <v>14916.699456888875</v>
      </c>
      <c r="AJ698">
        <v>42913.852167268822</v>
      </c>
      <c r="AK698">
        <v>7820.8037419619723</v>
      </c>
      <c r="AL698">
        <v>2086.4171465163072</v>
      </c>
      <c r="AM698">
        <v>456.10149346451942</v>
      </c>
      <c r="AO698">
        <v>46666.448494290809</v>
      </c>
      <c r="AP698">
        <v>14.513950413994566</v>
      </c>
      <c r="AQ698">
        <v>47654.198829861503</v>
      </c>
      <c r="AR698">
        <v>14.795766379298231</v>
      </c>
      <c r="AS698" s="2">
        <f t="shared" si="71"/>
        <v>987.75033557069401</v>
      </c>
      <c r="AT698" s="2">
        <f t="shared" si="72"/>
        <v>0.28181596530366448</v>
      </c>
      <c r="AV698">
        <f t="shared" si="73"/>
        <v>1404728.5929051659</v>
      </c>
      <c r="AW698">
        <f t="shared" si="74"/>
        <v>1431922.4390999614</v>
      </c>
      <c r="AY698">
        <f t="shared" si="75"/>
        <v>0</v>
      </c>
      <c r="AZ698">
        <f t="shared" si="76"/>
        <v>1</v>
      </c>
    </row>
    <row r="699" spans="1:52" x14ac:dyDescent="0.2">
      <c r="A699">
        <f t="shared" si="70"/>
        <v>695</v>
      </c>
      <c r="B699">
        <v>2.3001629382356153E-2</v>
      </c>
      <c r="C699">
        <v>2.5417068816466201E-2</v>
      </c>
      <c r="D699">
        <v>2.5973413894050314E-2</v>
      </c>
      <c r="E699">
        <v>2.9311303948698648E-3</v>
      </c>
      <c r="F699">
        <v>3.4660408569903156E-3</v>
      </c>
      <c r="G699">
        <v>7.9692427721937686E-3</v>
      </c>
      <c r="H699">
        <v>2.6792808541812822E-2</v>
      </c>
      <c r="I699">
        <v>0.12281324630991183</v>
      </c>
      <c r="J699">
        <v>0</v>
      </c>
      <c r="K699">
        <v>0.44606117701010506</v>
      </c>
      <c r="L699">
        <v>9.0188200241224523E-2</v>
      </c>
      <c r="M699">
        <v>0.90981179975877546</v>
      </c>
      <c r="N699">
        <v>5.3813708426404386E-2</v>
      </c>
      <c r="O699" s="72">
        <v>0.99986314192215708</v>
      </c>
      <c r="P699">
        <v>0.99818872493502719</v>
      </c>
      <c r="Q699">
        <v>0.99697622354956905</v>
      </c>
      <c r="R699">
        <v>0.51148320699563543</v>
      </c>
      <c r="S699">
        <v>0.38351324291406164</v>
      </c>
      <c r="T699">
        <v>0.30118036611617682</v>
      </c>
      <c r="U699">
        <v>0.77464458461652597</v>
      </c>
      <c r="V699">
        <v>0.6607061946781696</v>
      </c>
      <c r="W699">
        <v>0.4286352465836254</v>
      </c>
      <c r="X699">
        <v>0.515370879202113</v>
      </c>
      <c r="Y699">
        <v>0.45927190091443659</v>
      </c>
      <c r="Z699">
        <v>0.44422012196179689</v>
      </c>
      <c r="AA699">
        <v>0.68632956350049867</v>
      </c>
      <c r="AB699">
        <v>0.77562225649997907</v>
      </c>
      <c r="AC699">
        <v>0.72420230243037675</v>
      </c>
      <c r="AD699">
        <v>0.63544200439953513</v>
      </c>
      <c r="AE699">
        <v>214.31875125737255</v>
      </c>
      <c r="AF699">
        <v>911.24997552094464</v>
      </c>
      <c r="AG699">
        <v>1195.5666678770808</v>
      </c>
      <c r="AH699">
        <v>16015.837007858592</v>
      </c>
      <c r="AI699">
        <v>11521.150228322856</v>
      </c>
      <c r="AJ699">
        <v>39500.754419348501</v>
      </c>
      <c r="AK699">
        <v>12066.513391193765</v>
      </c>
      <c r="AL699">
        <v>1654.9570274198149</v>
      </c>
      <c r="AM699">
        <v>343.31558755858902</v>
      </c>
      <c r="AO699">
        <v>40541.012651823017</v>
      </c>
      <c r="AP699">
        <v>12.848540517926482</v>
      </c>
      <c r="AQ699">
        <v>45848.094570640504</v>
      </c>
      <c r="AR699">
        <v>12.948999076601879</v>
      </c>
      <c r="AS699" s="2">
        <f t="shared" si="71"/>
        <v>5307.0819188174864</v>
      </c>
      <c r="AT699" s="2">
        <f t="shared" si="72"/>
        <v>0.10045855867539721</v>
      </c>
      <c r="AV699">
        <f t="shared" si="73"/>
        <v>1244313.0391408252</v>
      </c>
      <c r="AW699">
        <f t="shared" si="74"/>
        <v>1249051.8130895474</v>
      </c>
      <c r="AY699">
        <f t="shared" si="75"/>
        <v>0</v>
      </c>
      <c r="AZ699">
        <f t="shared" si="76"/>
        <v>1</v>
      </c>
    </row>
    <row r="700" spans="1:52" x14ac:dyDescent="0.2">
      <c r="A700">
        <f t="shared" si="70"/>
        <v>696</v>
      </c>
      <c r="B700">
        <v>2.3904046480108632E-2</v>
      </c>
      <c r="C700">
        <v>3.0226666206129019E-2</v>
      </c>
      <c r="D700">
        <v>5.2073711889999208E-2</v>
      </c>
      <c r="E700">
        <v>3.945415167886164E-3</v>
      </c>
      <c r="F700">
        <v>3.2184330341347065E-3</v>
      </c>
      <c r="G700">
        <v>9.5683937638491208E-3</v>
      </c>
      <c r="H700">
        <v>3.3930517878619892E-2</v>
      </c>
      <c r="I700">
        <v>0.13068924570834906</v>
      </c>
      <c r="J700">
        <v>0</v>
      </c>
      <c r="K700">
        <v>0.43230173739561362</v>
      </c>
      <c r="L700">
        <v>0.24386790945720871</v>
      </c>
      <c r="M700">
        <v>0.75613209054279129</v>
      </c>
      <c r="N700">
        <v>5.0080805630467594E-2</v>
      </c>
      <c r="O700" s="72">
        <v>0.99888994398992781</v>
      </c>
      <c r="P700">
        <v>0.99847889549447921</v>
      </c>
      <c r="Q700">
        <v>0.95644638545785177</v>
      </c>
      <c r="R700">
        <v>0.46459028015267489</v>
      </c>
      <c r="S700">
        <v>0.46816136996507574</v>
      </c>
      <c r="T700">
        <v>0.1699272370963778</v>
      </c>
      <c r="U700">
        <v>0.76942186525655942</v>
      </c>
      <c r="V700">
        <v>0.70004560264952498</v>
      </c>
      <c r="W700">
        <v>0.51917280210836692</v>
      </c>
      <c r="X700">
        <v>0.40159708083186602</v>
      </c>
      <c r="Y700">
        <v>0.41338170749975744</v>
      </c>
      <c r="Z700">
        <v>0.48859418087602879</v>
      </c>
      <c r="AA700">
        <v>0.67998141693358083</v>
      </c>
      <c r="AB700">
        <v>0.77773062240353019</v>
      </c>
      <c r="AC700">
        <v>0.69420218722903937</v>
      </c>
      <c r="AD700">
        <v>0.53213657397642466</v>
      </c>
      <c r="AE700">
        <v>158.03046825057459</v>
      </c>
      <c r="AF700">
        <v>884.55863836430012</v>
      </c>
      <c r="AG700">
        <v>1787.0648392556732</v>
      </c>
      <c r="AH700">
        <v>11001.18140275045</v>
      </c>
      <c r="AI700">
        <v>14038.637714008111</v>
      </c>
      <c r="AJ700">
        <v>41986.025712729701</v>
      </c>
      <c r="AK700">
        <v>9305.989496648479</v>
      </c>
      <c r="AL700">
        <v>3027.9719983905934</v>
      </c>
      <c r="AM700">
        <v>353.23205319180772</v>
      </c>
      <c r="AO700">
        <v>44523.869934961484</v>
      </c>
      <c r="AP700">
        <v>12.643026285795539</v>
      </c>
      <c r="AQ700">
        <v>46008.257012392067</v>
      </c>
      <c r="AR700">
        <v>12.779775738509972</v>
      </c>
      <c r="AS700" s="2">
        <f t="shared" si="71"/>
        <v>1484.3870774305833</v>
      </c>
      <c r="AT700" s="2">
        <f t="shared" si="72"/>
        <v>0.13674945271443306</v>
      </c>
      <c r="AV700">
        <f t="shared" si="73"/>
        <v>1219778.7586445925</v>
      </c>
      <c r="AW700">
        <f t="shared" si="74"/>
        <v>1231969.3168386051</v>
      </c>
      <c r="AY700">
        <f t="shared" si="75"/>
        <v>0</v>
      </c>
      <c r="AZ700">
        <f t="shared" si="76"/>
        <v>1</v>
      </c>
    </row>
    <row r="701" spans="1:52" x14ac:dyDescent="0.2">
      <c r="A701">
        <f t="shared" si="70"/>
        <v>697</v>
      </c>
      <c r="B701">
        <v>2.098796819946408E-2</v>
      </c>
      <c r="C701">
        <v>4.1999862162784174E-2</v>
      </c>
      <c r="D701">
        <v>4.2523739247489978E-2</v>
      </c>
      <c r="E701">
        <v>2.5022487198495758E-2</v>
      </c>
      <c r="F701">
        <v>3.39809095839394E-3</v>
      </c>
      <c r="G701">
        <v>1.8051328960015489E-2</v>
      </c>
      <c r="H701">
        <v>3.649420415554816E-2</v>
      </c>
      <c r="I701">
        <v>0.11995983789318185</v>
      </c>
      <c r="J701">
        <v>0</v>
      </c>
      <c r="K701">
        <v>0.43310507726224379</v>
      </c>
      <c r="L701">
        <v>0.20595613146602956</v>
      </c>
      <c r="M701">
        <v>0.79404386853397046</v>
      </c>
      <c r="N701">
        <v>4.5492011587880028E-2</v>
      </c>
      <c r="O701" s="72">
        <v>0.9786482609863566</v>
      </c>
      <c r="P701">
        <v>0.99995439893095472</v>
      </c>
      <c r="Q701">
        <v>0.97097038148366466</v>
      </c>
      <c r="R701">
        <v>0.48168119491076888</v>
      </c>
      <c r="S701">
        <v>0.40820579712838645</v>
      </c>
      <c r="T701">
        <v>0.21105266484655927</v>
      </c>
      <c r="U701">
        <v>0.77944336053280172</v>
      </c>
      <c r="V701">
        <v>0.63075148528662317</v>
      </c>
      <c r="W701">
        <v>0.57495197605776704</v>
      </c>
      <c r="X701">
        <v>0.47986236393464021</v>
      </c>
      <c r="Y701">
        <v>0.50644153619820598</v>
      </c>
      <c r="Z701">
        <v>0.47509117403115331</v>
      </c>
      <c r="AA701">
        <v>0.67736421713271922</v>
      </c>
      <c r="AB701">
        <v>0.88631569773248553</v>
      </c>
      <c r="AC701">
        <v>0.70961116114373834</v>
      </c>
      <c r="AD701">
        <v>0.61219386151452204</v>
      </c>
      <c r="AE701">
        <v>224.54944590398009</v>
      </c>
      <c r="AF701">
        <v>1083.7785784237713</v>
      </c>
      <c r="AG701">
        <v>1258.4067208439931</v>
      </c>
      <c r="AH701">
        <v>13208.919600063018</v>
      </c>
      <c r="AI701">
        <v>14403.645565320814</v>
      </c>
      <c r="AJ701">
        <v>42824.322191227671</v>
      </c>
      <c r="AK701">
        <v>15792.663101398588</v>
      </c>
      <c r="AL701">
        <v>1968.1099588454863</v>
      </c>
      <c r="AM701">
        <v>448.86945231237627</v>
      </c>
      <c r="AO701">
        <v>44635.473180779598</v>
      </c>
      <c r="AP701">
        <v>14.145874427033768</v>
      </c>
      <c r="AQ701">
        <v>47592.422950860571</v>
      </c>
      <c r="AR701">
        <v>14.423954782294286</v>
      </c>
      <c r="AS701" s="2">
        <f t="shared" si="71"/>
        <v>2956.9497700809734</v>
      </c>
      <c r="AT701" s="2">
        <f t="shared" si="72"/>
        <v>0.27808035526051889</v>
      </c>
      <c r="AV701">
        <f t="shared" si="73"/>
        <v>1369951.9695225973</v>
      </c>
      <c r="AW701">
        <f t="shared" si="74"/>
        <v>1394803.0552785681</v>
      </c>
      <c r="AY701">
        <f t="shared" si="75"/>
        <v>0</v>
      </c>
      <c r="AZ701">
        <f t="shared" si="76"/>
        <v>1</v>
      </c>
    </row>
    <row r="702" spans="1:52" x14ac:dyDescent="0.2">
      <c r="A702">
        <f t="shared" si="70"/>
        <v>698</v>
      </c>
      <c r="B702">
        <v>2.8969548992572203E-2</v>
      </c>
      <c r="C702">
        <v>2.4203261425624064E-2</v>
      </c>
      <c r="D702">
        <v>6.0118883121513367E-2</v>
      </c>
      <c r="E702">
        <v>2.4001935626763782E-2</v>
      </c>
      <c r="F702">
        <v>3.2978778397051624E-3</v>
      </c>
      <c r="G702">
        <v>4.1752106021194058E-2</v>
      </c>
      <c r="H702">
        <v>4.442484962717197E-2</v>
      </c>
      <c r="I702">
        <v>0.12512299363322049</v>
      </c>
      <c r="J702">
        <v>0</v>
      </c>
      <c r="K702">
        <v>0.43059461634027185</v>
      </c>
      <c r="L702">
        <v>0.20554096591877691</v>
      </c>
      <c r="M702">
        <v>0.79445903408122309</v>
      </c>
      <c r="N702">
        <v>6.2206197221061688E-2</v>
      </c>
      <c r="O702" s="72">
        <v>0.9999654195271972</v>
      </c>
      <c r="P702">
        <v>0.96530015753156473</v>
      </c>
      <c r="Q702">
        <v>0.95516090320659441</v>
      </c>
      <c r="R702">
        <v>0.48955570183377095</v>
      </c>
      <c r="S702">
        <v>0.34718443781324937</v>
      </c>
      <c r="T702">
        <v>0.18592895668058707</v>
      </c>
      <c r="U702">
        <v>0.75617262164000942</v>
      </c>
      <c r="V702">
        <v>0.6709134059136177</v>
      </c>
      <c r="W702">
        <v>0.62350227361760158</v>
      </c>
      <c r="X702">
        <v>0.45865334024759441</v>
      </c>
      <c r="Y702">
        <v>0.43508941442180349</v>
      </c>
      <c r="Z702">
        <v>0.42522575591573897</v>
      </c>
      <c r="AA702">
        <v>0.6633610956377417</v>
      </c>
      <c r="AB702">
        <v>0.76737320384370322</v>
      </c>
      <c r="AC702">
        <v>0.71638260000796217</v>
      </c>
      <c r="AD702">
        <v>0.65862342470165181</v>
      </c>
      <c r="AE702">
        <v>175.36031258570671</v>
      </c>
      <c r="AF702">
        <v>1073.7530609731757</v>
      </c>
      <c r="AG702">
        <v>1643.6378349679655</v>
      </c>
      <c r="AH702">
        <v>16622.494941700919</v>
      </c>
      <c r="AI702">
        <v>10864.466870062408</v>
      </c>
      <c r="AJ702">
        <v>45566.468586878495</v>
      </c>
      <c r="AK702">
        <v>12902.221732704038</v>
      </c>
      <c r="AL702">
        <v>1688.4087568743519</v>
      </c>
      <c r="AM702">
        <v>220.57874231833915</v>
      </c>
      <c r="AO702">
        <v>42351.413078607802</v>
      </c>
      <c r="AP702">
        <v>12.632858512724802</v>
      </c>
      <c r="AQ702">
        <v>45104.968571851736</v>
      </c>
      <c r="AR702">
        <v>12.847111920259783</v>
      </c>
      <c r="AS702" s="2">
        <f t="shared" si="71"/>
        <v>2753.5554932439336</v>
      </c>
      <c r="AT702" s="2">
        <f t="shared" si="72"/>
        <v>0.21425340753498112</v>
      </c>
      <c r="AV702">
        <f t="shared" si="73"/>
        <v>1220934.4381938723</v>
      </c>
      <c r="AW702">
        <f t="shared" si="74"/>
        <v>1239606.2234541266</v>
      </c>
      <c r="AY702">
        <f t="shared" si="75"/>
        <v>0</v>
      </c>
      <c r="AZ702">
        <f t="shared" si="76"/>
        <v>1</v>
      </c>
    </row>
    <row r="703" spans="1:52" x14ac:dyDescent="0.2">
      <c r="A703">
        <f t="shared" si="70"/>
        <v>699</v>
      </c>
      <c r="B703">
        <v>3.2640332853826282E-2</v>
      </c>
      <c r="C703">
        <v>3.9578162656091265E-2</v>
      </c>
      <c r="D703">
        <v>6.6571675383212847E-2</v>
      </c>
      <c r="E703">
        <v>5.0529217523909726E-3</v>
      </c>
      <c r="F703">
        <v>3.3506705015491356E-3</v>
      </c>
      <c r="G703">
        <v>2.1355652070068911E-3</v>
      </c>
      <c r="H703">
        <v>2.5631430188632925E-2</v>
      </c>
      <c r="I703">
        <v>0.14111635263945665</v>
      </c>
      <c r="J703">
        <v>0</v>
      </c>
      <c r="K703">
        <v>0.47653441971335297</v>
      </c>
      <c r="L703">
        <v>0.24304868965557136</v>
      </c>
      <c r="M703">
        <v>0.75695131034442864</v>
      </c>
      <c r="N703">
        <v>5.1555296715663147E-2</v>
      </c>
      <c r="O703" s="72">
        <v>0.99917954519344532</v>
      </c>
      <c r="P703">
        <v>0.99999991502062324</v>
      </c>
      <c r="Q703">
        <v>0.98787448165871983</v>
      </c>
      <c r="R703">
        <v>0.45684908949648495</v>
      </c>
      <c r="S703">
        <v>0.40752618821146669</v>
      </c>
      <c r="T703">
        <v>0.24385541308759351</v>
      </c>
      <c r="U703">
        <v>0.76155130943812399</v>
      </c>
      <c r="V703">
        <v>0.67976578487395778</v>
      </c>
      <c r="W703">
        <v>0.52100665223553566</v>
      </c>
      <c r="X703">
        <v>0.41509628402227328</v>
      </c>
      <c r="Y703">
        <v>0.49451932158645262</v>
      </c>
      <c r="Z703">
        <v>0.45609159862471593</v>
      </c>
      <c r="AA703">
        <v>0.62372272128593831</v>
      </c>
      <c r="AB703">
        <v>0.82194045723877107</v>
      </c>
      <c r="AC703">
        <v>0.78316402389642858</v>
      </c>
      <c r="AD703">
        <v>0.55873649394260427</v>
      </c>
      <c r="AE703">
        <v>200.42113048994037</v>
      </c>
      <c r="AF703">
        <v>1051.4596327444417</v>
      </c>
      <c r="AG703">
        <v>1217.7939483655357</v>
      </c>
      <c r="AH703">
        <v>13379.677303110338</v>
      </c>
      <c r="AI703">
        <v>15609.027400559671</v>
      </c>
      <c r="AJ703">
        <v>44781.530285253335</v>
      </c>
      <c r="AK703">
        <v>11809.523414858617</v>
      </c>
      <c r="AL703">
        <v>3032.8196699402233</v>
      </c>
      <c r="AM703">
        <v>374.87728724034912</v>
      </c>
      <c r="AO703">
        <v>44418.530201712056</v>
      </c>
      <c r="AP703">
        <v>13.375967699603832</v>
      </c>
      <c r="AQ703">
        <v>46243.927983258058</v>
      </c>
      <c r="AR703">
        <v>13.589869620246287</v>
      </c>
      <c r="AS703" s="2">
        <f t="shared" si="71"/>
        <v>1825.3977815460021</v>
      </c>
      <c r="AT703" s="2">
        <f t="shared" si="72"/>
        <v>0.21390192064245461</v>
      </c>
      <c r="AV703">
        <f t="shared" si="73"/>
        <v>1293178.239758671</v>
      </c>
      <c r="AW703">
        <f t="shared" si="74"/>
        <v>1312743.0340413705</v>
      </c>
      <c r="AY703">
        <f t="shared" si="75"/>
        <v>0</v>
      </c>
      <c r="AZ703">
        <f t="shared" si="76"/>
        <v>1</v>
      </c>
    </row>
    <row r="704" spans="1:52" x14ac:dyDescent="0.2">
      <c r="A704">
        <f t="shared" ref="A704:A767" si="77">A703+1</f>
        <v>700</v>
      </c>
      <c r="B704">
        <v>3.103561973220359E-2</v>
      </c>
      <c r="C704">
        <v>3.4162982762345584E-2</v>
      </c>
      <c r="D704">
        <v>3.906966856352323E-2</v>
      </c>
      <c r="E704">
        <v>2.4780532921645393E-2</v>
      </c>
      <c r="F704">
        <v>3.3239681820821957E-3</v>
      </c>
      <c r="G704">
        <v>4.3078725499467998E-3</v>
      </c>
      <c r="H704">
        <v>4.0812188937099259E-2</v>
      </c>
      <c r="I704">
        <v>0.12852561443761146</v>
      </c>
      <c r="J704">
        <v>0</v>
      </c>
      <c r="K704">
        <v>0.41840085550911316</v>
      </c>
      <c r="L704">
        <v>0.14632043323881147</v>
      </c>
      <c r="M704">
        <v>0.8536795667611885</v>
      </c>
      <c r="N704">
        <v>7.0260327326134853E-2</v>
      </c>
      <c r="O704" s="72">
        <v>0.99993428374568516</v>
      </c>
      <c r="P704">
        <v>0.99821735470985307</v>
      </c>
      <c r="Q704">
        <v>0.96658517083535311</v>
      </c>
      <c r="R704">
        <v>0.54277887708348882</v>
      </c>
      <c r="S704">
        <v>0.37621241785778725</v>
      </c>
      <c r="T704">
        <v>0.20525348119533304</v>
      </c>
      <c r="U704">
        <v>0.77040869498981657</v>
      </c>
      <c r="V704">
        <v>0.69799188539297485</v>
      </c>
      <c r="W704">
        <v>0.53672178955409344</v>
      </c>
      <c r="X704">
        <v>0.43686495847156598</v>
      </c>
      <c r="Y704">
        <v>0.47811647838350291</v>
      </c>
      <c r="Z704">
        <v>0.42903387586747727</v>
      </c>
      <c r="AA704">
        <v>0.78236457986590169</v>
      </c>
      <c r="AB704">
        <v>0.67278287925738378</v>
      </c>
      <c r="AC704">
        <v>0.73788918316077012</v>
      </c>
      <c r="AD704">
        <v>0.63411101166541761</v>
      </c>
      <c r="AE704">
        <v>141.59745185545376</v>
      </c>
      <c r="AF704">
        <v>988.29304362279299</v>
      </c>
      <c r="AG704">
        <v>1702.1018845127046</v>
      </c>
      <c r="AH704">
        <v>8880.1306560226749</v>
      </c>
      <c r="AI704">
        <v>10295.001403856751</v>
      </c>
      <c r="AJ704">
        <v>37388.369521507273</v>
      </c>
      <c r="AK704">
        <v>11010.578462046336</v>
      </c>
      <c r="AL704">
        <v>2950.6230700064807</v>
      </c>
      <c r="AM704">
        <v>411.0453704613754</v>
      </c>
      <c r="AO704">
        <v>41516.168386063757</v>
      </c>
      <c r="AP704">
        <v>11.467847879184987</v>
      </c>
      <c r="AQ704">
        <v>46838.702168150798</v>
      </c>
      <c r="AR704">
        <v>11.543891472135007</v>
      </c>
      <c r="AS704" s="2">
        <f t="shared" si="71"/>
        <v>5322.5337820870409</v>
      </c>
      <c r="AT704" s="2">
        <f t="shared" si="72"/>
        <v>7.6043592950020056E-2</v>
      </c>
      <c r="AV704">
        <f t="shared" si="73"/>
        <v>1105268.619532435</v>
      </c>
      <c r="AW704">
        <f t="shared" si="74"/>
        <v>1107550.4450453499</v>
      </c>
      <c r="AY704">
        <f t="shared" si="75"/>
        <v>0</v>
      </c>
      <c r="AZ704">
        <f t="shared" si="76"/>
        <v>1</v>
      </c>
    </row>
    <row r="705" spans="1:52" x14ac:dyDescent="0.2">
      <c r="A705">
        <f t="shared" si="77"/>
        <v>701</v>
      </c>
      <c r="B705">
        <v>2.3466775112444983E-2</v>
      </c>
      <c r="C705">
        <v>3.2044958680215917E-2</v>
      </c>
      <c r="D705">
        <v>3.1826030633589179E-2</v>
      </c>
      <c r="E705">
        <v>3.3235026454421788E-3</v>
      </c>
      <c r="F705">
        <v>3.386156773426352E-3</v>
      </c>
      <c r="G705">
        <v>8.8607504783597794E-3</v>
      </c>
      <c r="H705">
        <v>4.2163080538542563E-2</v>
      </c>
      <c r="I705">
        <v>0.12381810067511136</v>
      </c>
      <c r="J705">
        <v>0</v>
      </c>
      <c r="K705">
        <v>0.40399664161736604</v>
      </c>
      <c r="L705">
        <v>0.28385583079206</v>
      </c>
      <c r="M705">
        <v>0.71614416920794</v>
      </c>
      <c r="N705">
        <v>6.0266095948079079E-2</v>
      </c>
      <c r="O705" s="72">
        <v>0.99996746870163911</v>
      </c>
      <c r="P705">
        <v>0.92046408247891254</v>
      </c>
      <c r="Q705">
        <v>0.91960224681830527</v>
      </c>
      <c r="R705">
        <v>0.50776174374795946</v>
      </c>
      <c r="S705">
        <v>0.37717961932912381</v>
      </c>
      <c r="T705">
        <v>0.22551651182399668</v>
      </c>
      <c r="U705">
        <v>0.78168489616968106</v>
      </c>
      <c r="V705">
        <v>0.64252027798179279</v>
      </c>
      <c r="W705">
        <v>0.51573489884143142</v>
      </c>
      <c r="X705">
        <v>0.52795879050944494</v>
      </c>
      <c r="Y705">
        <v>0.41424402101806324</v>
      </c>
      <c r="Z705">
        <v>0.49604405275910701</v>
      </c>
      <c r="AA705">
        <v>0.7354273494498792</v>
      </c>
      <c r="AB705">
        <v>0.87799034428800971</v>
      </c>
      <c r="AC705">
        <v>0.83437654669535088</v>
      </c>
      <c r="AD705">
        <v>0.59887239188755903</v>
      </c>
      <c r="AE705">
        <v>196.78870825792529</v>
      </c>
      <c r="AF705">
        <v>1105.5938645229019</v>
      </c>
      <c r="AG705">
        <v>1264.8467134142559</v>
      </c>
      <c r="AH705">
        <v>12518.208665282777</v>
      </c>
      <c r="AI705">
        <v>11093.076778284971</v>
      </c>
      <c r="AJ705">
        <v>36695.910736111975</v>
      </c>
      <c r="AK705">
        <v>13177.143903819098</v>
      </c>
      <c r="AL705">
        <v>2246.9032820742555</v>
      </c>
      <c r="AM705">
        <v>200.44177970283425</v>
      </c>
      <c r="AO705">
        <v>39870.652846129975</v>
      </c>
      <c r="AP705">
        <v>14.311484723830525</v>
      </c>
      <c r="AQ705">
        <v>46419.353157344922</v>
      </c>
      <c r="AR705">
        <v>14.508714013692144</v>
      </c>
      <c r="AS705" s="2">
        <f t="shared" si="71"/>
        <v>6548.7003112149469</v>
      </c>
      <c r="AT705" s="2">
        <f t="shared" si="72"/>
        <v>0.19722928986161925</v>
      </c>
      <c r="AV705">
        <f t="shared" si="73"/>
        <v>1391277.8195369223</v>
      </c>
      <c r="AW705">
        <f t="shared" si="74"/>
        <v>1404452.0482118693</v>
      </c>
      <c r="AY705">
        <f t="shared" si="75"/>
        <v>0</v>
      </c>
      <c r="AZ705">
        <f t="shared" si="76"/>
        <v>1</v>
      </c>
    </row>
    <row r="706" spans="1:52" x14ac:dyDescent="0.2">
      <c r="A706">
        <f t="shared" si="77"/>
        <v>702</v>
      </c>
      <c r="B706">
        <v>1.9071164267798403E-2</v>
      </c>
      <c r="C706">
        <v>3.0364915549576783E-2</v>
      </c>
      <c r="D706">
        <v>5.4182090532149063E-2</v>
      </c>
      <c r="E706">
        <v>2.9379087065726857E-3</v>
      </c>
      <c r="F706">
        <v>3.2492509789787127E-3</v>
      </c>
      <c r="G706">
        <v>1.2176823165804374E-2</v>
      </c>
      <c r="H706">
        <v>2.7765924420618635E-2</v>
      </c>
      <c r="I706">
        <v>0.13195738578132776</v>
      </c>
      <c r="J706">
        <v>0</v>
      </c>
      <c r="K706">
        <v>0.45105181790553439</v>
      </c>
      <c r="L706">
        <v>0.13801937846434462</v>
      </c>
      <c r="M706">
        <v>0.86198062153565536</v>
      </c>
      <c r="N706">
        <v>5.0564018046933897E-2</v>
      </c>
      <c r="O706" s="72">
        <v>0.99999557437179309</v>
      </c>
      <c r="P706">
        <v>0.99833506365148716</v>
      </c>
      <c r="Q706">
        <v>0.97408930110003955</v>
      </c>
      <c r="R706">
        <v>0.47779015057123164</v>
      </c>
      <c r="S706">
        <v>0.35599254661923052</v>
      </c>
      <c r="T706">
        <v>0.17895739578330094</v>
      </c>
      <c r="U706">
        <v>0.77189005332769345</v>
      </c>
      <c r="V706">
        <v>0.62710296857678294</v>
      </c>
      <c r="W706">
        <v>0.42225035080362672</v>
      </c>
      <c r="X706">
        <v>0.43949260811371266</v>
      </c>
      <c r="Y706">
        <v>0.41765271359096157</v>
      </c>
      <c r="Z706">
        <v>0.47291280324148222</v>
      </c>
      <c r="AA706">
        <v>0.75909924731000089</v>
      </c>
      <c r="AB706">
        <v>0.86482729760708088</v>
      </c>
      <c r="AC706">
        <v>0.64718358403955489</v>
      </c>
      <c r="AD706">
        <v>0.62180629730151771</v>
      </c>
      <c r="AE706">
        <v>184.39677720411729</v>
      </c>
      <c r="AF706">
        <v>1092.5316520243991</v>
      </c>
      <c r="AG706">
        <v>1528.3514312207462</v>
      </c>
      <c r="AH706">
        <v>13524.99577512557</v>
      </c>
      <c r="AI706">
        <v>8963.54093434895</v>
      </c>
      <c r="AJ706">
        <v>38291.617046436673</v>
      </c>
      <c r="AK706">
        <v>14864.664881764566</v>
      </c>
      <c r="AL706">
        <v>2345.7805089082121</v>
      </c>
      <c r="AM706">
        <v>359.25135035905981</v>
      </c>
      <c r="AO706">
        <v>45103.628668759622</v>
      </c>
      <c r="AP706">
        <v>13.730111157772257</v>
      </c>
      <c r="AQ706">
        <v>46106.203498553288</v>
      </c>
      <c r="AR706">
        <v>14.026027194593947</v>
      </c>
      <c r="AS706" s="2">
        <f t="shared" si="71"/>
        <v>1002.5748297936661</v>
      </c>
      <c r="AT706" s="2">
        <f t="shared" si="72"/>
        <v>0.29591603682169065</v>
      </c>
      <c r="AV706">
        <f t="shared" si="73"/>
        <v>1327907.487108466</v>
      </c>
      <c r="AW706">
        <f t="shared" si="74"/>
        <v>1356496.5159608414</v>
      </c>
      <c r="AY706">
        <f t="shared" si="75"/>
        <v>0</v>
      </c>
      <c r="AZ706">
        <f t="shared" si="76"/>
        <v>1</v>
      </c>
    </row>
    <row r="707" spans="1:52" x14ac:dyDescent="0.2">
      <c r="A707">
        <f t="shared" si="77"/>
        <v>703</v>
      </c>
      <c r="B707">
        <v>2.6557093648721164E-2</v>
      </c>
      <c r="C707">
        <v>5.8602076382819557E-2</v>
      </c>
      <c r="D707">
        <v>2.7770732518406019E-2</v>
      </c>
      <c r="E707">
        <v>1.3127809602439089E-2</v>
      </c>
      <c r="F707">
        <v>3.4917383240672395E-3</v>
      </c>
      <c r="G707">
        <v>1.4105902888235877E-2</v>
      </c>
      <c r="H707">
        <v>7.1402869385502665E-2</v>
      </c>
      <c r="I707">
        <v>0.12334141455690789</v>
      </c>
      <c r="J707">
        <v>0</v>
      </c>
      <c r="K707">
        <v>0.42873801171165671</v>
      </c>
      <c r="L707">
        <v>0.26073620682841614</v>
      </c>
      <c r="M707">
        <v>0.73926379317158386</v>
      </c>
      <c r="N707">
        <v>5.5792654511054099E-2</v>
      </c>
      <c r="O707" s="72">
        <v>0.99999146569375297</v>
      </c>
      <c r="P707">
        <v>0.99973002842689473</v>
      </c>
      <c r="Q707">
        <v>0.9046168614238983</v>
      </c>
      <c r="R707">
        <v>0.51757114912919855</v>
      </c>
      <c r="S707">
        <v>0.49641108510391685</v>
      </c>
      <c r="T707">
        <v>0.32214628443445048</v>
      </c>
      <c r="U707">
        <v>0.76715874054497635</v>
      </c>
      <c r="V707">
        <v>0.67967806764626049</v>
      </c>
      <c r="W707">
        <v>0.62030547467477537</v>
      </c>
      <c r="X707">
        <v>0.47859490038881569</v>
      </c>
      <c r="Y707">
        <v>0.48898211605962216</v>
      </c>
      <c r="Z707">
        <v>0.45773264520798884</v>
      </c>
      <c r="AA707">
        <v>0.58749430391554391</v>
      </c>
      <c r="AB707">
        <v>0.77087477688558981</v>
      </c>
      <c r="AC707">
        <v>0.74891621262633823</v>
      </c>
      <c r="AD707">
        <v>0.60580578295394383</v>
      </c>
      <c r="AE707">
        <v>194.47557344536068</v>
      </c>
      <c r="AF707">
        <v>1110.297400557627</v>
      </c>
      <c r="AG707">
        <v>1478.4587839565415</v>
      </c>
      <c r="AH707">
        <v>9951.1843840505862</v>
      </c>
      <c r="AI707">
        <v>12386.22418024434</v>
      </c>
      <c r="AJ707">
        <v>39047.022726018542</v>
      </c>
      <c r="AK707">
        <v>12379.29617049881</v>
      </c>
      <c r="AL707">
        <v>3426.4579413271781</v>
      </c>
      <c r="AM707">
        <v>458.85566697628434</v>
      </c>
      <c r="AO707">
        <v>40519.920701800307</v>
      </c>
      <c r="AP707">
        <v>12.809243022285491</v>
      </c>
      <c r="AQ707">
        <v>47856.925216272924</v>
      </c>
      <c r="AR707">
        <v>12.883933756245028</v>
      </c>
      <c r="AS707" s="2">
        <f t="shared" si="71"/>
        <v>7337.0045144726173</v>
      </c>
      <c r="AT707" s="2">
        <f t="shared" si="72"/>
        <v>7.469073395953707E-2</v>
      </c>
      <c r="AV707">
        <f t="shared" si="73"/>
        <v>1240404.3815267486</v>
      </c>
      <c r="AW707">
        <f t="shared" si="74"/>
        <v>1240536.4504082298</v>
      </c>
      <c r="AY707">
        <f t="shared" si="75"/>
        <v>0</v>
      </c>
      <c r="AZ707">
        <f t="shared" si="76"/>
        <v>1</v>
      </c>
    </row>
    <row r="708" spans="1:52" x14ac:dyDescent="0.2">
      <c r="A708">
        <f t="shared" si="77"/>
        <v>704</v>
      </c>
      <c r="B708">
        <v>1.9073653898126409E-2</v>
      </c>
      <c r="C708">
        <v>3.3690859635901446E-2</v>
      </c>
      <c r="D708">
        <v>4.2208844411392943E-2</v>
      </c>
      <c r="E708">
        <v>1.425310481764952E-2</v>
      </c>
      <c r="F708">
        <v>3.2603444193081638E-3</v>
      </c>
      <c r="G708">
        <v>3.0161245019406279E-4</v>
      </c>
      <c r="H708">
        <v>2.0899362600107343E-2</v>
      </c>
      <c r="I708">
        <v>0.14492669771688693</v>
      </c>
      <c r="J708">
        <v>0</v>
      </c>
      <c r="K708">
        <v>0.46024908588267543</v>
      </c>
      <c r="L708">
        <v>0.15188752664401611</v>
      </c>
      <c r="M708">
        <v>0.84811247335598394</v>
      </c>
      <c r="N708">
        <v>9.1463267983782681E-2</v>
      </c>
      <c r="O708" s="72">
        <v>0.99273200934536787</v>
      </c>
      <c r="P708">
        <v>0.99854341119142354</v>
      </c>
      <c r="Q708">
        <v>0.95411941455194849</v>
      </c>
      <c r="R708">
        <v>0.48833229094136299</v>
      </c>
      <c r="S708">
        <v>0.38420345626878805</v>
      </c>
      <c r="T708">
        <v>0.24474761316958726</v>
      </c>
      <c r="U708">
        <v>0.77813236636467542</v>
      </c>
      <c r="V708">
        <v>0.6791439167854455</v>
      </c>
      <c r="W708">
        <v>0.50308249967945451</v>
      </c>
      <c r="X708">
        <v>0.41389713291367985</v>
      </c>
      <c r="Y708">
        <v>0.46553290955619431</v>
      </c>
      <c r="Z708">
        <v>0.48809638619853501</v>
      </c>
      <c r="AA708">
        <v>0.7405794445338747</v>
      </c>
      <c r="AB708">
        <v>0.76242845460843023</v>
      </c>
      <c r="AC708">
        <v>0.7128309651458159</v>
      </c>
      <c r="AD708">
        <v>0.58127649457905672</v>
      </c>
      <c r="AE708">
        <v>177.61647762407472</v>
      </c>
      <c r="AF708">
        <v>978.46713717047612</v>
      </c>
      <c r="AG708">
        <v>1340.0071071056052</v>
      </c>
      <c r="AH708">
        <v>13851.482882696582</v>
      </c>
      <c r="AI708">
        <v>10359.798624179379</v>
      </c>
      <c r="AJ708">
        <v>38327.336216214593</v>
      </c>
      <c r="AK708">
        <v>14013.446380180698</v>
      </c>
      <c r="AL708">
        <v>2022.2974674211071</v>
      </c>
      <c r="AM708">
        <v>364.08026613076424</v>
      </c>
      <c r="AO708">
        <v>42586.68770054038</v>
      </c>
      <c r="AP708">
        <v>12.551857835438547</v>
      </c>
      <c r="AQ708">
        <v>46241.210420256277</v>
      </c>
      <c r="AR708">
        <v>12.667060742105345</v>
      </c>
      <c r="AS708" s="2">
        <f t="shared" si="71"/>
        <v>3654.5227197158965</v>
      </c>
      <c r="AT708" s="2">
        <f t="shared" si="72"/>
        <v>0.11520290666679855</v>
      </c>
      <c r="AV708">
        <f t="shared" si="73"/>
        <v>1212599.0958433144</v>
      </c>
      <c r="AW708">
        <f t="shared" si="74"/>
        <v>1220464.8637902783</v>
      </c>
      <c r="AY708">
        <f t="shared" si="75"/>
        <v>0</v>
      </c>
      <c r="AZ708">
        <f t="shared" si="76"/>
        <v>1</v>
      </c>
    </row>
    <row r="709" spans="1:52" x14ac:dyDescent="0.2">
      <c r="A709">
        <f t="shared" si="77"/>
        <v>705</v>
      </c>
      <c r="B709">
        <v>2.7095649622798645E-2</v>
      </c>
      <c r="C709">
        <v>5.1303319555924265E-2</v>
      </c>
      <c r="D709">
        <v>4.4848220171763264E-2</v>
      </c>
      <c r="E709">
        <v>5.2838491274004732E-3</v>
      </c>
      <c r="F709">
        <v>3.470051544452013E-3</v>
      </c>
      <c r="G709">
        <v>1.6875653369237575E-2</v>
      </c>
      <c r="H709">
        <v>4.5930297568715361E-2</v>
      </c>
      <c r="I709">
        <v>0.13079598667196712</v>
      </c>
      <c r="J709">
        <v>0</v>
      </c>
      <c r="K709">
        <v>0.4440802408119443</v>
      </c>
      <c r="L709">
        <v>0.18422807398280217</v>
      </c>
      <c r="M709">
        <v>0.81577192601719783</v>
      </c>
      <c r="N709">
        <v>6.9388177971319354E-2</v>
      </c>
      <c r="O709" s="72">
        <v>0.99999999912478865</v>
      </c>
      <c r="P709">
        <v>0.99915140370514477</v>
      </c>
      <c r="Q709">
        <v>0.9167419137037931</v>
      </c>
      <c r="R709">
        <v>0.49100788015202268</v>
      </c>
      <c r="S709">
        <v>0.29762583541950449</v>
      </c>
      <c r="T709">
        <v>0.18319901704781716</v>
      </c>
      <c r="U709">
        <v>0.74161138041976205</v>
      </c>
      <c r="V709">
        <v>0.65634567971746094</v>
      </c>
      <c r="W709">
        <v>0.47398002282727519</v>
      </c>
      <c r="X709">
        <v>0.39351801489847826</v>
      </c>
      <c r="Y709">
        <v>0.46201329153642934</v>
      </c>
      <c r="Z709">
        <v>0.4355032398296953</v>
      </c>
      <c r="AA709">
        <v>0.65316486018588882</v>
      </c>
      <c r="AB709">
        <v>0.7419235738739689</v>
      </c>
      <c r="AC709">
        <v>0.74050531460864688</v>
      </c>
      <c r="AD709">
        <v>0.64215593276197458</v>
      </c>
      <c r="AE709">
        <v>219.90360135418595</v>
      </c>
      <c r="AF709">
        <v>1179.8803199049655</v>
      </c>
      <c r="AG709">
        <v>2028.5266228838632</v>
      </c>
      <c r="AH709">
        <v>15664.074902818664</v>
      </c>
      <c r="AI709">
        <v>13524.294793794656</v>
      </c>
      <c r="AJ709">
        <v>35306.948627023587</v>
      </c>
      <c r="AK709">
        <v>8622.3350874039079</v>
      </c>
      <c r="AL709">
        <v>1635.1726144555989</v>
      </c>
      <c r="AM709">
        <v>416.71051087978117</v>
      </c>
      <c r="AO709">
        <v>46734.747856032947</v>
      </c>
      <c r="AP709">
        <v>12.316229940450025</v>
      </c>
      <c r="AQ709">
        <v>47330.042619096981</v>
      </c>
      <c r="AR709">
        <v>12.513208609839038</v>
      </c>
      <c r="AS709" s="2">
        <f t="shared" si="71"/>
        <v>595.29476306403376</v>
      </c>
      <c r="AT709" s="2">
        <f t="shared" si="72"/>
        <v>0.19697866938901321</v>
      </c>
      <c r="AV709">
        <f t="shared" si="73"/>
        <v>1184888.2461889696</v>
      </c>
      <c r="AW709">
        <f t="shared" si="74"/>
        <v>1203990.8183648067</v>
      </c>
      <c r="AY709">
        <f t="shared" si="75"/>
        <v>0</v>
      </c>
      <c r="AZ709">
        <f t="shared" si="76"/>
        <v>1</v>
      </c>
    </row>
    <row r="710" spans="1:52" x14ac:dyDescent="0.2">
      <c r="A710">
        <f t="shared" si="77"/>
        <v>706</v>
      </c>
      <c r="B710">
        <v>2.1210404902481359E-2</v>
      </c>
      <c r="C710">
        <v>4.7163647845653189E-2</v>
      </c>
      <c r="D710">
        <v>1.929806367411431E-2</v>
      </c>
      <c r="E710">
        <v>1.4279737121678071E-2</v>
      </c>
      <c r="F710">
        <v>3.3685685711629665E-3</v>
      </c>
      <c r="G710">
        <v>6.5290748663816246E-3</v>
      </c>
      <c r="H710">
        <v>3.0780963993092381E-2</v>
      </c>
      <c r="I710">
        <v>0.1365274464934777</v>
      </c>
      <c r="J710">
        <v>0</v>
      </c>
      <c r="K710">
        <v>0.40864256257367598</v>
      </c>
      <c r="L710">
        <v>0.2773261011990894</v>
      </c>
      <c r="M710">
        <v>0.7226738988009106</v>
      </c>
      <c r="N710">
        <v>4.5485374324903703E-2</v>
      </c>
      <c r="O710" s="72">
        <v>0.99966760496237139</v>
      </c>
      <c r="P710">
        <v>0.99965785168722332</v>
      </c>
      <c r="Q710">
        <v>0.95746180393146108</v>
      </c>
      <c r="R710">
        <v>0.51792264774678132</v>
      </c>
      <c r="S710">
        <v>0.35146603819938083</v>
      </c>
      <c r="T710">
        <v>0.19179788890402061</v>
      </c>
      <c r="U710">
        <v>0.7833944942386537</v>
      </c>
      <c r="V710">
        <v>0.64168545869831628</v>
      </c>
      <c r="W710">
        <v>0.4706056292571395</v>
      </c>
      <c r="X710">
        <v>0.47315924612112537</v>
      </c>
      <c r="Y710">
        <v>0.44139448866292341</v>
      </c>
      <c r="Z710">
        <v>0.45369012988218416</v>
      </c>
      <c r="AA710">
        <v>0.6634935128496916</v>
      </c>
      <c r="AB710">
        <v>0.81241569170606764</v>
      </c>
      <c r="AC710">
        <v>0.71135909486792537</v>
      </c>
      <c r="AD710">
        <v>0.49471271492086333</v>
      </c>
      <c r="AE710">
        <v>179.52933009455495</v>
      </c>
      <c r="AF710">
        <v>937.58568982904603</v>
      </c>
      <c r="AG710">
        <v>1368.5918964104978</v>
      </c>
      <c r="AH710">
        <v>17823.956329346001</v>
      </c>
      <c r="AI710">
        <v>11710.057743419438</v>
      </c>
      <c r="AJ710">
        <v>40287.369854075587</v>
      </c>
      <c r="AK710">
        <v>15286.019049595567</v>
      </c>
      <c r="AL710">
        <v>2320.3262031694062</v>
      </c>
      <c r="AM710">
        <v>379.1243136394454</v>
      </c>
      <c r="AO710">
        <v>43251.94278406597</v>
      </c>
      <c r="AP710">
        <v>13.091619126526805</v>
      </c>
      <c r="AQ710">
        <v>46498.446725980386</v>
      </c>
      <c r="AR710">
        <v>13.241457323141208</v>
      </c>
      <c r="AS710" s="2">
        <f t="shared" ref="AS710:AS773" si="78">AQ710-AO710</f>
        <v>3246.5039419144159</v>
      </c>
      <c r="AT710" s="2">
        <f t="shared" ref="AT710:AT773" si="79">AR710-AP710</f>
        <v>0.14983819661440378</v>
      </c>
      <c r="AV710">
        <f t="shared" ref="AV710:AV773" si="80">$AW$1*AP710-AO710</f>
        <v>1265909.9698686143</v>
      </c>
      <c r="AW710">
        <f t="shared" ref="AW710:AW773" si="81">$AW$1*AR710-AQ710</f>
        <v>1277647.2855881404</v>
      </c>
      <c r="AY710">
        <f t="shared" ref="AY710:AY773" si="82">IF(AV710=MAX($AV710:$AW710),1,0)</f>
        <v>0</v>
      </c>
      <c r="AZ710">
        <f t="shared" ref="AZ710:AZ773" si="83">IF(AW710=MAX($AV710:$AW710),1,0)</f>
        <v>1</v>
      </c>
    </row>
    <row r="711" spans="1:52" x14ac:dyDescent="0.2">
      <c r="A711">
        <f t="shared" si="77"/>
        <v>707</v>
      </c>
      <c r="B711">
        <v>2.0564129096511976E-2</v>
      </c>
      <c r="C711">
        <v>2.9847145116155063E-2</v>
      </c>
      <c r="D711">
        <v>4.8935818146039201E-2</v>
      </c>
      <c r="E711">
        <v>1.0065340663061112E-2</v>
      </c>
      <c r="F711">
        <v>3.3404630741210584E-3</v>
      </c>
      <c r="G711">
        <v>7.205990802525976E-3</v>
      </c>
      <c r="H711">
        <v>2.4765038819510522E-2</v>
      </c>
      <c r="I711">
        <v>9.7115455305730292E-2</v>
      </c>
      <c r="J711">
        <v>0</v>
      </c>
      <c r="K711">
        <v>0.495053658747174</v>
      </c>
      <c r="L711">
        <v>0.16450587629865032</v>
      </c>
      <c r="M711">
        <v>0.83549412370134968</v>
      </c>
      <c r="N711">
        <v>5.9785750909557733E-2</v>
      </c>
      <c r="O711" s="72">
        <v>0.99882636530153679</v>
      </c>
      <c r="P711">
        <v>0.99562587648863232</v>
      </c>
      <c r="Q711">
        <v>0.92416787741448581</v>
      </c>
      <c r="R711">
        <v>0.51405919841029424</v>
      </c>
      <c r="S711">
        <v>0.37829146544494285</v>
      </c>
      <c r="T711">
        <v>0.28084173144594538</v>
      </c>
      <c r="U711">
        <v>0.79778115109482717</v>
      </c>
      <c r="V711">
        <v>0.62562658131712401</v>
      </c>
      <c r="W711">
        <v>0.51319117656765911</v>
      </c>
      <c r="X711">
        <v>0.45580220995596321</v>
      </c>
      <c r="Y711">
        <v>0.4586016327155007</v>
      </c>
      <c r="Z711">
        <v>0.52094331851119469</v>
      </c>
      <c r="AA711">
        <v>0.73784740829734519</v>
      </c>
      <c r="AB711">
        <v>0.88765162603024494</v>
      </c>
      <c r="AC711">
        <v>0.73406349016165995</v>
      </c>
      <c r="AD711">
        <v>0.58242410596238203</v>
      </c>
      <c r="AE711">
        <v>242.21412765545031</v>
      </c>
      <c r="AF711">
        <v>949.98723796911941</v>
      </c>
      <c r="AG711">
        <v>1686.2432968684514</v>
      </c>
      <c r="AH711">
        <v>10730.369327736254</v>
      </c>
      <c r="AI711">
        <v>9377.8619101932236</v>
      </c>
      <c r="AJ711">
        <v>39767.791620748758</v>
      </c>
      <c r="AK711">
        <v>13669.447690709323</v>
      </c>
      <c r="AL711">
        <v>2448.275633660181</v>
      </c>
      <c r="AM711">
        <v>348.9107686151043</v>
      </c>
      <c r="AO711">
        <v>40881.76709650088</v>
      </c>
      <c r="AP711">
        <v>14.23991170771283</v>
      </c>
      <c r="AQ711">
        <v>46264.21473014501</v>
      </c>
      <c r="AR711">
        <v>14.445453210060107</v>
      </c>
      <c r="AS711" s="2">
        <f t="shared" si="78"/>
        <v>5382.4476336441294</v>
      </c>
      <c r="AT711" s="2">
        <f t="shared" si="79"/>
        <v>0.20554150234727686</v>
      </c>
      <c r="AV711">
        <f t="shared" si="80"/>
        <v>1383109.4036747823</v>
      </c>
      <c r="AW711">
        <f t="shared" si="81"/>
        <v>1398281.1062758658</v>
      </c>
      <c r="AY711">
        <f t="shared" si="82"/>
        <v>0</v>
      </c>
      <c r="AZ711">
        <f t="shared" si="83"/>
        <v>1</v>
      </c>
    </row>
    <row r="712" spans="1:52" x14ac:dyDescent="0.2">
      <c r="A712">
        <f t="shared" si="77"/>
        <v>708</v>
      </c>
      <c r="B712">
        <v>2.8082489213006379E-2</v>
      </c>
      <c r="C712">
        <v>4.3128431100398101E-2</v>
      </c>
      <c r="D712">
        <v>3.6540169845796756E-2</v>
      </c>
      <c r="E712">
        <v>2.3531823704240895E-2</v>
      </c>
      <c r="F712">
        <v>3.2710227986860688E-3</v>
      </c>
      <c r="G712">
        <v>2.3433804545430981E-2</v>
      </c>
      <c r="H712">
        <v>3.1186980566080158E-2</v>
      </c>
      <c r="I712">
        <v>0.14706773629298919</v>
      </c>
      <c r="J712">
        <v>0</v>
      </c>
      <c r="K712">
        <v>0.43640803999282074</v>
      </c>
      <c r="L712">
        <v>0.16341513964227569</v>
      </c>
      <c r="M712">
        <v>0.83658486035772428</v>
      </c>
      <c r="N712">
        <v>5.2721363224151378E-2</v>
      </c>
      <c r="O712" s="72">
        <v>0.99995254605554418</v>
      </c>
      <c r="P712">
        <v>0.99749241790101806</v>
      </c>
      <c r="Q712">
        <v>0.94635300458571947</v>
      </c>
      <c r="R712">
        <v>0.49973353862678416</v>
      </c>
      <c r="S712">
        <v>0.40768815395672686</v>
      </c>
      <c r="T712">
        <v>0.28331672765424565</v>
      </c>
      <c r="U712">
        <v>0.7632684829437032</v>
      </c>
      <c r="V712">
        <v>0.62125213253118661</v>
      </c>
      <c r="W712">
        <v>0.5256769769364118</v>
      </c>
      <c r="X712">
        <v>0.46938917922356316</v>
      </c>
      <c r="Y712">
        <v>0.44605462933136319</v>
      </c>
      <c r="Z712">
        <v>0.37136108579493321</v>
      </c>
      <c r="AA712">
        <v>0.73304410863359193</v>
      </c>
      <c r="AB712">
        <v>0.86319157215027809</v>
      </c>
      <c r="AC712">
        <v>0.63062924285793465</v>
      </c>
      <c r="AD712">
        <v>0.53686764219711103</v>
      </c>
      <c r="AE712">
        <v>188.83456768780428</v>
      </c>
      <c r="AF712">
        <v>1075.0570906102662</v>
      </c>
      <c r="AG712">
        <v>2684.2868279532695</v>
      </c>
      <c r="AH712">
        <v>17750.466263354127</v>
      </c>
      <c r="AI712">
        <v>15219.050673076425</v>
      </c>
      <c r="AJ712">
        <v>34826.765445720492</v>
      </c>
      <c r="AK712">
        <v>12913.646616096306</v>
      </c>
      <c r="AL712">
        <v>1937.6319548421648</v>
      </c>
      <c r="AM712">
        <v>369.83768379990585</v>
      </c>
      <c r="AO712">
        <v>41807.608935633965</v>
      </c>
      <c r="AP712">
        <v>13.618860148536481</v>
      </c>
      <c r="AQ712">
        <v>46551.291576381998</v>
      </c>
      <c r="AR712">
        <v>13.855641819033044</v>
      </c>
      <c r="AS712" s="2">
        <f t="shared" si="78"/>
        <v>4743.682640748033</v>
      </c>
      <c r="AT712" s="2">
        <f t="shared" si="79"/>
        <v>0.23678167049656373</v>
      </c>
      <c r="AV712">
        <f t="shared" si="80"/>
        <v>1320078.4059180142</v>
      </c>
      <c r="AW712">
        <f t="shared" si="81"/>
        <v>1339012.8903269225</v>
      </c>
      <c r="AY712">
        <f t="shared" si="82"/>
        <v>0</v>
      </c>
      <c r="AZ712">
        <f t="shared" si="83"/>
        <v>1</v>
      </c>
    </row>
    <row r="713" spans="1:52" x14ac:dyDescent="0.2">
      <c r="A713">
        <f t="shared" si="77"/>
        <v>709</v>
      </c>
      <c r="B713">
        <v>2.4657255830482106E-2</v>
      </c>
      <c r="C713">
        <v>2.2775170680832599E-2</v>
      </c>
      <c r="D713">
        <v>4.0164733009866782E-2</v>
      </c>
      <c r="E713">
        <v>3.7043561383138357E-2</v>
      </c>
      <c r="F713">
        <v>3.2385286651693398E-3</v>
      </c>
      <c r="G713">
        <v>6.9924307705656356E-3</v>
      </c>
      <c r="H713">
        <v>2.9260739867482899E-2</v>
      </c>
      <c r="I713">
        <v>0.13470010773086893</v>
      </c>
      <c r="J713">
        <v>0</v>
      </c>
      <c r="K713">
        <v>0.39256314173544699</v>
      </c>
      <c r="L713">
        <v>0.19802172478188168</v>
      </c>
      <c r="M713">
        <v>0.80197827521811837</v>
      </c>
      <c r="N713">
        <v>4.6928951037055799E-2</v>
      </c>
      <c r="O713" s="72">
        <v>0.99481031858948266</v>
      </c>
      <c r="P713">
        <v>0.99784400066750356</v>
      </c>
      <c r="Q713">
        <v>0.98118861572659832</v>
      </c>
      <c r="R713">
        <v>0.4650876680209628</v>
      </c>
      <c r="S713">
        <v>0.26979892646522607</v>
      </c>
      <c r="T713">
        <v>0.4296880210637346</v>
      </c>
      <c r="U713">
        <v>0.78238524228323558</v>
      </c>
      <c r="V713">
        <v>0.63980070309607218</v>
      </c>
      <c r="W713">
        <v>0.49096186303317796</v>
      </c>
      <c r="X713">
        <v>0.47575164328373876</v>
      </c>
      <c r="Y713">
        <v>0.45488369664352402</v>
      </c>
      <c r="Z713">
        <v>0.51985775434962767</v>
      </c>
      <c r="AA713">
        <v>0.71765583051782245</v>
      </c>
      <c r="AB713">
        <v>0.77741196033737736</v>
      </c>
      <c r="AC713">
        <v>0.69667609748156178</v>
      </c>
      <c r="AD713">
        <v>0.65433411633895266</v>
      </c>
      <c r="AE713">
        <v>244.37638108402811</v>
      </c>
      <c r="AF713">
        <v>1128.4137916244113</v>
      </c>
      <c r="AG713">
        <v>1255.5196701906243</v>
      </c>
      <c r="AH713">
        <v>18375.383841354549</v>
      </c>
      <c r="AI713">
        <v>7120.5900080683714</v>
      </c>
      <c r="AJ713">
        <v>43488.234850777539</v>
      </c>
      <c r="AK713">
        <v>10324.826454571416</v>
      </c>
      <c r="AL713">
        <v>2206.0263621108966</v>
      </c>
      <c r="AM713">
        <v>345.88624499956899</v>
      </c>
      <c r="AO713">
        <v>43604.944278941111</v>
      </c>
      <c r="AP713">
        <v>12.820809948597104</v>
      </c>
      <c r="AQ713">
        <v>46030.873424395788</v>
      </c>
      <c r="AR713">
        <v>12.948641180823598</v>
      </c>
      <c r="AS713" s="2">
        <f t="shared" si="78"/>
        <v>2425.9291454546765</v>
      </c>
      <c r="AT713" s="2">
        <f t="shared" si="79"/>
        <v>0.12783123222649451</v>
      </c>
      <c r="AV713">
        <f t="shared" si="80"/>
        <v>1238476.0505807693</v>
      </c>
      <c r="AW713">
        <f t="shared" si="81"/>
        <v>1248833.2446579642</v>
      </c>
      <c r="AY713">
        <f t="shared" si="82"/>
        <v>0</v>
      </c>
      <c r="AZ713">
        <f t="shared" si="83"/>
        <v>1</v>
      </c>
    </row>
    <row r="714" spans="1:52" x14ac:dyDescent="0.2">
      <c r="A714">
        <f t="shared" si="77"/>
        <v>710</v>
      </c>
      <c r="B714">
        <v>3.0785615980107095E-2</v>
      </c>
      <c r="C714">
        <v>5.2081269759577276E-2</v>
      </c>
      <c r="D714">
        <v>3.5348591185459993E-2</v>
      </c>
      <c r="E714">
        <v>1.3892879632969146E-2</v>
      </c>
      <c r="F714">
        <v>3.2519174271665591E-3</v>
      </c>
      <c r="G714">
        <v>7.5045996977005968E-3</v>
      </c>
      <c r="H714">
        <v>5.5946244603646278E-2</v>
      </c>
      <c r="I714">
        <v>0.13598332960466519</v>
      </c>
      <c r="J714">
        <v>0</v>
      </c>
      <c r="K714">
        <v>0.4541559582996878</v>
      </c>
      <c r="L714">
        <v>0.21280925031165887</v>
      </c>
      <c r="M714">
        <v>0.78719074968834113</v>
      </c>
      <c r="N714">
        <v>4.885934082615577E-2</v>
      </c>
      <c r="O714" s="72">
        <v>0.9963597897271127</v>
      </c>
      <c r="P714">
        <v>0.99876611708210383</v>
      </c>
      <c r="Q714">
        <v>0.9292629141921801</v>
      </c>
      <c r="R714">
        <v>0.49624007288369854</v>
      </c>
      <c r="S714">
        <v>0.44238605245173179</v>
      </c>
      <c r="T714">
        <v>0.18449009889888213</v>
      </c>
      <c r="U714">
        <v>0.75136477491452514</v>
      </c>
      <c r="V714">
        <v>0.7465855280756577</v>
      </c>
      <c r="W714">
        <v>0.50621056701144707</v>
      </c>
      <c r="X714">
        <v>0.5116604617886259</v>
      </c>
      <c r="Y714">
        <v>0.40748438154238875</v>
      </c>
      <c r="Z714">
        <v>0.4494990441528437</v>
      </c>
      <c r="AA714">
        <v>0.70443285347317719</v>
      </c>
      <c r="AB714">
        <v>0.79475425088265028</v>
      </c>
      <c r="AC714">
        <v>0.70085043374143752</v>
      </c>
      <c r="AD714">
        <v>0.53338747460527547</v>
      </c>
      <c r="AE714">
        <v>198.52870188299823</v>
      </c>
      <c r="AF714">
        <v>947.47750274214491</v>
      </c>
      <c r="AG714">
        <v>1650.1448272732575</v>
      </c>
      <c r="AH714">
        <v>14107.275838658054</v>
      </c>
      <c r="AI714">
        <v>7394.1589608862696</v>
      </c>
      <c r="AJ714">
        <v>37523.32443213847</v>
      </c>
      <c r="AK714">
        <v>11447.884647910845</v>
      </c>
      <c r="AL714">
        <v>1138.6333360831788</v>
      </c>
      <c r="AM714">
        <v>383.95896994290655</v>
      </c>
      <c r="AO714">
        <v>43403.309305221956</v>
      </c>
      <c r="AP714">
        <v>12.866930399765735</v>
      </c>
      <c r="AQ714">
        <v>46662.303725716178</v>
      </c>
      <c r="AR714">
        <v>13.03146879068106</v>
      </c>
      <c r="AS714" s="2">
        <f t="shared" si="78"/>
        <v>3258.9944204942221</v>
      </c>
      <c r="AT714" s="2">
        <f t="shared" si="79"/>
        <v>0.16453839091532529</v>
      </c>
      <c r="AV714">
        <f t="shared" si="80"/>
        <v>1243289.7306713515</v>
      </c>
      <c r="AW714">
        <f t="shared" si="81"/>
        <v>1256484.5753423898</v>
      </c>
      <c r="AY714">
        <f t="shared" si="82"/>
        <v>0</v>
      </c>
      <c r="AZ714">
        <f t="shared" si="83"/>
        <v>1</v>
      </c>
    </row>
    <row r="715" spans="1:52" x14ac:dyDescent="0.2">
      <c r="A715">
        <f t="shared" si="77"/>
        <v>711</v>
      </c>
      <c r="B715">
        <v>2.0759276842075732E-2</v>
      </c>
      <c r="C715">
        <v>3.0351417219182698E-2</v>
      </c>
      <c r="D715">
        <v>4.3252134743862358E-2</v>
      </c>
      <c r="E715">
        <v>3.8729377041860401E-3</v>
      </c>
      <c r="F715">
        <v>3.2817924111387489E-3</v>
      </c>
      <c r="G715">
        <v>1.6240392026431461E-2</v>
      </c>
      <c r="H715">
        <v>4.7508790958187608E-2</v>
      </c>
      <c r="I715">
        <v>0.11079145578080182</v>
      </c>
      <c r="J715">
        <v>0</v>
      </c>
      <c r="K715">
        <v>0.45078092730535135</v>
      </c>
      <c r="L715">
        <v>0.17751596871287614</v>
      </c>
      <c r="M715">
        <v>0.82248403128712388</v>
      </c>
      <c r="N715">
        <v>5.825319656875827E-2</v>
      </c>
      <c r="O715" s="72">
        <v>0.94782271147034813</v>
      </c>
      <c r="P715">
        <v>0.99650168202002876</v>
      </c>
      <c r="Q715">
        <v>0.97421872839461954</v>
      </c>
      <c r="R715">
        <v>0.52758604478880233</v>
      </c>
      <c r="S715">
        <v>0.35507729603640104</v>
      </c>
      <c r="T715">
        <v>0.29958481104339019</v>
      </c>
      <c r="U715">
        <v>0.75747722946845186</v>
      </c>
      <c r="V715">
        <v>0.62917200813753438</v>
      </c>
      <c r="W715">
        <v>0.45165327888528095</v>
      </c>
      <c r="X715">
        <v>0.40686429220220593</v>
      </c>
      <c r="Y715">
        <v>0.46623018545176897</v>
      </c>
      <c r="Z715">
        <v>0.42466208918532333</v>
      </c>
      <c r="AA715">
        <v>0.58729723706136194</v>
      </c>
      <c r="AB715">
        <v>0.79162993552949867</v>
      </c>
      <c r="AC715">
        <v>0.75325639189430305</v>
      </c>
      <c r="AD715">
        <v>0.60096222569729085</v>
      </c>
      <c r="AE715">
        <v>214.14870318759216</v>
      </c>
      <c r="AF715">
        <v>1143.1290591278416</v>
      </c>
      <c r="AG715">
        <v>2145.5737719175449</v>
      </c>
      <c r="AH715">
        <v>16613.345765107086</v>
      </c>
      <c r="AI715">
        <v>12663.485190676645</v>
      </c>
      <c r="AJ715">
        <v>37519.356711475935</v>
      </c>
      <c r="AK715">
        <v>15763.242363125268</v>
      </c>
      <c r="AL715">
        <v>2611.8924425320224</v>
      </c>
      <c r="AM715">
        <v>372.24510696797398</v>
      </c>
      <c r="AO715">
        <v>41063.016709341762</v>
      </c>
      <c r="AP715">
        <v>13.027667978217846</v>
      </c>
      <c r="AQ715">
        <v>46764.909610974246</v>
      </c>
      <c r="AR715">
        <v>13.173212195511983</v>
      </c>
      <c r="AS715" s="2">
        <f t="shared" si="78"/>
        <v>5701.8929016324837</v>
      </c>
      <c r="AT715" s="2">
        <f t="shared" si="79"/>
        <v>0.14554421729413747</v>
      </c>
      <c r="AV715">
        <f t="shared" si="80"/>
        <v>1261703.781112443</v>
      </c>
      <c r="AW715">
        <f t="shared" si="81"/>
        <v>1270556.309940224</v>
      </c>
      <c r="AY715">
        <f t="shared" si="82"/>
        <v>0</v>
      </c>
      <c r="AZ715">
        <f t="shared" si="83"/>
        <v>1</v>
      </c>
    </row>
    <row r="716" spans="1:52" x14ac:dyDescent="0.2">
      <c r="A716">
        <f t="shared" si="77"/>
        <v>712</v>
      </c>
      <c r="B716">
        <v>2.4653070279181951E-2</v>
      </c>
      <c r="C716">
        <v>5.4470289479578993E-2</v>
      </c>
      <c r="D716">
        <v>4.9408796374702524E-2</v>
      </c>
      <c r="E716">
        <v>2.560977109582796E-2</v>
      </c>
      <c r="F716">
        <v>3.3105848462735609E-3</v>
      </c>
      <c r="G716">
        <v>2.6460576810105385E-2</v>
      </c>
      <c r="H716">
        <v>4.2894271032879461E-2</v>
      </c>
      <c r="I716">
        <v>0.13400531671524174</v>
      </c>
      <c r="J716">
        <v>0</v>
      </c>
      <c r="K716">
        <v>0.37967598926009727</v>
      </c>
      <c r="L716">
        <v>0.10837019263669403</v>
      </c>
      <c r="M716">
        <v>0.89162980736330599</v>
      </c>
      <c r="N716">
        <v>4.5842188403139902E-2</v>
      </c>
      <c r="O716" s="72">
        <v>0.99999999639105086</v>
      </c>
      <c r="P716">
        <v>0.99998909822376347</v>
      </c>
      <c r="Q716">
        <v>0.97428586872164935</v>
      </c>
      <c r="R716">
        <v>0.51074881035938358</v>
      </c>
      <c r="S716">
        <v>0.38841432641113127</v>
      </c>
      <c r="T716">
        <v>0.19792244378019697</v>
      </c>
      <c r="U716">
        <v>0.75776119921000473</v>
      </c>
      <c r="V716">
        <v>0.72213732264746677</v>
      </c>
      <c r="W716">
        <v>0.49220632665376723</v>
      </c>
      <c r="X716">
        <v>0.4321399643581787</v>
      </c>
      <c r="Y716">
        <v>0.45533713622488636</v>
      </c>
      <c r="Z716">
        <v>0.44847218768363917</v>
      </c>
      <c r="AA716">
        <v>0.75194214158214889</v>
      </c>
      <c r="AB716">
        <v>0.8492433438472321</v>
      </c>
      <c r="AC716">
        <v>0.76377408580020634</v>
      </c>
      <c r="AD716">
        <v>0.5282918653548434</v>
      </c>
      <c r="AE716">
        <v>246.94925923478277</v>
      </c>
      <c r="AF716">
        <v>881.51349073052882</v>
      </c>
      <c r="AG716">
        <v>1507.8831942580337</v>
      </c>
      <c r="AH716">
        <v>12741.20774078988</v>
      </c>
      <c r="AI716">
        <v>5806.6658697389112</v>
      </c>
      <c r="AJ716">
        <v>40270.731126491431</v>
      </c>
      <c r="AK716">
        <v>19560.462534811191</v>
      </c>
      <c r="AL716">
        <v>1803.0129888584222</v>
      </c>
      <c r="AM716">
        <v>336.84200191053031</v>
      </c>
      <c r="AO716">
        <v>41986.124052065796</v>
      </c>
      <c r="AP716">
        <v>13.642171266269006</v>
      </c>
      <c r="AQ716">
        <v>45705.760650379314</v>
      </c>
      <c r="AR716">
        <v>13.893206372519908</v>
      </c>
      <c r="AS716" s="2">
        <f t="shared" si="78"/>
        <v>3719.6365983135183</v>
      </c>
      <c r="AT716" s="2">
        <f t="shared" si="79"/>
        <v>0.25103510625090131</v>
      </c>
      <c r="AV716">
        <f t="shared" si="80"/>
        <v>1322231.0025748347</v>
      </c>
      <c r="AW716">
        <f t="shared" si="81"/>
        <v>1343614.8766016115</v>
      </c>
      <c r="AY716">
        <f t="shared" si="82"/>
        <v>0</v>
      </c>
      <c r="AZ716">
        <f t="shared" si="83"/>
        <v>1</v>
      </c>
    </row>
    <row r="717" spans="1:52" x14ac:dyDescent="0.2">
      <c r="A717">
        <f t="shared" si="77"/>
        <v>713</v>
      </c>
      <c r="B717">
        <v>3.3063075981392354E-2</v>
      </c>
      <c r="C717">
        <v>4.2478225376004763E-2</v>
      </c>
      <c r="D717">
        <v>4.34617336244707E-2</v>
      </c>
      <c r="E717">
        <v>1.2482446435988948E-2</v>
      </c>
      <c r="F717">
        <v>3.2923058547547697E-3</v>
      </c>
      <c r="G717">
        <v>9.6219024253366443E-3</v>
      </c>
      <c r="H717">
        <v>3.6347630366459494E-2</v>
      </c>
      <c r="I717">
        <v>0.14691125139874017</v>
      </c>
      <c r="J717">
        <v>0</v>
      </c>
      <c r="K717">
        <v>0.42107424090926682</v>
      </c>
      <c r="L717">
        <v>0.14373841276158492</v>
      </c>
      <c r="M717">
        <v>0.85626158723841506</v>
      </c>
      <c r="N717">
        <v>5.6650840929551749E-2</v>
      </c>
      <c r="O717" s="72">
        <v>0.99968233723970401</v>
      </c>
      <c r="P717">
        <v>0.99941150236610199</v>
      </c>
      <c r="Q717">
        <v>0.98936592581028848</v>
      </c>
      <c r="R717">
        <v>0.48721583558509451</v>
      </c>
      <c r="S717">
        <v>0.36336365999173492</v>
      </c>
      <c r="T717">
        <v>0.15410185898992923</v>
      </c>
      <c r="U717">
        <v>0.74627993867676068</v>
      </c>
      <c r="V717">
        <v>0.64050980693045056</v>
      </c>
      <c r="W717">
        <v>0.54804096603580466</v>
      </c>
      <c r="X717">
        <v>0.42577639941811657</v>
      </c>
      <c r="Y717">
        <v>0.40487767284763782</v>
      </c>
      <c r="Z717">
        <v>0.47727186798594046</v>
      </c>
      <c r="AA717">
        <v>0.67364530009644419</v>
      </c>
      <c r="AB717">
        <v>0.86411473063529787</v>
      </c>
      <c r="AC717">
        <v>0.69167528400809963</v>
      </c>
      <c r="AD717">
        <v>0.62013001250163002</v>
      </c>
      <c r="AE717">
        <v>205.72344545991652</v>
      </c>
      <c r="AF717">
        <v>1145.3692011321054</v>
      </c>
      <c r="AG717">
        <v>1860.6591441858482</v>
      </c>
      <c r="AH717">
        <v>13448.461475638549</v>
      </c>
      <c r="AI717">
        <v>9483.5878350160056</v>
      </c>
      <c r="AJ717">
        <v>50347.65290005783</v>
      </c>
      <c r="AK717">
        <v>11112.361897779267</v>
      </c>
      <c r="AL717">
        <v>1987.4222798017872</v>
      </c>
      <c r="AM717">
        <v>254.68832764696333</v>
      </c>
      <c r="AO717">
        <v>43945.924105748818</v>
      </c>
      <c r="AP717">
        <v>13.758230760573856</v>
      </c>
      <c r="AQ717">
        <v>44421.676604122113</v>
      </c>
      <c r="AR717">
        <v>14.094164360937794</v>
      </c>
      <c r="AS717" s="2">
        <f t="shared" si="78"/>
        <v>475.75249837329466</v>
      </c>
      <c r="AT717" s="2">
        <f t="shared" si="79"/>
        <v>0.33593360036393882</v>
      </c>
      <c r="AV717">
        <f t="shared" si="80"/>
        <v>1331877.1519516369</v>
      </c>
      <c r="AW717">
        <f t="shared" si="81"/>
        <v>1364994.7594896574</v>
      </c>
      <c r="AY717">
        <f t="shared" si="82"/>
        <v>0</v>
      </c>
      <c r="AZ717">
        <f t="shared" si="83"/>
        <v>1</v>
      </c>
    </row>
    <row r="718" spans="1:52" x14ac:dyDescent="0.2">
      <c r="A718">
        <f t="shared" si="77"/>
        <v>714</v>
      </c>
      <c r="B718">
        <v>1.9910707516581617E-2</v>
      </c>
      <c r="C718">
        <v>5.0745018521959007E-2</v>
      </c>
      <c r="D718">
        <v>2.5481856302712734E-2</v>
      </c>
      <c r="E718">
        <v>4.9522302741537069E-4</v>
      </c>
      <c r="F718">
        <v>3.1993005448076447E-3</v>
      </c>
      <c r="G718">
        <v>1.0047849797557608E-2</v>
      </c>
      <c r="H718">
        <v>3.6636089246708248E-2</v>
      </c>
      <c r="I718">
        <v>0.11850893144189839</v>
      </c>
      <c r="J718">
        <v>0</v>
      </c>
      <c r="K718">
        <v>0.40622746832761403</v>
      </c>
      <c r="L718">
        <v>0.2005450584669447</v>
      </c>
      <c r="M718">
        <v>0.7994549415330553</v>
      </c>
      <c r="N718">
        <v>6.1366657653029844E-2</v>
      </c>
      <c r="O718" s="72">
        <v>0.99141871510391333</v>
      </c>
      <c r="P718">
        <v>0.99905295495777313</v>
      </c>
      <c r="Q718">
        <v>0.96167054301418298</v>
      </c>
      <c r="R718">
        <v>0.43120107809249264</v>
      </c>
      <c r="S718">
        <v>0.29602576134404923</v>
      </c>
      <c r="T718">
        <v>0.34444697163120119</v>
      </c>
      <c r="U718">
        <v>0.77785436430786004</v>
      </c>
      <c r="V718">
        <v>0.65378782161524995</v>
      </c>
      <c r="W718">
        <v>0.43018590579230359</v>
      </c>
      <c r="X718">
        <v>0.42497044092151448</v>
      </c>
      <c r="Y718">
        <v>0.53599466996321565</v>
      </c>
      <c r="Z718">
        <v>0.48129136275909312</v>
      </c>
      <c r="AA718">
        <v>0.72259649920343538</v>
      </c>
      <c r="AB718">
        <v>0.81756501706376061</v>
      </c>
      <c r="AC718">
        <v>0.69582151883327914</v>
      </c>
      <c r="AD718">
        <v>0.62214702578818881</v>
      </c>
      <c r="AE718">
        <v>210.55333677770159</v>
      </c>
      <c r="AF718">
        <v>1183.0287667993859</v>
      </c>
      <c r="AG718">
        <v>1513.5646727280514</v>
      </c>
      <c r="AH718">
        <v>17082.734096479671</v>
      </c>
      <c r="AI718">
        <v>13179.236499848303</v>
      </c>
      <c r="AJ718">
        <v>36554.192285064404</v>
      </c>
      <c r="AK718">
        <v>14366.629090090668</v>
      </c>
      <c r="AL718">
        <v>1877.7187779840983</v>
      </c>
      <c r="AM718">
        <v>364.08988369182958</v>
      </c>
      <c r="AO718">
        <v>46023.349151325383</v>
      </c>
      <c r="AP718">
        <v>13.299323076439384</v>
      </c>
      <c r="AQ718">
        <v>46351.636694700559</v>
      </c>
      <c r="AR718">
        <v>13.459908391887472</v>
      </c>
      <c r="AS718" s="2">
        <f t="shared" si="78"/>
        <v>328.28754337517603</v>
      </c>
      <c r="AT718" s="2">
        <f t="shared" si="79"/>
        <v>0.16058531544808829</v>
      </c>
      <c r="AV718">
        <f t="shared" si="80"/>
        <v>1283908.9584926129</v>
      </c>
      <c r="AW718">
        <f t="shared" si="81"/>
        <v>1299639.2024940467</v>
      </c>
      <c r="AY718">
        <f t="shared" si="82"/>
        <v>0</v>
      </c>
      <c r="AZ718">
        <f t="shared" si="83"/>
        <v>1</v>
      </c>
    </row>
    <row r="719" spans="1:52" x14ac:dyDescent="0.2">
      <c r="A719">
        <f t="shared" si="77"/>
        <v>715</v>
      </c>
      <c r="B719">
        <v>2.4730285585833848E-2</v>
      </c>
      <c r="C719">
        <v>2.9345853700647604E-2</v>
      </c>
      <c r="D719">
        <v>3.3685628055116192E-2</v>
      </c>
      <c r="E719">
        <v>9.4505479022230429E-3</v>
      </c>
      <c r="F719">
        <v>3.5375370235031234E-3</v>
      </c>
      <c r="G719">
        <v>4.4155368649042605E-3</v>
      </c>
      <c r="H719">
        <v>3.2638309854360115E-2</v>
      </c>
      <c r="I719">
        <v>0.12284691301097597</v>
      </c>
      <c r="J719">
        <v>0</v>
      </c>
      <c r="K719">
        <v>0.40208943753376902</v>
      </c>
      <c r="L719">
        <v>0.28884226712136585</v>
      </c>
      <c r="M719">
        <v>0.71115773287863415</v>
      </c>
      <c r="N719">
        <v>7.4791173334166849E-2</v>
      </c>
      <c r="O719" s="72">
        <v>0.99998192468689562</v>
      </c>
      <c r="P719">
        <v>0.999653744019663</v>
      </c>
      <c r="Q719">
        <v>0.98853698105262966</v>
      </c>
      <c r="R719">
        <v>0.52386230608350215</v>
      </c>
      <c r="S719">
        <v>0.27375707382094461</v>
      </c>
      <c r="T719">
        <v>0.16027632155440774</v>
      </c>
      <c r="U719">
        <v>0.76439289331262261</v>
      </c>
      <c r="V719">
        <v>0.64453904207050117</v>
      </c>
      <c r="W719">
        <v>0.5261790823660446</v>
      </c>
      <c r="X719">
        <v>0.45866238850214058</v>
      </c>
      <c r="Y719">
        <v>0.47365709696211011</v>
      </c>
      <c r="Z719">
        <v>0.4234777720123295</v>
      </c>
      <c r="AA719">
        <v>0.57353459825975228</v>
      </c>
      <c r="AB719">
        <v>0.84870127713487253</v>
      </c>
      <c r="AC719">
        <v>0.71969185388408774</v>
      </c>
      <c r="AD719">
        <v>0.6371946859790496</v>
      </c>
      <c r="AE719">
        <v>198.06185964683172</v>
      </c>
      <c r="AF719">
        <v>989.4012544507425</v>
      </c>
      <c r="AG719">
        <v>1115.5661597959916</v>
      </c>
      <c r="AH719">
        <v>12945.469447333937</v>
      </c>
      <c r="AI719">
        <v>15042.264872819307</v>
      </c>
      <c r="AJ719">
        <v>36003.378030588487</v>
      </c>
      <c r="AK719">
        <v>9007.71340059053</v>
      </c>
      <c r="AL719">
        <v>2575.2640881944972</v>
      </c>
      <c r="AM719">
        <v>322.66720866635222</v>
      </c>
      <c r="AO719">
        <v>44274.879917135855</v>
      </c>
      <c r="AP719">
        <v>13.695143846607071</v>
      </c>
      <c r="AQ719">
        <v>45433.43216985021</v>
      </c>
      <c r="AR719">
        <v>13.95379193437452</v>
      </c>
      <c r="AS719" s="2">
        <f t="shared" si="78"/>
        <v>1158.5522527143548</v>
      </c>
      <c r="AT719" s="2">
        <f t="shared" si="79"/>
        <v>0.2586480877674493</v>
      </c>
      <c r="AV719">
        <f t="shared" si="80"/>
        <v>1325239.5047435712</v>
      </c>
      <c r="AW719">
        <f t="shared" si="81"/>
        <v>1349945.7612676017</v>
      </c>
      <c r="AY719">
        <f t="shared" si="82"/>
        <v>0</v>
      </c>
      <c r="AZ719">
        <f t="shared" si="83"/>
        <v>1</v>
      </c>
    </row>
    <row r="720" spans="1:52" x14ac:dyDescent="0.2">
      <c r="A720">
        <f t="shared" si="77"/>
        <v>716</v>
      </c>
      <c r="B720">
        <v>2.2404788841031094E-2</v>
      </c>
      <c r="C720">
        <v>3.1443986929052016E-2</v>
      </c>
      <c r="D720">
        <v>3.5099939058413659E-2</v>
      </c>
      <c r="E720">
        <v>5.593441021066339E-3</v>
      </c>
      <c r="F720">
        <v>3.395887529080821E-3</v>
      </c>
      <c r="G720">
        <v>1.6327483789668307E-2</v>
      </c>
      <c r="H720">
        <v>2.1334495197488274E-2</v>
      </c>
      <c r="I720">
        <v>0.11909276952718598</v>
      </c>
      <c r="J720">
        <v>0</v>
      </c>
      <c r="K720">
        <v>0.41087849823586703</v>
      </c>
      <c r="L720">
        <v>0.20122077166343391</v>
      </c>
      <c r="M720">
        <v>0.79877922833656612</v>
      </c>
      <c r="N720">
        <v>7.3437384831879671E-2</v>
      </c>
      <c r="O720" s="72">
        <v>0.99694505928365329</v>
      </c>
      <c r="P720">
        <v>0.99956974042500901</v>
      </c>
      <c r="Q720">
        <v>0.96692173187100661</v>
      </c>
      <c r="R720">
        <v>0.49749249980389976</v>
      </c>
      <c r="S720">
        <v>0.3532069574007487</v>
      </c>
      <c r="T720">
        <v>0.22857057248789681</v>
      </c>
      <c r="U720">
        <v>0.75484909699092062</v>
      </c>
      <c r="V720">
        <v>0.58443248758373889</v>
      </c>
      <c r="W720">
        <v>0.52096026134314555</v>
      </c>
      <c r="X720">
        <v>0.49895507457810007</v>
      </c>
      <c r="Y720">
        <v>0.49946061233673034</v>
      </c>
      <c r="Z720">
        <v>0.44223221785338845</v>
      </c>
      <c r="AA720">
        <v>0.63099757154173186</v>
      </c>
      <c r="AB720">
        <v>0.83242782455490527</v>
      </c>
      <c r="AC720">
        <v>0.61322446436880484</v>
      </c>
      <c r="AD720">
        <v>0.58555786490799733</v>
      </c>
      <c r="AE720">
        <v>139.14490473364492</v>
      </c>
      <c r="AF720">
        <v>959.7029662978191</v>
      </c>
      <c r="AG720">
        <v>1499.5554956605201</v>
      </c>
      <c r="AH720">
        <v>14443.234644800186</v>
      </c>
      <c r="AI720">
        <v>17878.765846958711</v>
      </c>
      <c r="AJ720">
        <v>43785.310301863828</v>
      </c>
      <c r="AK720">
        <v>15632.601028370273</v>
      </c>
      <c r="AL720">
        <v>1745.6502722677164</v>
      </c>
      <c r="AM720">
        <v>347.3899290334615</v>
      </c>
      <c r="AO720">
        <v>42846.612737257099</v>
      </c>
      <c r="AP720">
        <v>13.265176889587428</v>
      </c>
      <c r="AQ720">
        <v>45920.511838738385</v>
      </c>
      <c r="AR720">
        <v>13.466169253303162</v>
      </c>
      <c r="AS720" s="2">
        <f t="shared" si="78"/>
        <v>3073.8991014812855</v>
      </c>
      <c r="AT720" s="2">
        <f t="shared" si="79"/>
        <v>0.20099236371573426</v>
      </c>
      <c r="AV720">
        <f t="shared" si="80"/>
        <v>1283671.0762214859</v>
      </c>
      <c r="AW720">
        <f t="shared" si="81"/>
        <v>1300696.4134915778</v>
      </c>
      <c r="AY720">
        <f t="shared" si="82"/>
        <v>0</v>
      </c>
      <c r="AZ720">
        <f t="shared" si="83"/>
        <v>1</v>
      </c>
    </row>
    <row r="721" spans="1:52" x14ac:dyDescent="0.2">
      <c r="A721">
        <f t="shared" si="77"/>
        <v>717</v>
      </c>
      <c r="B721">
        <v>2.3627544910899047E-2</v>
      </c>
      <c r="C721">
        <v>3.4173156962071322E-2</v>
      </c>
      <c r="D721">
        <v>4.4185908771988691E-2</v>
      </c>
      <c r="E721">
        <v>2.2096067661486529E-2</v>
      </c>
      <c r="F721">
        <v>3.4088403133569756E-3</v>
      </c>
      <c r="G721">
        <v>4.3115062006102555E-3</v>
      </c>
      <c r="H721">
        <v>2.8314056785922387E-2</v>
      </c>
      <c r="I721">
        <v>0.12854651749190626</v>
      </c>
      <c r="J721">
        <v>0</v>
      </c>
      <c r="K721">
        <v>0.41316503387587655</v>
      </c>
      <c r="L721">
        <v>0.12429899786749192</v>
      </c>
      <c r="M721">
        <v>0.87570100213250812</v>
      </c>
      <c r="N721">
        <v>4.4148435626870444E-2</v>
      </c>
      <c r="O721" s="72">
        <v>0.99967864314962773</v>
      </c>
      <c r="P721">
        <v>0.98403221579350963</v>
      </c>
      <c r="Q721">
        <v>0.98371530175753175</v>
      </c>
      <c r="R721">
        <v>0.44111023668786076</v>
      </c>
      <c r="S721">
        <v>0.43904266008172332</v>
      </c>
      <c r="T721">
        <v>0.28110553332434984</v>
      </c>
      <c r="U721">
        <v>0.76724371842348582</v>
      </c>
      <c r="V721">
        <v>0.69202688073816454</v>
      </c>
      <c r="W721">
        <v>0.58260502009463311</v>
      </c>
      <c r="X721">
        <v>0.41465697276305113</v>
      </c>
      <c r="Y721">
        <v>0.42776350254981954</v>
      </c>
      <c r="Z721">
        <v>0.43061953191831059</v>
      </c>
      <c r="AA721">
        <v>0.6118318255277847</v>
      </c>
      <c r="AB721">
        <v>0.80179364364733774</v>
      </c>
      <c r="AC721">
        <v>0.69493775547271852</v>
      </c>
      <c r="AD721">
        <v>0.69721157504817877</v>
      </c>
      <c r="AE721">
        <v>206.92832744766727</v>
      </c>
      <c r="AF721">
        <v>979.64904617627121</v>
      </c>
      <c r="AG721">
        <v>1487.217801311094</v>
      </c>
      <c r="AH721">
        <v>17092.523303383467</v>
      </c>
      <c r="AI721">
        <v>9700.7125595421021</v>
      </c>
      <c r="AJ721">
        <v>34721.409975168892</v>
      </c>
      <c r="AK721">
        <v>11926.044732290728</v>
      </c>
      <c r="AL721">
        <v>2148.3385293456058</v>
      </c>
      <c r="AM721">
        <v>347.38043938840218</v>
      </c>
      <c r="AO721">
        <v>44038.167174065558</v>
      </c>
      <c r="AP721">
        <v>13.149036415747458</v>
      </c>
      <c r="AQ721">
        <v>46439.102706991012</v>
      </c>
      <c r="AR721">
        <v>13.339464226869344</v>
      </c>
      <c r="AS721" s="2">
        <f t="shared" si="78"/>
        <v>2400.935532925454</v>
      </c>
      <c r="AT721" s="2">
        <f t="shared" si="79"/>
        <v>0.19042781112188578</v>
      </c>
      <c r="AV721">
        <f t="shared" si="80"/>
        <v>1270865.4744006803</v>
      </c>
      <c r="AW721">
        <f t="shared" si="81"/>
        <v>1287507.3199799436</v>
      </c>
      <c r="AY721">
        <f t="shared" si="82"/>
        <v>0</v>
      </c>
      <c r="AZ721">
        <f t="shared" si="83"/>
        <v>1</v>
      </c>
    </row>
    <row r="722" spans="1:52" x14ac:dyDescent="0.2">
      <c r="A722">
        <f t="shared" si="77"/>
        <v>718</v>
      </c>
      <c r="B722">
        <v>1.9961554723145154E-2</v>
      </c>
      <c r="C722">
        <v>3.3175934332061181E-2</v>
      </c>
      <c r="D722">
        <v>4.9638786243009436E-2</v>
      </c>
      <c r="E722">
        <v>1.6671381134641394E-2</v>
      </c>
      <c r="F722">
        <v>3.2611197621525809E-3</v>
      </c>
      <c r="G722">
        <v>1.5178098766208015E-2</v>
      </c>
      <c r="H722">
        <v>5.1800589045593592E-2</v>
      </c>
      <c r="I722">
        <v>0.11607656289213182</v>
      </c>
      <c r="J722">
        <v>0</v>
      </c>
      <c r="K722">
        <v>0.46400473395619868</v>
      </c>
      <c r="L722">
        <v>0.16103286871586805</v>
      </c>
      <c r="M722">
        <v>0.83896713128413192</v>
      </c>
      <c r="N722">
        <v>6.5199117301872E-2</v>
      </c>
      <c r="O722" s="72">
        <v>0.99595558962192787</v>
      </c>
      <c r="P722">
        <v>0.99996678055705535</v>
      </c>
      <c r="Q722">
        <v>0.96900479186942845</v>
      </c>
      <c r="R722">
        <v>0.46933217998070831</v>
      </c>
      <c r="S722">
        <v>0.40527377204964932</v>
      </c>
      <c r="T722">
        <v>0.37675503485129713</v>
      </c>
      <c r="U722">
        <v>0.77056106811944414</v>
      </c>
      <c r="V722">
        <v>0.66803852511229556</v>
      </c>
      <c r="W722">
        <v>0.59334074483830257</v>
      </c>
      <c r="X722">
        <v>0.45954790884230434</v>
      </c>
      <c r="Y722">
        <v>0.43377181306822393</v>
      </c>
      <c r="Z722">
        <v>0.44448016373021443</v>
      </c>
      <c r="AA722">
        <v>0.70087522773021027</v>
      </c>
      <c r="AB722">
        <v>0.78751195350066394</v>
      </c>
      <c r="AC722">
        <v>0.63014242986278668</v>
      </c>
      <c r="AD722">
        <v>0.76121145353821751</v>
      </c>
      <c r="AE722">
        <v>180.32779955116246</v>
      </c>
      <c r="AF722">
        <v>1018.2106210892623</v>
      </c>
      <c r="AG722">
        <v>1416.0814072070798</v>
      </c>
      <c r="AH722">
        <v>13287.029129930046</v>
      </c>
      <c r="AI722">
        <v>18125.344115882071</v>
      </c>
      <c r="AJ722">
        <v>43155.94996884204</v>
      </c>
      <c r="AK722">
        <v>13494.577054478563</v>
      </c>
      <c r="AL722">
        <v>1670.4953973993709</v>
      </c>
      <c r="AM722">
        <v>300.31259939249497</v>
      </c>
      <c r="AO722">
        <v>40857.111611142842</v>
      </c>
      <c r="AP722">
        <v>12.978927857913089</v>
      </c>
      <c r="AQ722">
        <v>45162.413199783216</v>
      </c>
      <c r="AR722">
        <v>13.114734425279076</v>
      </c>
      <c r="AS722" s="2">
        <f t="shared" si="78"/>
        <v>4305.3015886403737</v>
      </c>
      <c r="AT722" s="2">
        <f t="shared" si="79"/>
        <v>0.13580656736598762</v>
      </c>
      <c r="AV722">
        <f t="shared" si="80"/>
        <v>1257035.6741801661</v>
      </c>
      <c r="AW722">
        <f t="shared" si="81"/>
        <v>1266311.0293281244</v>
      </c>
      <c r="AY722">
        <f t="shared" si="82"/>
        <v>0</v>
      </c>
      <c r="AZ722">
        <f t="shared" si="83"/>
        <v>1</v>
      </c>
    </row>
    <row r="723" spans="1:52" x14ac:dyDescent="0.2">
      <c r="A723">
        <f t="shared" si="77"/>
        <v>719</v>
      </c>
      <c r="B723">
        <v>2.4135401550819099E-2</v>
      </c>
      <c r="C723">
        <v>3.7227245403781306E-2</v>
      </c>
      <c r="D723">
        <v>3.5143013285170659E-2</v>
      </c>
      <c r="E723">
        <v>1.3571945156098053E-2</v>
      </c>
      <c r="F723">
        <v>3.4943861184418834E-3</v>
      </c>
      <c r="G723">
        <v>1.1860633781063723E-2</v>
      </c>
      <c r="H723">
        <v>3.4407171958552585E-2</v>
      </c>
      <c r="I723">
        <v>0.1243899146858236</v>
      </c>
      <c r="J723">
        <v>0</v>
      </c>
      <c r="K723">
        <v>0.45095951638552312</v>
      </c>
      <c r="L723">
        <v>0.19961335278599146</v>
      </c>
      <c r="M723">
        <v>0.80038664721400854</v>
      </c>
      <c r="N723">
        <v>6.7022498680623488E-2</v>
      </c>
      <c r="O723" s="72">
        <v>0.9995371150424347</v>
      </c>
      <c r="P723">
        <v>0.99466522715263894</v>
      </c>
      <c r="Q723">
        <v>0.95530801774772411</v>
      </c>
      <c r="R723">
        <v>0.44603524193062216</v>
      </c>
      <c r="S723">
        <v>0.40040761046946238</v>
      </c>
      <c r="T723">
        <v>0.1939345949662018</v>
      </c>
      <c r="U723">
        <v>0.77887469983694091</v>
      </c>
      <c r="V723">
        <v>0.73748297615606329</v>
      </c>
      <c r="W723">
        <v>0.57055356018839642</v>
      </c>
      <c r="X723">
        <v>0.4673586927005059</v>
      </c>
      <c r="Y723">
        <v>0.44744111909480311</v>
      </c>
      <c r="Z723">
        <v>0.48406817618421594</v>
      </c>
      <c r="AA723">
        <v>0.65638375971719287</v>
      </c>
      <c r="AB723">
        <v>0.86661821074880696</v>
      </c>
      <c r="AC723">
        <v>0.75154579087348095</v>
      </c>
      <c r="AD723">
        <v>0.60909007347790778</v>
      </c>
      <c r="AE723">
        <v>166.08490716556</v>
      </c>
      <c r="AF723">
        <v>1002.9491043636516</v>
      </c>
      <c r="AG723">
        <v>1590.2611024780449</v>
      </c>
      <c r="AH723">
        <v>12102.825136203277</v>
      </c>
      <c r="AI723">
        <v>9745.5597676285015</v>
      </c>
      <c r="AJ723">
        <v>36609.057220733899</v>
      </c>
      <c r="AK723">
        <v>15089.414378420515</v>
      </c>
      <c r="AL723">
        <v>1764.2539492245639</v>
      </c>
      <c r="AM723">
        <v>263.03767186426842</v>
      </c>
      <c r="AO723">
        <v>44310.737986541382</v>
      </c>
      <c r="AP723">
        <v>13.984840541668586</v>
      </c>
      <c r="AQ723">
        <v>44757.808578362368</v>
      </c>
      <c r="AR723">
        <v>14.220682125154537</v>
      </c>
      <c r="AS723" s="2">
        <f t="shared" si="78"/>
        <v>447.07059182098601</v>
      </c>
      <c r="AT723" s="2">
        <f t="shared" si="79"/>
        <v>0.23584158348595174</v>
      </c>
      <c r="AV723">
        <f t="shared" si="80"/>
        <v>1354173.3161803172</v>
      </c>
      <c r="AW723">
        <f t="shared" si="81"/>
        <v>1377310.4039370914</v>
      </c>
      <c r="AY723">
        <f t="shared" si="82"/>
        <v>0</v>
      </c>
      <c r="AZ723">
        <f t="shared" si="83"/>
        <v>1</v>
      </c>
    </row>
    <row r="724" spans="1:52" x14ac:dyDescent="0.2">
      <c r="A724">
        <f t="shared" si="77"/>
        <v>720</v>
      </c>
      <c r="B724">
        <v>2.8863256254266112E-2</v>
      </c>
      <c r="C724">
        <v>4.2761113940517625E-2</v>
      </c>
      <c r="D724">
        <v>3.1222936125416E-2</v>
      </c>
      <c r="E724">
        <v>7.1326990897419085E-3</v>
      </c>
      <c r="F724">
        <v>3.2872397843595716E-3</v>
      </c>
      <c r="G724">
        <v>4.1312904695248774E-3</v>
      </c>
      <c r="H724">
        <v>2.3266514905519762E-2</v>
      </c>
      <c r="I724">
        <v>0.11382450642658577</v>
      </c>
      <c r="J724">
        <v>0</v>
      </c>
      <c r="K724">
        <v>0.36891461999488373</v>
      </c>
      <c r="L724">
        <v>0.19311481349105877</v>
      </c>
      <c r="M724">
        <v>0.80688518650894125</v>
      </c>
      <c r="N724">
        <v>6.9005110395058522E-2</v>
      </c>
      <c r="O724" s="72">
        <v>0.963605721611416</v>
      </c>
      <c r="P724">
        <v>0.99113537524002193</v>
      </c>
      <c r="Q724">
        <v>0.95868908816457399</v>
      </c>
      <c r="R724">
        <v>0.45176866194490628</v>
      </c>
      <c r="S724">
        <v>0.29638665416111631</v>
      </c>
      <c r="T724">
        <v>0.32596161238160726</v>
      </c>
      <c r="U724">
        <v>0.7670710473429877</v>
      </c>
      <c r="V724">
        <v>0.65833939757205273</v>
      </c>
      <c r="W724">
        <v>0.4884116859580479</v>
      </c>
      <c r="X724">
        <v>0.44094316032887632</v>
      </c>
      <c r="Y724">
        <v>0.45359799138995005</v>
      </c>
      <c r="Z724">
        <v>0.46639499958687758</v>
      </c>
      <c r="AA724">
        <v>0.62943369349825917</v>
      </c>
      <c r="AB724">
        <v>0.83115406726450036</v>
      </c>
      <c r="AC724">
        <v>0.71465602278852347</v>
      </c>
      <c r="AD724">
        <v>0.66134618628772701</v>
      </c>
      <c r="AE724">
        <v>202.06443710056513</v>
      </c>
      <c r="AF724">
        <v>1242.5721818604145</v>
      </c>
      <c r="AG724">
        <v>1739.7874181892796</v>
      </c>
      <c r="AH724">
        <v>12039.308096391407</v>
      </c>
      <c r="AI724">
        <v>12767.214427859402</v>
      </c>
      <c r="AJ724">
        <v>33449.675524016107</v>
      </c>
      <c r="AK724">
        <v>14392.47048555828</v>
      </c>
      <c r="AL724">
        <v>1326.4833908237583</v>
      </c>
      <c r="AM724">
        <v>348.73786035126329</v>
      </c>
      <c r="AO724">
        <v>44835.985098735298</v>
      </c>
      <c r="AP724">
        <v>13.528206843476463</v>
      </c>
      <c r="AQ724">
        <v>46422.859588550818</v>
      </c>
      <c r="AR724">
        <v>13.733920300527194</v>
      </c>
      <c r="AS724" s="2">
        <f t="shared" si="78"/>
        <v>1586.8744898155201</v>
      </c>
      <c r="AT724" s="2">
        <f t="shared" si="79"/>
        <v>0.20571345705073085</v>
      </c>
      <c r="AV724">
        <f t="shared" si="80"/>
        <v>1307984.6992489111</v>
      </c>
      <c r="AW724">
        <f t="shared" si="81"/>
        <v>1326969.1704641685</v>
      </c>
      <c r="AY724">
        <f t="shared" si="82"/>
        <v>0</v>
      </c>
      <c r="AZ724">
        <f t="shared" si="83"/>
        <v>1</v>
      </c>
    </row>
    <row r="725" spans="1:52" x14ac:dyDescent="0.2">
      <c r="A725">
        <f t="shared" si="77"/>
        <v>721</v>
      </c>
      <c r="B725">
        <v>2.2238730234162358E-2</v>
      </c>
      <c r="C725">
        <v>3.2854200688190935E-2</v>
      </c>
      <c r="D725">
        <v>3.040554495233343E-2</v>
      </c>
      <c r="E725">
        <v>3.0840396285593541E-2</v>
      </c>
      <c r="F725">
        <v>3.3204421992169214E-3</v>
      </c>
      <c r="G725">
        <v>2.7996974481970582E-2</v>
      </c>
      <c r="H725">
        <v>4.0234704730366833E-2</v>
      </c>
      <c r="I725">
        <v>0.14488431229254939</v>
      </c>
      <c r="J725">
        <v>0</v>
      </c>
      <c r="K725">
        <v>0.46180783542457127</v>
      </c>
      <c r="L725">
        <v>0.20603388077834606</v>
      </c>
      <c r="M725">
        <v>0.79396611922165394</v>
      </c>
      <c r="N725">
        <v>4.7778170741507121E-2</v>
      </c>
      <c r="O725" s="72">
        <v>0.99999877566427542</v>
      </c>
      <c r="P725">
        <v>0.99531591404173514</v>
      </c>
      <c r="Q725">
        <v>0.98114236730146454</v>
      </c>
      <c r="R725">
        <v>0.46724317295081264</v>
      </c>
      <c r="S725">
        <v>0.39629819790816379</v>
      </c>
      <c r="T725">
        <v>0.43689815583705693</v>
      </c>
      <c r="U725">
        <v>0.76663370730520386</v>
      </c>
      <c r="V725">
        <v>0.63220688473032427</v>
      </c>
      <c r="W725">
        <v>0.5907542838978157</v>
      </c>
      <c r="X725">
        <v>0.45372689039494662</v>
      </c>
      <c r="Y725">
        <v>0.42182838685558188</v>
      </c>
      <c r="Z725">
        <v>0.49404663098736457</v>
      </c>
      <c r="AA725">
        <v>0.68305852693704394</v>
      </c>
      <c r="AB725">
        <v>0.74587623098013189</v>
      </c>
      <c r="AC725">
        <v>0.76226728598659055</v>
      </c>
      <c r="AD725">
        <v>0.55231261143880539</v>
      </c>
      <c r="AE725">
        <v>141.85483916700483</v>
      </c>
      <c r="AF725">
        <v>1139.1860245295882</v>
      </c>
      <c r="AG725">
        <v>1969.7965466142323</v>
      </c>
      <c r="AH725">
        <v>14697.494581527259</v>
      </c>
      <c r="AI725">
        <v>5878.4084859869199</v>
      </c>
      <c r="AJ725">
        <v>39028.646750252541</v>
      </c>
      <c r="AK725">
        <v>10466.730558343863</v>
      </c>
      <c r="AL725">
        <v>2482.0454165812407</v>
      </c>
      <c r="AM725">
        <v>360.79496500966894</v>
      </c>
      <c r="AO725">
        <v>41335.449548647273</v>
      </c>
      <c r="AP725">
        <v>12.429858276825343</v>
      </c>
      <c r="AQ725">
        <v>46197.592375919936</v>
      </c>
      <c r="AR725">
        <v>12.489327423146268</v>
      </c>
      <c r="AS725" s="2">
        <f t="shared" si="78"/>
        <v>4862.1428272726625</v>
      </c>
      <c r="AT725" s="2">
        <f t="shared" si="79"/>
        <v>5.9469146320925148E-2</v>
      </c>
      <c r="AV725">
        <f t="shared" si="80"/>
        <v>1201650.378133887</v>
      </c>
      <c r="AW725">
        <f t="shared" si="81"/>
        <v>1202735.1499387068</v>
      </c>
      <c r="AY725">
        <f t="shared" si="82"/>
        <v>0</v>
      </c>
      <c r="AZ725">
        <f t="shared" si="83"/>
        <v>1</v>
      </c>
    </row>
    <row r="726" spans="1:52" x14ac:dyDescent="0.2">
      <c r="A726">
        <f t="shared" si="77"/>
        <v>722</v>
      </c>
      <c r="B726">
        <v>2.5681455001411058E-2</v>
      </c>
      <c r="C726">
        <v>4.0368976310078519E-2</v>
      </c>
      <c r="D726">
        <v>3.1724749992185608E-2</v>
      </c>
      <c r="E726">
        <v>1.0842881661220535E-2</v>
      </c>
      <c r="F726">
        <v>3.1407786411685686E-3</v>
      </c>
      <c r="G726">
        <v>3.6692398422633388E-2</v>
      </c>
      <c r="H726">
        <v>2.0867627990296282E-2</v>
      </c>
      <c r="I726">
        <v>0.12926512515529823</v>
      </c>
      <c r="J726">
        <v>0</v>
      </c>
      <c r="K726">
        <v>0.41182306268964108</v>
      </c>
      <c r="L726">
        <v>0.20791063556284795</v>
      </c>
      <c r="M726">
        <v>0.79208936443715205</v>
      </c>
      <c r="N726">
        <v>6.3703528453038394E-2</v>
      </c>
      <c r="O726" s="72">
        <v>0.99465565318198423</v>
      </c>
      <c r="P726">
        <v>0.99772849269566333</v>
      </c>
      <c r="Q726">
        <v>0.96820609266543001</v>
      </c>
      <c r="R726">
        <v>0.41397161422481665</v>
      </c>
      <c r="S726">
        <v>0.41547465559009145</v>
      </c>
      <c r="T726">
        <v>0.26241831902260138</v>
      </c>
      <c r="U726">
        <v>0.78145762075502967</v>
      </c>
      <c r="V726">
        <v>0.60349823941006764</v>
      </c>
      <c r="W726">
        <v>0.55840266290158125</v>
      </c>
      <c r="X726">
        <v>0.43965486517729985</v>
      </c>
      <c r="Y726">
        <v>0.46451486609586334</v>
      </c>
      <c r="Z726">
        <v>0.46847082955965469</v>
      </c>
      <c r="AA726">
        <v>0.56746773468568323</v>
      </c>
      <c r="AB726">
        <v>0.77512399437912427</v>
      </c>
      <c r="AC726">
        <v>0.78315801164793464</v>
      </c>
      <c r="AD726">
        <v>0.62922000851385462</v>
      </c>
      <c r="AE726">
        <v>150.55850876678096</v>
      </c>
      <c r="AF726">
        <v>1219.0430084663553</v>
      </c>
      <c r="AG726">
        <v>1716.9551559175536</v>
      </c>
      <c r="AH726">
        <v>12745.535135386664</v>
      </c>
      <c r="AI726">
        <v>10226.671456246022</v>
      </c>
      <c r="AJ726">
        <v>39377.504225909317</v>
      </c>
      <c r="AK726">
        <v>10221.117288260337</v>
      </c>
      <c r="AL726">
        <v>2131.6226538923847</v>
      </c>
      <c r="AM726">
        <v>383.57230211832456</v>
      </c>
      <c r="AO726">
        <v>46546.472650768927</v>
      </c>
      <c r="AP726">
        <v>12.919632851138168</v>
      </c>
      <c r="AQ726">
        <v>46507.276384482197</v>
      </c>
      <c r="AR726">
        <v>13.037658519031941</v>
      </c>
      <c r="AS726" s="2">
        <f t="shared" si="78"/>
        <v>-39.196266286729951</v>
      </c>
      <c r="AT726" s="2">
        <f t="shared" si="79"/>
        <v>0.11802566789377344</v>
      </c>
      <c r="AV726">
        <f t="shared" si="80"/>
        <v>1245416.8124630479</v>
      </c>
      <c r="AW726">
        <f t="shared" si="81"/>
        <v>1257258.5755187119</v>
      </c>
      <c r="AY726">
        <f t="shared" si="82"/>
        <v>0</v>
      </c>
      <c r="AZ726">
        <f t="shared" si="83"/>
        <v>1</v>
      </c>
    </row>
    <row r="727" spans="1:52" x14ac:dyDescent="0.2">
      <c r="A727">
        <f t="shared" si="77"/>
        <v>723</v>
      </c>
      <c r="B727">
        <v>2.2463933535914339E-2</v>
      </c>
      <c r="C727">
        <v>2.4021332864555472E-2</v>
      </c>
      <c r="D727">
        <v>2.9622002718849783E-2</v>
      </c>
      <c r="E727">
        <v>2.3311244591888824E-2</v>
      </c>
      <c r="F727">
        <v>3.2958322036784208E-3</v>
      </c>
      <c r="G727">
        <v>9.8965286856402459E-3</v>
      </c>
      <c r="H727">
        <v>2.7593136778866417E-2</v>
      </c>
      <c r="I727">
        <v>0.1270839481081848</v>
      </c>
      <c r="J727">
        <v>0</v>
      </c>
      <c r="K727">
        <v>0.43920225236787069</v>
      </c>
      <c r="L727">
        <v>0.23914883293887479</v>
      </c>
      <c r="M727">
        <v>0.76085116706112521</v>
      </c>
      <c r="N727">
        <v>5.6619185090760027E-2</v>
      </c>
      <c r="O727" s="72">
        <v>0.99993522570604065</v>
      </c>
      <c r="P727">
        <v>0.9999999803706866</v>
      </c>
      <c r="Q727">
        <v>0.95037023129563503</v>
      </c>
      <c r="R727">
        <v>0.53761550252545898</v>
      </c>
      <c r="S727">
        <v>0.41864179906122545</v>
      </c>
      <c r="T727">
        <v>0.26429898203326307</v>
      </c>
      <c r="U727">
        <v>0.77954663915511324</v>
      </c>
      <c r="V727">
        <v>0.63221720708634677</v>
      </c>
      <c r="W727">
        <v>0.59720523431101014</v>
      </c>
      <c r="X727">
        <v>0.4896084483995401</v>
      </c>
      <c r="Y727">
        <v>0.48509419529963438</v>
      </c>
      <c r="Z727">
        <v>0.37635536636114381</v>
      </c>
      <c r="AA727">
        <v>0.6911053463968817</v>
      </c>
      <c r="AB727">
        <v>0.89669884494834029</v>
      </c>
      <c r="AC727">
        <v>0.76366319826381168</v>
      </c>
      <c r="AD727">
        <v>0.5302559272902887</v>
      </c>
      <c r="AE727">
        <v>240.81335760605276</v>
      </c>
      <c r="AF727">
        <v>989.74712386965791</v>
      </c>
      <c r="AG727">
        <v>1324.9789397674724</v>
      </c>
      <c r="AH727">
        <v>15240.12832407128</v>
      </c>
      <c r="AI727">
        <v>15224.585305528548</v>
      </c>
      <c r="AJ727">
        <v>43171.722467010921</v>
      </c>
      <c r="AK727">
        <v>11189.108950263739</v>
      </c>
      <c r="AL727">
        <v>3257.7091967313845</v>
      </c>
      <c r="AM727">
        <v>297.49853496658517</v>
      </c>
      <c r="AO727">
        <v>38819.612437879528</v>
      </c>
      <c r="AP727">
        <v>14.364006262760276</v>
      </c>
      <c r="AQ727">
        <v>45240.302240197467</v>
      </c>
      <c r="AR727">
        <v>14.554126487572388</v>
      </c>
      <c r="AS727" s="2">
        <f t="shared" si="78"/>
        <v>6420.6898023179383</v>
      </c>
      <c r="AT727" s="2">
        <f t="shared" si="79"/>
        <v>0.19012022481211233</v>
      </c>
      <c r="AV727">
        <f t="shared" si="80"/>
        <v>1397581.0138381482</v>
      </c>
      <c r="AW727">
        <f t="shared" si="81"/>
        <v>1410172.3465170413</v>
      </c>
      <c r="AY727">
        <f t="shared" si="82"/>
        <v>0</v>
      </c>
      <c r="AZ727">
        <f t="shared" si="83"/>
        <v>1</v>
      </c>
    </row>
    <row r="728" spans="1:52" x14ac:dyDescent="0.2">
      <c r="A728">
        <f t="shared" si="77"/>
        <v>724</v>
      </c>
      <c r="B728">
        <v>2.4446526729780468E-2</v>
      </c>
      <c r="C728">
        <v>4.8599592764078658E-2</v>
      </c>
      <c r="D728">
        <v>3.020351336687287E-2</v>
      </c>
      <c r="E728">
        <v>1.9565598188268085E-2</v>
      </c>
      <c r="F728">
        <v>3.2495555241405373E-3</v>
      </c>
      <c r="G728">
        <v>7.5133236583365161E-3</v>
      </c>
      <c r="H728">
        <v>2.7624103408525898E-2</v>
      </c>
      <c r="I728">
        <v>0.14383333900375672</v>
      </c>
      <c r="J728">
        <v>0</v>
      </c>
      <c r="K728">
        <v>0.43450262914345705</v>
      </c>
      <c r="L728">
        <v>0.20613262297952781</v>
      </c>
      <c r="M728">
        <v>0.79386737702047216</v>
      </c>
      <c r="N728">
        <v>5.1659589356366505E-2</v>
      </c>
      <c r="O728" s="72">
        <v>0.99997382187334971</v>
      </c>
      <c r="P728">
        <v>0.99542814697991311</v>
      </c>
      <c r="Q728">
        <v>0.84163321296149674</v>
      </c>
      <c r="R728">
        <v>0.47847288909598118</v>
      </c>
      <c r="S728">
        <v>0.35688731178831823</v>
      </c>
      <c r="T728">
        <v>0.11912318224500917</v>
      </c>
      <c r="U728">
        <v>0.79985466193541177</v>
      </c>
      <c r="V728">
        <v>0.73993311702296194</v>
      </c>
      <c r="W728">
        <v>0.57829269461313493</v>
      </c>
      <c r="X728">
        <v>0.39364508750347477</v>
      </c>
      <c r="Y728">
        <v>0.46711998386785292</v>
      </c>
      <c r="Z728">
        <v>0.455831343452896</v>
      </c>
      <c r="AA728">
        <v>0.72510741481570185</v>
      </c>
      <c r="AB728">
        <v>0.7928447439835089</v>
      </c>
      <c r="AC728">
        <v>0.65623648003131141</v>
      </c>
      <c r="AD728">
        <v>0.55351653305685589</v>
      </c>
      <c r="AE728">
        <v>208.65964651153189</v>
      </c>
      <c r="AF728">
        <v>1076.6868426813955</v>
      </c>
      <c r="AG728">
        <v>1244.8250154932475</v>
      </c>
      <c r="AH728">
        <v>13001.892359689626</v>
      </c>
      <c r="AI728">
        <v>14112.699028762607</v>
      </c>
      <c r="AJ728">
        <v>32182.810494004156</v>
      </c>
      <c r="AK728">
        <v>10540.412046792102</v>
      </c>
      <c r="AL728">
        <v>1289.8087452222937</v>
      </c>
      <c r="AM728">
        <v>436.56663618922431</v>
      </c>
      <c r="AO728">
        <v>48087.245076211584</v>
      </c>
      <c r="AP728">
        <v>12.792392953918558</v>
      </c>
      <c r="AQ728">
        <v>47896.380837255689</v>
      </c>
      <c r="AR728">
        <v>12.94544384110165</v>
      </c>
      <c r="AS728" s="2">
        <f t="shared" si="78"/>
        <v>-190.86423895589542</v>
      </c>
      <c r="AT728" s="2">
        <f t="shared" si="79"/>
        <v>0.15305088718309179</v>
      </c>
      <c r="AV728">
        <f t="shared" si="80"/>
        <v>1231152.0503156441</v>
      </c>
      <c r="AW728">
        <f t="shared" si="81"/>
        <v>1246648.0032729094</v>
      </c>
      <c r="AY728">
        <f t="shared" si="82"/>
        <v>0</v>
      </c>
      <c r="AZ728">
        <f t="shared" si="83"/>
        <v>1</v>
      </c>
    </row>
    <row r="729" spans="1:52" x14ac:dyDescent="0.2">
      <c r="A729">
        <f t="shared" si="77"/>
        <v>725</v>
      </c>
      <c r="B729">
        <v>1.8570055843931291E-2</v>
      </c>
      <c r="C729">
        <v>4.9176206426509106E-2</v>
      </c>
      <c r="D729">
        <v>3.6480433590256045E-2</v>
      </c>
      <c r="E729">
        <v>3.2900244873667939E-2</v>
      </c>
      <c r="F729">
        <v>3.2749299791643496E-3</v>
      </c>
      <c r="G729">
        <v>1.4548318693591078E-2</v>
      </c>
      <c r="H729">
        <v>1.3763860172681507E-2</v>
      </c>
      <c r="I729">
        <v>0.12189346198193721</v>
      </c>
      <c r="J729">
        <v>0</v>
      </c>
      <c r="K729">
        <v>0.44359009598461618</v>
      </c>
      <c r="L729">
        <v>0.27114741449003554</v>
      </c>
      <c r="M729">
        <v>0.72885258550996446</v>
      </c>
      <c r="N729">
        <v>6.4403573856540275E-2</v>
      </c>
      <c r="O729" s="72">
        <v>0.98948596780782261</v>
      </c>
      <c r="P729">
        <v>0.9896243846827123</v>
      </c>
      <c r="Q729">
        <v>0.88396345980608548</v>
      </c>
      <c r="R729">
        <v>0.49087198688627254</v>
      </c>
      <c r="S729">
        <v>0.34981128764659575</v>
      </c>
      <c r="T729">
        <v>0.2374786672009801</v>
      </c>
      <c r="U729">
        <v>0.79055532385338401</v>
      </c>
      <c r="V729">
        <v>0.62894230354747105</v>
      </c>
      <c r="W729">
        <v>0.49795477468522542</v>
      </c>
      <c r="X729">
        <v>0.41645562597064062</v>
      </c>
      <c r="Y729">
        <v>0.405564981250367</v>
      </c>
      <c r="Z729">
        <v>0.44910713335592545</v>
      </c>
      <c r="AA729">
        <v>0.65471740248555621</v>
      </c>
      <c r="AB729">
        <v>0.84278792658622659</v>
      </c>
      <c r="AC729">
        <v>0.7220291997185726</v>
      </c>
      <c r="AD729">
        <v>0.57468988759939221</v>
      </c>
      <c r="AE729">
        <v>257.95462604481065</v>
      </c>
      <c r="AF729">
        <v>1201.9983289803481</v>
      </c>
      <c r="AG729">
        <v>1646.2434970306217</v>
      </c>
      <c r="AH729">
        <v>16599.731484167616</v>
      </c>
      <c r="AI729">
        <v>14244.39701735085</v>
      </c>
      <c r="AJ729">
        <v>41744.338945798183</v>
      </c>
      <c r="AK729">
        <v>14497.1695684891</v>
      </c>
      <c r="AL729">
        <v>1366.834337634037</v>
      </c>
      <c r="AM729">
        <v>287.25590641224704</v>
      </c>
      <c r="AO729">
        <v>42332.242552641335</v>
      </c>
      <c r="AP729">
        <v>13.554897826830571</v>
      </c>
      <c r="AQ729">
        <v>45807.251867275372</v>
      </c>
      <c r="AR729">
        <v>13.78392611948377</v>
      </c>
      <c r="AS729" s="2">
        <f t="shared" si="78"/>
        <v>3475.0093146340369</v>
      </c>
      <c r="AT729" s="2">
        <f t="shared" si="79"/>
        <v>0.22902829265319902</v>
      </c>
      <c r="AV729">
        <f t="shared" si="80"/>
        <v>1313157.5401304157</v>
      </c>
      <c r="AW729">
        <f t="shared" si="81"/>
        <v>1332585.3600811015</v>
      </c>
      <c r="AY729">
        <f t="shared" si="82"/>
        <v>0</v>
      </c>
      <c r="AZ729">
        <f t="shared" si="83"/>
        <v>1</v>
      </c>
    </row>
    <row r="730" spans="1:52" x14ac:dyDescent="0.2">
      <c r="A730">
        <f t="shared" si="77"/>
        <v>726</v>
      </c>
      <c r="B730">
        <v>2.7138481949895543E-2</v>
      </c>
      <c r="C730">
        <v>5.2356012919692829E-2</v>
      </c>
      <c r="D730">
        <v>5.2443699476096839E-2</v>
      </c>
      <c r="E730">
        <v>1.467818835549195E-2</v>
      </c>
      <c r="F730">
        <v>3.5355408578721104E-3</v>
      </c>
      <c r="G730">
        <v>2.3489647062926253E-3</v>
      </c>
      <c r="H730">
        <v>3.9597243914823554E-2</v>
      </c>
      <c r="I730">
        <v>0.11535705795702197</v>
      </c>
      <c r="J730">
        <v>0</v>
      </c>
      <c r="K730">
        <v>0.40980404000623122</v>
      </c>
      <c r="L730">
        <v>0.19238146828066163</v>
      </c>
      <c r="M730">
        <v>0.8076185317193384</v>
      </c>
      <c r="N730">
        <v>7.3347923690557648E-2</v>
      </c>
      <c r="O730" s="72">
        <v>0.99306459568547445</v>
      </c>
      <c r="P730">
        <v>0.99973053251220023</v>
      </c>
      <c r="Q730">
        <v>0.99152028510613532</v>
      </c>
      <c r="R730">
        <v>0.4509437098319421</v>
      </c>
      <c r="S730">
        <v>0.40671351486300444</v>
      </c>
      <c r="T730">
        <v>0.37982530157248784</v>
      </c>
      <c r="U730">
        <v>0.78093206374187096</v>
      </c>
      <c r="V730">
        <v>0.65684034594689966</v>
      </c>
      <c r="W730">
        <v>0.46586725411247015</v>
      </c>
      <c r="X730">
        <v>0.47730665237072833</v>
      </c>
      <c r="Y730">
        <v>0.49455794977415979</v>
      </c>
      <c r="Z730">
        <v>0.43421565039285304</v>
      </c>
      <c r="AA730">
        <v>0.67863517883231905</v>
      </c>
      <c r="AB730">
        <v>0.84423806050957984</v>
      </c>
      <c r="AC730">
        <v>0.76983754569634433</v>
      </c>
      <c r="AD730">
        <v>0.499093055345185</v>
      </c>
      <c r="AE730">
        <v>212.10105243928456</v>
      </c>
      <c r="AF730">
        <v>861.87157582530767</v>
      </c>
      <c r="AG730">
        <v>2208.0183828525551</v>
      </c>
      <c r="AH730">
        <v>15217.04507776896</v>
      </c>
      <c r="AI730">
        <v>14752.115893607801</v>
      </c>
      <c r="AJ730">
        <v>43495.539553926057</v>
      </c>
      <c r="AK730">
        <v>5965.0111968616056</v>
      </c>
      <c r="AL730">
        <v>2085.0875533140593</v>
      </c>
      <c r="AM730">
        <v>383.82628694208995</v>
      </c>
      <c r="AO730">
        <v>43418.197399754186</v>
      </c>
      <c r="AP730">
        <v>13.603914575793342</v>
      </c>
      <c r="AQ730">
        <v>46563.847206776903</v>
      </c>
      <c r="AR730">
        <v>13.795684967368629</v>
      </c>
      <c r="AS730" s="2">
        <f t="shared" si="78"/>
        <v>3145.6498070227171</v>
      </c>
      <c r="AT730" s="2">
        <f t="shared" si="79"/>
        <v>0.19177039157528775</v>
      </c>
      <c r="AV730">
        <f t="shared" si="80"/>
        <v>1316973.2601795802</v>
      </c>
      <c r="AW730">
        <f t="shared" si="81"/>
        <v>1333004.649530086</v>
      </c>
      <c r="AY730">
        <f t="shared" si="82"/>
        <v>0</v>
      </c>
      <c r="AZ730">
        <f t="shared" si="83"/>
        <v>1</v>
      </c>
    </row>
    <row r="731" spans="1:52" x14ac:dyDescent="0.2">
      <c r="A731">
        <f t="shared" si="77"/>
        <v>727</v>
      </c>
      <c r="B731">
        <v>2.3338533566698284E-2</v>
      </c>
      <c r="C731">
        <v>3.6183092026972917E-2</v>
      </c>
      <c r="D731">
        <v>3.8744564919840574E-2</v>
      </c>
      <c r="E731">
        <v>4.6415661930042495E-3</v>
      </c>
      <c r="F731">
        <v>3.3642648358210847E-3</v>
      </c>
      <c r="G731">
        <v>9.5659292109695742E-3</v>
      </c>
      <c r="H731">
        <v>1.2773023153284725E-2</v>
      </c>
      <c r="I731">
        <v>0.12204301630090107</v>
      </c>
      <c r="J731">
        <v>0</v>
      </c>
      <c r="K731">
        <v>0.4759869990925969</v>
      </c>
      <c r="L731">
        <v>0.18592002576628264</v>
      </c>
      <c r="M731">
        <v>0.81407997423371736</v>
      </c>
      <c r="N731">
        <v>6.810202477932259E-2</v>
      </c>
      <c r="O731" s="72">
        <v>0.99278970714674686</v>
      </c>
      <c r="P731">
        <v>0.99998105359525602</v>
      </c>
      <c r="Q731">
        <v>0.85679612491075918</v>
      </c>
      <c r="R731">
        <v>0.47586421414027702</v>
      </c>
      <c r="S731">
        <v>0.32706160097023995</v>
      </c>
      <c r="T731">
        <v>0.16173774914864669</v>
      </c>
      <c r="U731">
        <v>0.77936438505603745</v>
      </c>
      <c r="V731">
        <v>0.56533246926034431</v>
      </c>
      <c r="W731">
        <v>0.54810697885306969</v>
      </c>
      <c r="X731">
        <v>0.50266869174915374</v>
      </c>
      <c r="Y731">
        <v>0.4918062939346286</v>
      </c>
      <c r="Z731">
        <v>0.44053735864393123</v>
      </c>
      <c r="AA731">
        <v>0.71296477896148613</v>
      </c>
      <c r="AB731">
        <v>0.87237757309001607</v>
      </c>
      <c r="AC731">
        <v>0.81314513887290307</v>
      </c>
      <c r="AD731">
        <v>0.65674453796514898</v>
      </c>
      <c r="AE731">
        <v>176.98561818172297</v>
      </c>
      <c r="AF731">
        <v>1111.9611367161287</v>
      </c>
      <c r="AG731">
        <v>1336.6980750633227</v>
      </c>
      <c r="AH731">
        <v>13833.544958245779</v>
      </c>
      <c r="AI731">
        <v>7123.8048562682934</v>
      </c>
      <c r="AJ731">
        <v>41503.788296667182</v>
      </c>
      <c r="AK731">
        <v>17256.001339911047</v>
      </c>
      <c r="AL731">
        <v>1675.4980180267501</v>
      </c>
      <c r="AM731">
        <v>289.47536497027818</v>
      </c>
      <c r="AO731">
        <v>45276.218804293116</v>
      </c>
      <c r="AP731">
        <v>14.178343738226065</v>
      </c>
      <c r="AQ731">
        <v>45470.800028662648</v>
      </c>
      <c r="AR731">
        <v>14.474414118033453</v>
      </c>
      <c r="AS731" s="2">
        <f t="shared" si="78"/>
        <v>194.58122436953272</v>
      </c>
      <c r="AT731" s="2">
        <f t="shared" si="79"/>
        <v>0.2960703798073876</v>
      </c>
      <c r="AV731">
        <f t="shared" si="80"/>
        <v>1372558.1550183133</v>
      </c>
      <c r="AW731">
        <f t="shared" si="81"/>
        <v>1401970.6117746825</v>
      </c>
      <c r="AY731">
        <f t="shared" si="82"/>
        <v>0</v>
      </c>
      <c r="AZ731">
        <f t="shared" si="83"/>
        <v>1</v>
      </c>
    </row>
    <row r="732" spans="1:52" x14ac:dyDescent="0.2">
      <c r="A732">
        <f t="shared" si="77"/>
        <v>728</v>
      </c>
      <c r="B732">
        <v>2.3683709856161785E-2</v>
      </c>
      <c r="C732">
        <v>4.1989675676625815E-2</v>
      </c>
      <c r="D732">
        <v>3.1317818773985054E-2</v>
      </c>
      <c r="E732">
        <v>8.9489789802117605E-3</v>
      </c>
      <c r="F732">
        <v>3.2727416410178699E-3</v>
      </c>
      <c r="G732">
        <v>1.3164995421469539E-2</v>
      </c>
      <c r="H732">
        <v>3.7086441078913679E-2</v>
      </c>
      <c r="I732">
        <v>0.12384813895237731</v>
      </c>
      <c r="J732">
        <v>0</v>
      </c>
      <c r="K732">
        <v>0.42486940394464212</v>
      </c>
      <c r="L732">
        <v>0.12389763533588607</v>
      </c>
      <c r="M732">
        <v>0.87610236466411395</v>
      </c>
      <c r="N732">
        <v>5.8723265927218882E-2</v>
      </c>
      <c r="O732" s="72">
        <v>0.99896255581377946</v>
      </c>
      <c r="P732">
        <v>0.99928139716785802</v>
      </c>
      <c r="Q732">
        <v>0.99016465790370267</v>
      </c>
      <c r="R732">
        <v>0.46280851800876266</v>
      </c>
      <c r="S732">
        <v>0.33910719129578015</v>
      </c>
      <c r="T732">
        <v>0.22620809422174126</v>
      </c>
      <c r="U732">
        <v>0.80372778456423433</v>
      </c>
      <c r="V732">
        <v>0.62686147156530414</v>
      </c>
      <c r="W732">
        <v>0.66639731075966457</v>
      </c>
      <c r="X732">
        <v>0.44695690953900985</v>
      </c>
      <c r="Y732">
        <v>0.45329288922875821</v>
      </c>
      <c r="Z732">
        <v>0.44142655330235581</v>
      </c>
      <c r="AA732">
        <v>0.71097894895157432</v>
      </c>
      <c r="AB732">
        <v>0.85466411519509466</v>
      </c>
      <c r="AC732">
        <v>0.62058420986967722</v>
      </c>
      <c r="AD732">
        <v>0.53202483393687994</v>
      </c>
      <c r="AE732">
        <v>196.46263175667022</v>
      </c>
      <c r="AF732">
        <v>1050.4605562822965</v>
      </c>
      <c r="AG732">
        <v>1399.12758278196</v>
      </c>
      <c r="AH732">
        <v>13575.10115822955</v>
      </c>
      <c r="AI732">
        <v>15510.684700942176</v>
      </c>
      <c r="AJ732">
        <v>39191.626126414216</v>
      </c>
      <c r="AK732">
        <v>12312.288280626677</v>
      </c>
      <c r="AL732">
        <v>2146.0710196365962</v>
      </c>
      <c r="AM732">
        <v>529.50841346039783</v>
      </c>
      <c r="AO732">
        <v>47527.704983793177</v>
      </c>
      <c r="AP732">
        <v>13.558651398021256</v>
      </c>
      <c r="AQ732">
        <v>48702.099894056206</v>
      </c>
      <c r="AR732">
        <v>13.715861183743137</v>
      </c>
      <c r="AS732" s="2">
        <f t="shared" si="78"/>
        <v>1174.3949102630286</v>
      </c>
      <c r="AT732" s="2">
        <f t="shared" si="79"/>
        <v>0.15720978572188038</v>
      </c>
      <c r="AV732">
        <f t="shared" si="80"/>
        <v>1308337.4348183323</v>
      </c>
      <c r="AW732">
        <f t="shared" si="81"/>
        <v>1322884.0184802576</v>
      </c>
      <c r="AY732">
        <f t="shared" si="82"/>
        <v>0</v>
      </c>
      <c r="AZ732">
        <f t="shared" si="83"/>
        <v>1</v>
      </c>
    </row>
    <row r="733" spans="1:52" x14ac:dyDescent="0.2">
      <c r="A733">
        <f t="shared" si="77"/>
        <v>729</v>
      </c>
      <c r="B733">
        <v>2.1051778455308291E-2</v>
      </c>
      <c r="C733">
        <v>5.4567535403020062E-2</v>
      </c>
      <c r="D733">
        <v>5.0190429316288698E-2</v>
      </c>
      <c r="E733">
        <v>1.8625179086331323E-2</v>
      </c>
      <c r="F733">
        <v>3.365947315693063E-3</v>
      </c>
      <c r="G733">
        <v>1.6633589189115838E-2</v>
      </c>
      <c r="H733">
        <v>5.779554788890362E-2</v>
      </c>
      <c r="I733">
        <v>0.12868191119318509</v>
      </c>
      <c r="J733">
        <v>0</v>
      </c>
      <c r="K733">
        <v>0.3918080912869179</v>
      </c>
      <c r="L733">
        <v>0.21922159632349125</v>
      </c>
      <c r="M733">
        <v>0.78077840367650875</v>
      </c>
      <c r="N733">
        <v>8.3987850317275958E-2</v>
      </c>
      <c r="O733" s="72">
        <v>0.98671490305835163</v>
      </c>
      <c r="P733">
        <v>0.99834309646146968</v>
      </c>
      <c r="Q733">
        <v>0.99477392831895539</v>
      </c>
      <c r="R733">
        <v>0.4691076338765352</v>
      </c>
      <c r="S733">
        <v>0.50710811505604103</v>
      </c>
      <c r="T733">
        <v>0.15119657671632747</v>
      </c>
      <c r="U733">
        <v>0.7609694052341297</v>
      </c>
      <c r="V733">
        <v>0.68609438390662625</v>
      </c>
      <c r="W733">
        <v>0.50301641989287227</v>
      </c>
      <c r="X733">
        <v>0.43484020462256601</v>
      </c>
      <c r="Y733">
        <v>0.43196291222385885</v>
      </c>
      <c r="Z733">
        <v>0.4375434132187338</v>
      </c>
      <c r="AA733">
        <v>0.7129613213453847</v>
      </c>
      <c r="AB733">
        <v>0.81677402459882931</v>
      </c>
      <c r="AC733">
        <v>0.75693641519561261</v>
      </c>
      <c r="AD733">
        <v>0.57720484880894851</v>
      </c>
      <c r="AE733">
        <v>269.14917495078544</v>
      </c>
      <c r="AF733">
        <v>1020.7138264492792</v>
      </c>
      <c r="AG733">
        <v>1310.8533104049566</v>
      </c>
      <c r="AH733">
        <v>13004.873971964975</v>
      </c>
      <c r="AI733">
        <v>15183.159734121173</v>
      </c>
      <c r="AJ733">
        <v>31787.609166189341</v>
      </c>
      <c r="AK733">
        <v>19963.486563765993</v>
      </c>
      <c r="AL733">
        <v>2569.7927821138323</v>
      </c>
      <c r="AM733">
        <v>255.10400734086775</v>
      </c>
      <c r="AO733">
        <v>43173.292626602946</v>
      </c>
      <c r="AP733">
        <v>13.249811384022795</v>
      </c>
      <c r="AQ733">
        <v>44500.63508038834</v>
      </c>
      <c r="AR733">
        <v>13.497181438449946</v>
      </c>
      <c r="AS733" s="2">
        <f t="shared" si="78"/>
        <v>1327.3424537853934</v>
      </c>
      <c r="AT733" s="2">
        <f t="shared" si="79"/>
        <v>0.24737005442715088</v>
      </c>
      <c r="AV733">
        <f t="shared" si="80"/>
        <v>1281807.8457756764</v>
      </c>
      <c r="AW733">
        <f t="shared" si="81"/>
        <v>1305217.5087646064</v>
      </c>
      <c r="AY733">
        <f t="shared" si="82"/>
        <v>0</v>
      </c>
      <c r="AZ733">
        <f t="shared" si="83"/>
        <v>1</v>
      </c>
    </row>
    <row r="734" spans="1:52" x14ac:dyDescent="0.2">
      <c r="A734">
        <f t="shared" si="77"/>
        <v>730</v>
      </c>
      <c r="B734">
        <v>2.0763554286802786E-2</v>
      </c>
      <c r="C734">
        <v>2.9593562888711282E-2</v>
      </c>
      <c r="D734">
        <v>5.492266299028159E-2</v>
      </c>
      <c r="E734">
        <v>1.5258108367792511E-2</v>
      </c>
      <c r="F734">
        <v>3.4252961547773797E-3</v>
      </c>
      <c r="G734">
        <v>5.5950155324526072E-3</v>
      </c>
      <c r="H734">
        <v>3.2430220383350306E-2</v>
      </c>
      <c r="I734">
        <v>0.12183062094673271</v>
      </c>
      <c r="J734">
        <v>0</v>
      </c>
      <c r="K734">
        <v>0.43019218282060445</v>
      </c>
      <c r="L734">
        <v>0.21310323800516873</v>
      </c>
      <c r="M734">
        <v>0.78689676199483127</v>
      </c>
      <c r="N734">
        <v>4.6002985662488539E-2</v>
      </c>
      <c r="O734" s="72">
        <v>0.99655077654141144</v>
      </c>
      <c r="P734">
        <v>0.999717103112159</v>
      </c>
      <c r="Q734">
        <v>0.93851374683332445</v>
      </c>
      <c r="R734">
        <v>0.4576610780331708</v>
      </c>
      <c r="S734">
        <v>0.42586652868116137</v>
      </c>
      <c r="T734">
        <v>0.25268193238810177</v>
      </c>
      <c r="U734">
        <v>0.75206049981480505</v>
      </c>
      <c r="V734">
        <v>0.65682004987569043</v>
      </c>
      <c r="W734">
        <v>0.46544742950528384</v>
      </c>
      <c r="X734">
        <v>0.43285680878741117</v>
      </c>
      <c r="Y734">
        <v>0.42403480459300558</v>
      </c>
      <c r="Z734">
        <v>0.45175780269190913</v>
      </c>
      <c r="AA734">
        <v>0.71352302409162238</v>
      </c>
      <c r="AB734">
        <v>0.81527481048306127</v>
      </c>
      <c r="AC734">
        <v>0.75092631297608303</v>
      </c>
      <c r="AD734">
        <v>0.59091909701395451</v>
      </c>
      <c r="AE734">
        <v>195.93747011686492</v>
      </c>
      <c r="AF734">
        <v>1155.5380250687374</v>
      </c>
      <c r="AG734">
        <v>1614.598532205541</v>
      </c>
      <c r="AH734">
        <v>11470.953973784799</v>
      </c>
      <c r="AI734">
        <v>15520.964458763023</v>
      </c>
      <c r="AJ734">
        <v>46927.82363210513</v>
      </c>
      <c r="AK734">
        <v>22205.444098557557</v>
      </c>
      <c r="AL734">
        <v>2376.3181604695192</v>
      </c>
      <c r="AM734">
        <v>354.53965908042358</v>
      </c>
      <c r="AO734">
        <v>43650.519770707258</v>
      </c>
      <c r="AP734">
        <v>13.271235123286699</v>
      </c>
      <c r="AQ734">
        <v>46162.713486834902</v>
      </c>
      <c r="AR734">
        <v>13.481870204551816</v>
      </c>
      <c r="AS734" s="2">
        <f t="shared" si="78"/>
        <v>2512.1937161276437</v>
      </c>
      <c r="AT734" s="2">
        <f t="shared" si="79"/>
        <v>0.21063508126511721</v>
      </c>
      <c r="AV734">
        <f t="shared" si="80"/>
        <v>1283472.9925579627</v>
      </c>
      <c r="AW734">
        <f t="shared" si="81"/>
        <v>1302024.3069683467</v>
      </c>
      <c r="AY734">
        <f t="shared" si="82"/>
        <v>0</v>
      </c>
      <c r="AZ734">
        <f t="shared" si="83"/>
        <v>1</v>
      </c>
    </row>
    <row r="735" spans="1:52" x14ac:dyDescent="0.2">
      <c r="A735">
        <f t="shared" si="77"/>
        <v>731</v>
      </c>
      <c r="B735">
        <v>2.2866259171022491E-2</v>
      </c>
      <c r="C735">
        <v>3.446865426135963E-2</v>
      </c>
      <c r="D735">
        <v>2.503772389556622E-2</v>
      </c>
      <c r="E735">
        <v>6.9394927170431386E-3</v>
      </c>
      <c r="F735">
        <v>3.2161923882742046E-3</v>
      </c>
      <c r="G735">
        <v>1.0936065626932959E-2</v>
      </c>
      <c r="H735">
        <v>3.3372624751988544E-2</v>
      </c>
      <c r="I735">
        <v>0.13987038370505622</v>
      </c>
      <c r="J735">
        <v>0</v>
      </c>
      <c r="K735">
        <v>0.41186814261375271</v>
      </c>
      <c r="L735">
        <v>0.19691367476049318</v>
      </c>
      <c r="M735">
        <v>0.80308632523950685</v>
      </c>
      <c r="N735">
        <v>8.0404170319484214E-2</v>
      </c>
      <c r="O735" s="72">
        <v>0.99983133883218112</v>
      </c>
      <c r="P735">
        <v>0.9997343108572988</v>
      </c>
      <c r="Q735">
        <v>0.96485941881307491</v>
      </c>
      <c r="R735">
        <v>0.49256749800236477</v>
      </c>
      <c r="S735">
        <v>0.32412227048559483</v>
      </c>
      <c r="T735">
        <v>0.25182634708577256</v>
      </c>
      <c r="U735">
        <v>0.76183138836576936</v>
      </c>
      <c r="V735">
        <v>0.63959618473229063</v>
      </c>
      <c r="W735">
        <v>0.49827241159661745</v>
      </c>
      <c r="X735">
        <v>0.45517726734747577</v>
      </c>
      <c r="Y735">
        <v>0.44342573071132385</v>
      </c>
      <c r="Z735">
        <v>0.40750504356941947</v>
      </c>
      <c r="AA735">
        <v>0.74297626937015582</v>
      </c>
      <c r="AB735">
        <v>0.77801613538377001</v>
      </c>
      <c r="AC735">
        <v>0.72817897228129502</v>
      </c>
      <c r="AD735">
        <v>0.6123976413564981</v>
      </c>
      <c r="AE735">
        <v>255.85158303282992</v>
      </c>
      <c r="AF735">
        <v>938.94700461048365</v>
      </c>
      <c r="AG735">
        <v>1760.7955731392874</v>
      </c>
      <c r="AH735">
        <v>15447.06909100202</v>
      </c>
      <c r="AI735">
        <v>16102.135570771534</v>
      </c>
      <c r="AJ735">
        <v>40388.959700111678</v>
      </c>
      <c r="AK735">
        <v>18745.449755810441</v>
      </c>
      <c r="AL735">
        <v>2442.301853682487</v>
      </c>
      <c r="AM735">
        <v>541.50285906036675</v>
      </c>
      <c r="AO735">
        <v>46072.367779048996</v>
      </c>
      <c r="AP735">
        <v>12.822285526718467</v>
      </c>
      <c r="AQ735">
        <v>49043.123194759915</v>
      </c>
      <c r="AR735">
        <v>12.956011182378656</v>
      </c>
      <c r="AS735" s="2">
        <f t="shared" si="78"/>
        <v>2970.7554157109189</v>
      </c>
      <c r="AT735" s="2">
        <f t="shared" si="79"/>
        <v>0.13372565566018935</v>
      </c>
      <c r="AV735">
        <f t="shared" si="80"/>
        <v>1236156.1848927976</v>
      </c>
      <c r="AW735">
        <f t="shared" si="81"/>
        <v>1246557.9950431057</v>
      </c>
      <c r="AY735">
        <f t="shared" si="82"/>
        <v>0</v>
      </c>
      <c r="AZ735">
        <f t="shared" si="83"/>
        <v>1</v>
      </c>
    </row>
    <row r="736" spans="1:52" x14ac:dyDescent="0.2">
      <c r="A736">
        <f t="shared" si="77"/>
        <v>732</v>
      </c>
      <c r="B736">
        <v>2.8517393191544338E-2</v>
      </c>
      <c r="C736">
        <v>3.1336582700121546E-2</v>
      </c>
      <c r="D736">
        <v>3.3085281388599758E-2</v>
      </c>
      <c r="E736">
        <v>6.1088967942201948E-3</v>
      </c>
      <c r="F736">
        <v>3.3701969138590915E-3</v>
      </c>
      <c r="G736">
        <v>1.6942300219424888E-2</v>
      </c>
      <c r="H736">
        <v>4.1975112262183201E-2</v>
      </c>
      <c r="I736">
        <v>0.12977323481017769</v>
      </c>
      <c r="J736">
        <v>0</v>
      </c>
      <c r="K736">
        <v>0.46752713060635498</v>
      </c>
      <c r="L736">
        <v>0.22237019159295013</v>
      </c>
      <c r="M736">
        <v>0.77762980840704987</v>
      </c>
      <c r="N736">
        <v>7.1846251376701642E-2</v>
      </c>
      <c r="O736" s="72">
        <v>0.99780536371353512</v>
      </c>
      <c r="P736">
        <v>0.99999762528863467</v>
      </c>
      <c r="Q736">
        <v>0.98298131702040736</v>
      </c>
      <c r="R736">
        <v>0.4635760325262005</v>
      </c>
      <c r="S736">
        <v>0.47985914626801141</v>
      </c>
      <c r="T736">
        <v>0.19148927914837133</v>
      </c>
      <c r="U736">
        <v>0.73480946629332278</v>
      </c>
      <c r="V736">
        <v>0.64730764338493951</v>
      </c>
      <c r="W736">
        <v>0.56309214957817533</v>
      </c>
      <c r="X736">
        <v>0.41413051127566297</v>
      </c>
      <c r="Y736">
        <v>0.41168959156444013</v>
      </c>
      <c r="Z736">
        <v>0.46127776576548862</v>
      </c>
      <c r="AA736">
        <v>0.6444822203497651</v>
      </c>
      <c r="AB736">
        <v>0.69857940910426986</v>
      </c>
      <c r="AC736">
        <v>0.72154106507611959</v>
      </c>
      <c r="AD736">
        <v>0.6002631582400012</v>
      </c>
      <c r="AE736">
        <v>175.31037420107558</v>
      </c>
      <c r="AF736">
        <v>1107.1938845189948</v>
      </c>
      <c r="AG736">
        <v>1661.9299354056093</v>
      </c>
      <c r="AH736">
        <v>13975.215870777087</v>
      </c>
      <c r="AI736">
        <v>10285.076419669407</v>
      </c>
      <c r="AJ736">
        <v>39335.833503557769</v>
      </c>
      <c r="AK736">
        <v>8940.5197191909501</v>
      </c>
      <c r="AL736">
        <v>1388.4060662987415</v>
      </c>
      <c r="AM736">
        <v>370.12658711180001</v>
      </c>
      <c r="AO736">
        <v>44352.318996421192</v>
      </c>
      <c r="AP736">
        <v>11.765007086118946</v>
      </c>
      <c r="AQ736">
        <v>46215.922142757416</v>
      </c>
      <c r="AR736">
        <v>11.824792247245403</v>
      </c>
      <c r="AS736" s="2">
        <f t="shared" si="78"/>
        <v>1863.6031463362233</v>
      </c>
      <c r="AT736" s="2">
        <f t="shared" si="79"/>
        <v>5.9785161126457709E-2</v>
      </c>
      <c r="AV736">
        <f t="shared" si="80"/>
        <v>1132148.3896154733</v>
      </c>
      <c r="AW736">
        <f t="shared" si="81"/>
        <v>1136263.3025817829</v>
      </c>
      <c r="AY736">
        <f t="shared" si="82"/>
        <v>0</v>
      </c>
      <c r="AZ736">
        <f t="shared" si="83"/>
        <v>1</v>
      </c>
    </row>
    <row r="737" spans="1:52" x14ac:dyDescent="0.2">
      <c r="A737">
        <f t="shared" si="77"/>
        <v>733</v>
      </c>
      <c r="B737">
        <v>2.3785489005280623E-2</v>
      </c>
      <c r="C737">
        <v>2.2540570730798185E-2</v>
      </c>
      <c r="D737">
        <v>3.8957236587402133E-2</v>
      </c>
      <c r="E737">
        <v>9.1269897348592189E-3</v>
      </c>
      <c r="F737">
        <v>3.4156632819825061E-3</v>
      </c>
      <c r="G737">
        <v>6.3094566222166512E-3</v>
      </c>
      <c r="H737">
        <v>3.6083867328960184E-2</v>
      </c>
      <c r="I737">
        <v>0.13641285412833037</v>
      </c>
      <c r="J737">
        <v>0</v>
      </c>
      <c r="K737">
        <v>0.43187852991534514</v>
      </c>
      <c r="L737">
        <v>0.15972424482907127</v>
      </c>
      <c r="M737">
        <v>0.84027575517092878</v>
      </c>
      <c r="N737">
        <v>7.2632015569044861E-2</v>
      </c>
      <c r="O737" s="72">
        <v>0.99210399127358806</v>
      </c>
      <c r="P737">
        <v>0.9999936837842166</v>
      </c>
      <c r="Q737">
        <v>0.96976719602519457</v>
      </c>
      <c r="R737">
        <v>0.48579873461050405</v>
      </c>
      <c r="S737">
        <v>0.25363718532292567</v>
      </c>
      <c r="T737">
        <v>0.21709597595209729</v>
      </c>
      <c r="U737">
        <v>0.73168928993792848</v>
      </c>
      <c r="V737">
        <v>0.68065483214214595</v>
      </c>
      <c r="W737">
        <v>0.51456648169189256</v>
      </c>
      <c r="X737">
        <v>0.5051320590956605</v>
      </c>
      <c r="Y737">
        <v>0.46643201732607598</v>
      </c>
      <c r="Z737">
        <v>0.41084125454019382</v>
      </c>
      <c r="AA737">
        <v>0.61925779427984884</v>
      </c>
      <c r="AB737">
        <v>0.77749897036314275</v>
      </c>
      <c r="AC737">
        <v>0.69084547622709458</v>
      </c>
      <c r="AD737">
        <v>0.68143326856261499</v>
      </c>
      <c r="AE737">
        <v>222.5666726067922</v>
      </c>
      <c r="AF737">
        <v>1097.7186286941069</v>
      </c>
      <c r="AG737">
        <v>1462.6604346770698</v>
      </c>
      <c r="AH737">
        <v>13541.906398253814</v>
      </c>
      <c r="AI737">
        <v>8630.9841255922274</v>
      </c>
      <c r="AJ737">
        <v>46334.641952538492</v>
      </c>
      <c r="AK737">
        <v>14342.719709378454</v>
      </c>
      <c r="AL737">
        <v>1111.2367298375532</v>
      </c>
      <c r="AM737">
        <v>298.23120003149296</v>
      </c>
      <c r="AO737">
        <v>44783.000907288886</v>
      </c>
      <c r="AP737">
        <v>12.779739210923976</v>
      </c>
      <c r="AQ737">
        <v>45184.792775455506</v>
      </c>
      <c r="AR737">
        <v>12.975228326873717</v>
      </c>
      <c r="AS737" s="2">
        <f t="shared" si="78"/>
        <v>401.79186816661968</v>
      </c>
      <c r="AT737" s="2">
        <f t="shared" si="79"/>
        <v>0.19548911594974072</v>
      </c>
      <c r="AV737">
        <f t="shared" si="80"/>
        <v>1233190.9201851087</v>
      </c>
      <c r="AW737">
        <f t="shared" si="81"/>
        <v>1252338.0399119162</v>
      </c>
      <c r="AY737">
        <f t="shared" si="82"/>
        <v>0</v>
      </c>
      <c r="AZ737">
        <f t="shared" si="83"/>
        <v>1</v>
      </c>
    </row>
    <row r="738" spans="1:52" x14ac:dyDescent="0.2">
      <c r="A738">
        <f t="shared" si="77"/>
        <v>734</v>
      </c>
      <c r="B738">
        <v>1.6783959919835518E-2</v>
      </c>
      <c r="C738">
        <v>2.9211414783614578E-2</v>
      </c>
      <c r="D738">
        <v>3.4331636073244853E-2</v>
      </c>
      <c r="E738">
        <v>1.0900734901378219E-2</v>
      </c>
      <c r="F738">
        <v>3.4020097269248373E-3</v>
      </c>
      <c r="G738">
        <v>9.8307258277179656E-3</v>
      </c>
      <c r="H738">
        <v>3.7805446584341817E-2</v>
      </c>
      <c r="I738">
        <v>0.14082674783430749</v>
      </c>
      <c r="J738">
        <v>0</v>
      </c>
      <c r="K738">
        <v>0.4929463276456757</v>
      </c>
      <c r="L738">
        <v>0.17525915275712281</v>
      </c>
      <c r="M738">
        <v>0.82474084724287722</v>
      </c>
      <c r="N738">
        <v>5.4605064087042923E-2</v>
      </c>
      <c r="O738" s="72">
        <v>0.99381621287815647</v>
      </c>
      <c r="P738">
        <v>0.99656513444778727</v>
      </c>
      <c r="Q738">
        <v>0.98699203882968212</v>
      </c>
      <c r="R738">
        <v>0.47821193117271932</v>
      </c>
      <c r="S738">
        <v>0.52519268053522938</v>
      </c>
      <c r="T738">
        <v>0.24891022177038291</v>
      </c>
      <c r="U738">
        <v>0.7845316982025281</v>
      </c>
      <c r="V738">
        <v>0.70346157224501993</v>
      </c>
      <c r="W738">
        <v>0.54190399837044223</v>
      </c>
      <c r="X738">
        <v>0.42900702524321699</v>
      </c>
      <c r="Y738">
        <v>0.48581808982330177</v>
      </c>
      <c r="Z738">
        <v>0.47535528316149767</v>
      </c>
      <c r="AA738">
        <v>0.68791342458480842</v>
      </c>
      <c r="AB738">
        <v>0.81679060305061812</v>
      </c>
      <c r="AC738">
        <v>0.70500035773024161</v>
      </c>
      <c r="AD738">
        <v>0.68352606152593709</v>
      </c>
      <c r="AE738">
        <v>278.51813302412256</v>
      </c>
      <c r="AF738">
        <v>1044.269134028759</v>
      </c>
      <c r="AG738">
        <v>1432.3087514890744</v>
      </c>
      <c r="AH738">
        <v>14322.519282955265</v>
      </c>
      <c r="AI738">
        <v>12871.540234522849</v>
      </c>
      <c r="AJ738">
        <v>43412.760026112854</v>
      </c>
      <c r="AK738">
        <v>15214.284396713858</v>
      </c>
      <c r="AL738">
        <v>1499.541538845737</v>
      </c>
      <c r="AM738">
        <v>387.38806229279862</v>
      </c>
      <c r="AO738">
        <v>42320.315095064361</v>
      </c>
      <c r="AP738">
        <v>13.393444664103956</v>
      </c>
      <c r="AQ738">
        <v>46665.50966760944</v>
      </c>
      <c r="AR738">
        <v>13.548140754019409</v>
      </c>
      <c r="AS738" s="2">
        <f t="shared" si="78"/>
        <v>4345.1945725450787</v>
      </c>
      <c r="AT738" s="2">
        <f t="shared" si="79"/>
        <v>0.15469608991545236</v>
      </c>
      <c r="AV738">
        <f t="shared" si="80"/>
        <v>1297024.1513153312</v>
      </c>
      <c r="AW738">
        <f t="shared" si="81"/>
        <v>1308148.5657343315</v>
      </c>
      <c r="AY738">
        <f t="shared" si="82"/>
        <v>0</v>
      </c>
      <c r="AZ738">
        <f t="shared" si="83"/>
        <v>1</v>
      </c>
    </row>
    <row r="739" spans="1:52" x14ac:dyDescent="0.2">
      <c r="A739">
        <f t="shared" si="77"/>
        <v>735</v>
      </c>
      <c r="B739">
        <v>2.2657795840107978E-2</v>
      </c>
      <c r="C739">
        <v>3.2727163927168151E-2</v>
      </c>
      <c r="D739">
        <v>3.8513827387327226E-2</v>
      </c>
      <c r="E739">
        <v>1.1535634763638645E-2</v>
      </c>
      <c r="F739">
        <v>3.2730463348700205E-3</v>
      </c>
      <c r="G739">
        <v>2.1747136444830839E-2</v>
      </c>
      <c r="H739">
        <v>2.8391614363460559E-2</v>
      </c>
      <c r="I739">
        <v>0.13229710451598919</v>
      </c>
      <c r="J739">
        <v>0</v>
      </c>
      <c r="K739">
        <v>0.45021658407082621</v>
      </c>
      <c r="L739">
        <v>0.19494299482174207</v>
      </c>
      <c r="M739">
        <v>0.80505700517825796</v>
      </c>
      <c r="N739">
        <v>7.6398300941092789E-2</v>
      </c>
      <c r="O739" s="72">
        <v>0.86012516594884847</v>
      </c>
      <c r="P739">
        <v>0.99999629195032713</v>
      </c>
      <c r="Q739">
        <v>0.99156103397124795</v>
      </c>
      <c r="R739">
        <v>0.44341302524880832</v>
      </c>
      <c r="S739">
        <v>0.3614612168969038</v>
      </c>
      <c r="T739">
        <v>0.24823461365302957</v>
      </c>
      <c r="U739">
        <v>0.78360324665542413</v>
      </c>
      <c r="V739">
        <v>0.64331049197254098</v>
      </c>
      <c r="W739">
        <v>0.54689228465616702</v>
      </c>
      <c r="X739">
        <v>0.41758609760727844</v>
      </c>
      <c r="Y739">
        <v>0.42689416570149563</v>
      </c>
      <c r="Z739">
        <v>0.4533858366560376</v>
      </c>
      <c r="AA739">
        <v>0.64324999848733144</v>
      </c>
      <c r="AB739">
        <v>0.87493794988704165</v>
      </c>
      <c r="AC739">
        <v>0.65989378553075628</v>
      </c>
      <c r="AD739">
        <v>0.58658166851612448</v>
      </c>
      <c r="AE739">
        <v>181.03824504474696</v>
      </c>
      <c r="AF739">
        <v>1117.1491658095463</v>
      </c>
      <c r="AG739">
        <v>1658.9658792531684</v>
      </c>
      <c r="AH739">
        <v>12506.746357454058</v>
      </c>
      <c r="AI739">
        <v>13186.182928839577</v>
      </c>
      <c r="AJ739">
        <v>37774.910521375648</v>
      </c>
      <c r="AK739">
        <v>10635.708009620657</v>
      </c>
      <c r="AL739">
        <v>2144.9036009019324</v>
      </c>
      <c r="AM739">
        <v>465.42052818565708</v>
      </c>
      <c r="AO739">
        <v>46825.512599851834</v>
      </c>
      <c r="AP739">
        <v>13.889533872396253</v>
      </c>
      <c r="AQ739">
        <v>48299.558535707649</v>
      </c>
      <c r="AR739">
        <v>14.13950283283938</v>
      </c>
      <c r="AS739" s="2">
        <f t="shared" si="78"/>
        <v>1474.0459358558146</v>
      </c>
      <c r="AT739" s="2">
        <f t="shared" si="79"/>
        <v>0.24996896044312678</v>
      </c>
      <c r="AV739">
        <f t="shared" si="80"/>
        <v>1342127.8746397733</v>
      </c>
      <c r="AW739">
        <f t="shared" si="81"/>
        <v>1365650.7247482303</v>
      </c>
      <c r="AY739">
        <f t="shared" si="82"/>
        <v>0</v>
      </c>
      <c r="AZ739">
        <f t="shared" si="83"/>
        <v>1</v>
      </c>
    </row>
    <row r="740" spans="1:52" x14ac:dyDescent="0.2">
      <c r="A740">
        <f t="shared" si="77"/>
        <v>736</v>
      </c>
      <c r="B740">
        <v>1.9973071075707685E-2</v>
      </c>
      <c r="C740">
        <v>3.2639521308278276E-2</v>
      </c>
      <c r="D740">
        <v>1.3286778166455734E-2</v>
      </c>
      <c r="E740">
        <v>4.0553611108585907E-2</v>
      </c>
      <c r="F740">
        <v>3.4226378586769135E-3</v>
      </c>
      <c r="G740">
        <v>4.9752799311244926E-3</v>
      </c>
      <c r="H740">
        <v>4.9064133137353583E-2</v>
      </c>
      <c r="I740">
        <v>0.14496065209416742</v>
      </c>
      <c r="J740">
        <v>0</v>
      </c>
      <c r="K740">
        <v>0.42617962698498324</v>
      </c>
      <c r="L740">
        <v>0.19140890316008613</v>
      </c>
      <c r="M740">
        <v>0.80859109683991393</v>
      </c>
      <c r="N740">
        <v>6.0258906405432855E-2</v>
      </c>
      <c r="O740" s="72">
        <v>0.99999948821109319</v>
      </c>
      <c r="P740">
        <v>0.99600226081593712</v>
      </c>
      <c r="Q740">
        <v>0.99516392243684459</v>
      </c>
      <c r="R740">
        <v>0.51907299466280121</v>
      </c>
      <c r="S740">
        <v>0.37585887251618566</v>
      </c>
      <c r="T740">
        <v>0.2345085064313992</v>
      </c>
      <c r="U740">
        <v>0.77471076110067338</v>
      </c>
      <c r="V740">
        <v>0.66128877017666565</v>
      </c>
      <c r="W740">
        <v>0.4875638881440082</v>
      </c>
      <c r="X740">
        <v>0.45400650273837329</v>
      </c>
      <c r="Y740">
        <v>0.43189545134776169</v>
      </c>
      <c r="Z740">
        <v>0.46774484058383392</v>
      </c>
      <c r="AA740">
        <v>0.69680063718659813</v>
      </c>
      <c r="AB740">
        <v>0.76174163886491486</v>
      </c>
      <c r="AC740">
        <v>0.64787247192807584</v>
      </c>
      <c r="AD740">
        <v>0.6616044811742503</v>
      </c>
      <c r="AE740">
        <v>227.05452397837081</v>
      </c>
      <c r="AF740">
        <v>1149.7791957411512</v>
      </c>
      <c r="AG740">
        <v>1546.6458141114335</v>
      </c>
      <c r="AH740">
        <v>11469.840769057679</v>
      </c>
      <c r="AI740">
        <v>11667.282791442065</v>
      </c>
      <c r="AJ740">
        <v>44876.252056773534</v>
      </c>
      <c r="AK740">
        <v>21926.565933888254</v>
      </c>
      <c r="AL740">
        <v>2467.7229046208026</v>
      </c>
      <c r="AM740">
        <v>345.67450457977122</v>
      </c>
      <c r="AO740">
        <v>41023.249979083121</v>
      </c>
      <c r="AP740">
        <v>12.496531288436698</v>
      </c>
      <c r="AQ740">
        <v>45913.268312212305</v>
      </c>
      <c r="AR740">
        <v>12.652354288947523</v>
      </c>
      <c r="AS740" s="2">
        <f t="shared" si="78"/>
        <v>4890.0183331291846</v>
      </c>
      <c r="AT740" s="2">
        <f t="shared" si="79"/>
        <v>0.15582300051082498</v>
      </c>
      <c r="AV740">
        <f t="shared" si="80"/>
        <v>1208629.8788645866</v>
      </c>
      <c r="AW740">
        <f t="shared" si="81"/>
        <v>1219322.1605825399</v>
      </c>
      <c r="AY740">
        <f t="shared" si="82"/>
        <v>0</v>
      </c>
      <c r="AZ740">
        <f t="shared" si="83"/>
        <v>1</v>
      </c>
    </row>
    <row r="741" spans="1:52" x14ac:dyDescent="0.2">
      <c r="A741">
        <f t="shared" si="77"/>
        <v>737</v>
      </c>
      <c r="B741">
        <v>2.4729700860910586E-2</v>
      </c>
      <c r="C741">
        <v>4.1795088941198433E-2</v>
      </c>
      <c r="D741">
        <v>3.776911766300222E-2</v>
      </c>
      <c r="E741">
        <v>1.3826811704908293E-2</v>
      </c>
      <c r="F741">
        <v>3.2923892185799646E-3</v>
      </c>
      <c r="G741">
        <v>1.4741768940437217E-2</v>
      </c>
      <c r="H741">
        <v>2.9509270231543372E-2</v>
      </c>
      <c r="I741">
        <v>0.13154964162930993</v>
      </c>
      <c r="J741">
        <v>0</v>
      </c>
      <c r="K741">
        <v>0.41161919394197305</v>
      </c>
      <c r="L741">
        <v>0.20553774078540929</v>
      </c>
      <c r="M741">
        <v>0.79446225921459068</v>
      </c>
      <c r="N741">
        <v>5.6071121555658569E-2</v>
      </c>
      <c r="O741" s="72">
        <v>0.99138921084879561</v>
      </c>
      <c r="P741">
        <v>0.99980457667546374</v>
      </c>
      <c r="Q741">
        <v>0.9097252806449827</v>
      </c>
      <c r="R741">
        <v>0.46639071877118532</v>
      </c>
      <c r="S741">
        <v>0.40831941033929164</v>
      </c>
      <c r="T741">
        <v>0.14672835003745632</v>
      </c>
      <c r="U741">
        <v>0.78929658361668553</v>
      </c>
      <c r="V741">
        <v>0.64185929998732127</v>
      </c>
      <c r="W741">
        <v>0.52466533213171807</v>
      </c>
      <c r="X741">
        <v>0.4678227260751735</v>
      </c>
      <c r="Y741">
        <v>0.41811778883754469</v>
      </c>
      <c r="Z741">
        <v>0.45297329740780312</v>
      </c>
      <c r="AA741">
        <v>0.73856747888177599</v>
      </c>
      <c r="AB741">
        <v>0.85057746139296631</v>
      </c>
      <c r="AC741">
        <v>0.71008820918674898</v>
      </c>
      <c r="AD741">
        <v>0.64158299693540455</v>
      </c>
      <c r="AE741">
        <v>193.2684822056797</v>
      </c>
      <c r="AF741">
        <v>1093.8523483958561</v>
      </c>
      <c r="AG741">
        <v>1260.1734376859724</v>
      </c>
      <c r="AH741">
        <v>11924.413422506872</v>
      </c>
      <c r="AI741">
        <v>12792.404665044398</v>
      </c>
      <c r="AJ741">
        <v>35553.316476624976</v>
      </c>
      <c r="AK741">
        <v>8701.0175709640207</v>
      </c>
      <c r="AL741">
        <v>2123.3841465189898</v>
      </c>
      <c r="AM741">
        <v>425.65952123777788</v>
      </c>
      <c r="AO741">
        <v>46759.941938475233</v>
      </c>
      <c r="AP741">
        <v>13.686930368224894</v>
      </c>
      <c r="AQ741">
        <v>47325.85271096928</v>
      </c>
      <c r="AR741">
        <v>13.966474791293772</v>
      </c>
      <c r="AS741" s="2">
        <f t="shared" si="78"/>
        <v>565.91077249404771</v>
      </c>
      <c r="AT741" s="2">
        <f t="shared" si="79"/>
        <v>0.27954442306887728</v>
      </c>
      <c r="AV741">
        <f t="shared" si="80"/>
        <v>1321933.0948840142</v>
      </c>
      <c r="AW741">
        <f t="shared" si="81"/>
        <v>1349321.6264184078</v>
      </c>
      <c r="AY741">
        <f t="shared" si="82"/>
        <v>0</v>
      </c>
      <c r="AZ741">
        <f t="shared" si="83"/>
        <v>1</v>
      </c>
    </row>
    <row r="742" spans="1:52" x14ac:dyDescent="0.2">
      <c r="A742">
        <f t="shared" si="77"/>
        <v>738</v>
      </c>
      <c r="B742">
        <v>2.5574226187570437E-2</v>
      </c>
      <c r="C742">
        <v>3.223688263011254E-2</v>
      </c>
      <c r="D742">
        <v>5.1956383472789525E-2</v>
      </c>
      <c r="E742">
        <v>1.0794003568472941E-2</v>
      </c>
      <c r="F742">
        <v>3.2331072093363133E-3</v>
      </c>
      <c r="G742">
        <v>7.0238491942594189E-3</v>
      </c>
      <c r="H742">
        <v>4.4481981680794647E-2</v>
      </c>
      <c r="I742">
        <v>0.11701053311377073</v>
      </c>
      <c r="J742">
        <v>0</v>
      </c>
      <c r="K742">
        <v>0.4135907525373077</v>
      </c>
      <c r="L742">
        <v>0.22698062157634114</v>
      </c>
      <c r="M742">
        <v>0.77301937842365886</v>
      </c>
      <c r="N742">
        <v>6.6162445214702936E-2</v>
      </c>
      <c r="O742" s="72">
        <v>0.99999956001366486</v>
      </c>
      <c r="P742">
        <v>0.9985310924121712</v>
      </c>
      <c r="Q742">
        <v>0.96359989472950458</v>
      </c>
      <c r="R742">
        <v>0.4963603467703761</v>
      </c>
      <c r="S742">
        <v>0.36506698024335493</v>
      </c>
      <c r="T742">
        <v>0.26757355573562103</v>
      </c>
      <c r="U742">
        <v>0.77102846627565591</v>
      </c>
      <c r="V742">
        <v>0.66020960477810242</v>
      </c>
      <c r="W742">
        <v>0.51598161907475981</v>
      </c>
      <c r="X742">
        <v>0.48017470490929526</v>
      </c>
      <c r="Y742">
        <v>0.40692086058698984</v>
      </c>
      <c r="Z742">
        <v>0.4805794736918505</v>
      </c>
      <c r="AA742">
        <v>0.65781000099328946</v>
      </c>
      <c r="AB742">
        <v>0.73639482820935476</v>
      </c>
      <c r="AC742">
        <v>0.68558946618544092</v>
      </c>
      <c r="AD742">
        <v>0.56147307495748688</v>
      </c>
      <c r="AE742">
        <v>165.27332840385725</v>
      </c>
      <c r="AF742">
        <v>1335.6077261210198</v>
      </c>
      <c r="AG742">
        <v>1603.5923058504425</v>
      </c>
      <c r="AH742">
        <v>8743.0712612785119</v>
      </c>
      <c r="AI742">
        <v>7347.8632082501381</v>
      </c>
      <c r="AJ742">
        <v>44435.950180371801</v>
      </c>
      <c r="AK742">
        <v>18148.329351004959</v>
      </c>
      <c r="AL742">
        <v>2386.3556490911515</v>
      </c>
      <c r="AM742">
        <v>317.80796299584512</v>
      </c>
      <c r="AO742">
        <v>41440.004312836129</v>
      </c>
      <c r="AP742">
        <v>12.146640980282649</v>
      </c>
      <c r="AQ742">
        <v>45435.703431441601</v>
      </c>
      <c r="AR742">
        <v>12.233380114173087</v>
      </c>
      <c r="AS742" s="2">
        <f t="shared" si="78"/>
        <v>3995.6991186054729</v>
      </c>
      <c r="AT742" s="2">
        <f t="shared" si="79"/>
        <v>8.6739133890437969E-2</v>
      </c>
      <c r="AV742">
        <f t="shared" si="80"/>
        <v>1173224.0937154288</v>
      </c>
      <c r="AW742">
        <f t="shared" si="81"/>
        <v>1177902.3079858671</v>
      </c>
      <c r="AY742">
        <f t="shared" si="82"/>
        <v>0</v>
      </c>
      <c r="AZ742">
        <f t="shared" si="83"/>
        <v>1</v>
      </c>
    </row>
    <row r="743" spans="1:52" x14ac:dyDescent="0.2">
      <c r="A743">
        <f t="shared" si="77"/>
        <v>739</v>
      </c>
      <c r="B743">
        <v>2.2467706968413818E-2</v>
      </c>
      <c r="C743">
        <v>3.3730922601385396E-2</v>
      </c>
      <c r="D743">
        <v>4.2347968666022417E-2</v>
      </c>
      <c r="E743">
        <v>1.923654841617517E-2</v>
      </c>
      <c r="F743">
        <v>3.2026128179773244E-3</v>
      </c>
      <c r="G743">
        <v>5.6128147570434894E-3</v>
      </c>
      <c r="H743">
        <v>3.2578313176005458E-2</v>
      </c>
      <c r="I743">
        <v>0.14269872153634933</v>
      </c>
      <c r="J743">
        <v>0</v>
      </c>
      <c r="K743">
        <v>0.42323958571017317</v>
      </c>
      <c r="L743">
        <v>0.19730930646933245</v>
      </c>
      <c r="M743">
        <v>0.80269069353066758</v>
      </c>
      <c r="N743">
        <v>5.6548352760707243E-2</v>
      </c>
      <c r="O743" s="72">
        <v>0.99994610134446815</v>
      </c>
      <c r="P743">
        <v>0.99909518986408008</v>
      </c>
      <c r="Q743">
        <v>0.92878714749620406</v>
      </c>
      <c r="R743">
        <v>0.49113213566684943</v>
      </c>
      <c r="S743">
        <v>0.44689112126805264</v>
      </c>
      <c r="T743">
        <v>0.30403126719197548</v>
      </c>
      <c r="U743">
        <v>0.75262924947943266</v>
      </c>
      <c r="V743">
        <v>0.68363136584587925</v>
      </c>
      <c r="W743">
        <v>0.53362037438669141</v>
      </c>
      <c r="X743">
        <v>0.45488953591341297</v>
      </c>
      <c r="Y743">
        <v>0.48353731951370238</v>
      </c>
      <c r="Z743">
        <v>0.41575218288857818</v>
      </c>
      <c r="AA743">
        <v>0.68300978805514956</v>
      </c>
      <c r="AB743">
        <v>0.7801991398744984</v>
      </c>
      <c r="AC743">
        <v>0.66470444056930555</v>
      </c>
      <c r="AD743">
        <v>0.63429981092523069</v>
      </c>
      <c r="AE743">
        <v>280.91596197656702</v>
      </c>
      <c r="AF743">
        <v>1145.9781359916331</v>
      </c>
      <c r="AG743">
        <v>2094.08933318042</v>
      </c>
      <c r="AH743">
        <v>13632.323516895147</v>
      </c>
      <c r="AI743">
        <v>9689.1567038672474</v>
      </c>
      <c r="AJ743">
        <v>42350.108647897439</v>
      </c>
      <c r="AK743">
        <v>10974.770500745979</v>
      </c>
      <c r="AL743">
        <v>3020.4307072415309</v>
      </c>
      <c r="AM743">
        <v>395.78872739335833</v>
      </c>
      <c r="AO743">
        <v>41750.497712252596</v>
      </c>
      <c r="AP743">
        <v>12.75578314512155</v>
      </c>
      <c r="AQ743">
        <v>46947.105759397899</v>
      </c>
      <c r="AR743">
        <v>12.898996119207311</v>
      </c>
      <c r="AS743" s="2">
        <f t="shared" si="78"/>
        <v>5196.6080471453024</v>
      </c>
      <c r="AT743" s="2">
        <f t="shared" si="79"/>
        <v>0.1432129740857615</v>
      </c>
      <c r="AV743">
        <f t="shared" si="80"/>
        <v>1233827.8167999024</v>
      </c>
      <c r="AW743">
        <f t="shared" si="81"/>
        <v>1242952.5061613333</v>
      </c>
      <c r="AY743">
        <f t="shared" si="82"/>
        <v>0</v>
      </c>
      <c r="AZ743">
        <f t="shared" si="83"/>
        <v>1</v>
      </c>
    </row>
    <row r="744" spans="1:52" x14ac:dyDescent="0.2">
      <c r="A744">
        <f t="shared" si="77"/>
        <v>740</v>
      </c>
      <c r="B744">
        <v>2.3645497956777121E-2</v>
      </c>
      <c r="C744">
        <v>5.1552086282960263E-2</v>
      </c>
      <c r="D744">
        <v>5.3500289163266435E-2</v>
      </c>
      <c r="E744">
        <v>5.7447555353003143E-3</v>
      </c>
      <c r="F744">
        <v>3.3907714640111219E-3</v>
      </c>
      <c r="G744">
        <v>8.0250877452443352E-3</v>
      </c>
      <c r="H744">
        <v>1.7201564778971862E-2</v>
      </c>
      <c r="I744">
        <v>0.12679994481582432</v>
      </c>
      <c r="J744">
        <v>0</v>
      </c>
      <c r="K744">
        <v>0.39825730114049368</v>
      </c>
      <c r="L744">
        <v>0.22306579824131911</v>
      </c>
      <c r="M744">
        <v>0.77693420175868089</v>
      </c>
      <c r="N744">
        <v>4.9128489225258809E-2</v>
      </c>
      <c r="O744" s="72">
        <v>0.99999189972015479</v>
      </c>
      <c r="P744">
        <v>0.99851006928292074</v>
      </c>
      <c r="Q744">
        <v>0.98193927914472978</v>
      </c>
      <c r="R744">
        <v>0.45563809246174836</v>
      </c>
      <c r="S744">
        <v>0.50811336569633703</v>
      </c>
      <c r="T744">
        <v>0.24647392031132875</v>
      </c>
      <c r="U744">
        <v>0.76965784113862157</v>
      </c>
      <c r="V744">
        <v>0.68427209168474756</v>
      </c>
      <c r="W744">
        <v>0.61731595602838829</v>
      </c>
      <c r="X744">
        <v>0.45752921548445691</v>
      </c>
      <c r="Y744">
        <v>0.44904051549380575</v>
      </c>
      <c r="Z744">
        <v>0.45956700755498892</v>
      </c>
      <c r="AA744">
        <v>0.60253592672867828</v>
      </c>
      <c r="AB744">
        <v>0.82514587022599239</v>
      </c>
      <c r="AC744">
        <v>0.76812467995897238</v>
      </c>
      <c r="AD744">
        <v>0.68103579644946666</v>
      </c>
      <c r="AE744">
        <v>195.98894619718877</v>
      </c>
      <c r="AF744">
        <v>1050.0603521673463</v>
      </c>
      <c r="AG744">
        <v>1235.5865948425319</v>
      </c>
      <c r="AH744">
        <v>10480.423541027269</v>
      </c>
      <c r="AI744">
        <v>9354.2501391722144</v>
      </c>
      <c r="AJ744">
        <v>42484.000875203688</v>
      </c>
      <c r="AK744">
        <v>21603.189826033817</v>
      </c>
      <c r="AL744">
        <v>1585.5993613341875</v>
      </c>
      <c r="AM744">
        <v>422.21371998379283</v>
      </c>
      <c r="AO744">
        <v>43954.680889273637</v>
      </c>
      <c r="AP744">
        <v>13.579996359531162</v>
      </c>
      <c r="AQ744">
        <v>46997.993098536426</v>
      </c>
      <c r="AR744">
        <v>13.774964249166922</v>
      </c>
      <c r="AS744" s="2">
        <f t="shared" si="78"/>
        <v>3043.3122092627891</v>
      </c>
      <c r="AT744" s="2">
        <f t="shared" si="79"/>
        <v>0.19496788963576073</v>
      </c>
      <c r="AV744">
        <f t="shared" si="80"/>
        <v>1314044.9550638427</v>
      </c>
      <c r="AW744">
        <f t="shared" si="81"/>
        <v>1330498.4318181558</v>
      </c>
      <c r="AY744">
        <f t="shared" si="82"/>
        <v>0</v>
      </c>
      <c r="AZ744">
        <f t="shared" si="83"/>
        <v>1</v>
      </c>
    </row>
    <row r="745" spans="1:52" x14ac:dyDescent="0.2">
      <c r="A745">
        <f t="shared" si="77"/>
        <v>741</v>
      </c>
      <c r="B745">
        <v>2.087616578718628E-2</v>
      </c>
      <c r="C745">
        <v>3.9981119788689234E-2</v>
      </c>
      <c r="D745">
        <v>3.1092972428867213E-2</v>
      </c>
      <c r="E745">
        <v>2.5804531947229314E-2</v>
      </c>
      <c r="F745">
        <v>3.4483241943422671E-3</v>
      </c>
      <c r="G745">
        <v>5.4511420827514367E-3</v>
      </c>
      <c r="H745">
        <v>2.7632499756298886E-2</v>
      </c>
      <c r="I745">
        <v>0.11486067384862689</v>
      </c>
      <c r="J745">
        <v>0</v>
      </c>
      <c r="K745">
        <v>0.46315689035232854</v>
      </c>
      <c r="L745">
        <v>0.27073311640333908</v>
      </c>
      <c r="M745">
        <v>0.72926688359666092</v>
      </c>
      <c r="N745">
        <v>4.5402706300667339E-2</v>
      </c>
      <c r="O745" s="72">
        <v>0.98861695220932688</v>
      </c>
      <c r="P745">
        <v>0.99852785924389309</v>
      </c>
      <c r="Q745">
        <v>0.99053981279070302</v>
      </c>
      <c r="R745">
        <v>0.53938392280563785</v>
      </c>
      <c r="S745">
        <v>0.42019147301620285</v>
      </c>
      <c r="T745">
        <v>0.31368310724384052</v>
      </c>
      <c r="U745">
        <v>0.79412926583408372</v>
      </c>
      <c r="V745">
        <v>0.65712789999988719</v>
      </c>
      <c r="W745">
        <v>0.51631607471886354</v>
      </c>
      <c r="X745">
        <v>0.46332474120285649</v>
      </c>
      <c r="Y745">
        <v>0.45922692966544143</v>
      </c>
      <c r="Z745">
        <v>0.41948680253535925</v>
      </c>
      <c r="AA745">
        <v>0.65747039358028192</v>
      </c>
      <c r="AB745">
        <v>0.84209465179019727</v>
      </c>
      <c r="AC745">
        <v>0.74756317066357569</v>
      </c>
      <c r="AD745">
        <v>0.50138863147995372</v>
      </c>
      <c r="AE745">
        <v>201.09112061476918</v>
      </c>
      <c r="AF745">
        <v>1482.4466700558503</v>
      </c>
      <c r="AG745">
        <v>1830.1058889833757</v>
      </c>
      <c r="AH745">
        <v>10347.491261070772</v>
      </c>
      <c r="AI745">
        <v>10140.957052714768</v>
      </c>
      <c r="AJ745">
        <v>34147.972905824186</v>
      </c>
      <c r="AK745">
        <v>17703.011793032601</v>
      </c>
      <c r="AL745">
        <v>2195.9361722782928</v>
      </c>
      <c r="AM745">
        <v>293.62514406030272</v>
      </c>
      <c r="AO745">
        <v>37990.431538555014</v>
      </c>
      <c r="AP745">
        <v>13.589224787527508</v>
      </c>
      <c r="AQ745">
        <v>45115.145953314197</v>
      </c>
      <c r="AR745">
        <v>13.728350140699412</v>
      </c>
      <c r="AS745" s="2">
        <f t="shared" si="78"/>
        <v>7124.7144147591825</v>
      </c>
      <c r="AT745" s="2">
        <f t="shared" si="79"/>
        <v>0.13912535317190411</v>
      </c>
      <c r="AV745">
        <f t="shared" si="80"/>
        <v>1320932.0472141956</v>
      </c>
      <c r="AW745">
        <f t="shared" si="81"/>
        <v>1327719.868116627</v>
      </c>
      <c r="AY745">
        <f t="shared" si="82"/>
        <v>0</v>
      </c>
      <c r="AZ745">
        <f t="shared" si="83"/>
        <v>1</v>
      </c>
    </row>
    <row r="746" spans="1:52" x14ac:dyDescent="0.2">
      <c r="A746">
        <f t="shared" si="77"/>
        <v>742</v>
      </c>
      <c r="B746">
        <v>3.0055946913373877E-2</v>
      </c>
      <c r="C746">
        <v>2.6775821762589767E-2</v>
      </c>
      <c r="D746">
        <v>3.540356047668921E-2</v>
      </c>
      <c r="E746">
        <v>1.6773479737031582E-2</v>
      </c>
      <c r="F746">
        <v>3.3589362319228488E-3</v>
      </c>
      <c r="G746">
        <v>1.4392182991218916E-2</v>
      </c>
      <c r="H746">
        <v>3.7368184844197128E-2</v>
      </c>
      <c r="I746">
        <v>0.12796006677222982</v>
      </c>
      <c r="J746">
        <v>0</v>
      </c>
      <c r="K746">
        <v>0.42538730412973019</v>
      </c>
      <c r="L746">
        <v>0.28595616883118169</v>
      </c>
      <c r="M746">
        <v>0.71404383116881831</v>
      </c>
      <c r="N746">
        <v>5.2548842829948678E-2</v>
      </c>
      <c r="O746" s="72">
        <v>0.99751382726563831</v>
      </c>
      <c r="P746">
        <v>0.99537598981527764</v>
      </c>
      <c r="Q746">
        <v>0.94701952562215219</v>
      </c>
      <c r="R746">
        <v>0.44511939892449071</v>
      </c>
      <c r="S746">
        <v>0.30914564639092135</v>
      </c>
      <c r="T746">
        <v>0.21400666373699517</v>
      </c>
      <c r="U746">
        <v>0.77098366418987585</v>
      </c>
      <c r="V746">
        <v>0.62414194388295219</v>
      </c>
      <c r="W746">
        <v>0.54913499922637188</v>
      </c>
      <c r="X746">
        <v>0.45327882807131348</v>
      </c>
      <c r="Y746">
        <v>0.43168310174504065</v>
      </c>
      <c r="Z746">
        <v>0.48420680532069782</v>
      </c>
      <c r="AA746">
        <v>0.6511091004700067</v>
      </c>
      <c r="AB746">
        <v>0.7926112699185448</v>
      </c>
      <c r="AC746">
        <v>0.65830073373088371</v>
      </c>
      <c r="AD746">
        <v>0.59103488438244334</v>
      </c>
      <c r="AE746">
        <v>219.82571241619183</v>
      </c>
      <c r="AF746">
        <v>925.89623455271089</v>
      </c>
      <c r="AG746">
        <v>1997.0190077878694</v>
      </c>
      <c r="AH746">
        <v>9912.4869231238627</v>
      </c>
      <c r="AI746">
        <v>11276.637201438134</v>
      </c>
      <c r="AJ746">
        <v>44303.390891968163</v>
      </c>
      <c r="AK746">
        <v>12256.524058716541</v>
      </c>
      <c r="AL746">
        <v>1417.987833023562</v>
      </c>
      <c r="AM746">
        <v>377.90976070389371</v>
      </c>
      <c r="AO746">
        <v>46984.453694356031</v>
      </c>
      <c r="AP746">
        <v>12.807613318010192</v>
      </c>
      <c r="AQ746">
        <v>46587.456113406894</v>
      </c>
      <c r="AR746">
        <v>13.001024146198986</v>
      </c>
      <c r="AS746" s="2">
        <f t="shared" si="78"/>
        <v>-396.99758094913705</v>
      </c>
      <c r="AT746" s="2">
        <f t="shared" si="79"/>
        <v>0.19341082818879407</v>
      </c>
      <c r="AV746">
        <f t="shared" si="80"/>
        <v>1233776.878106663</v>
      </c>
      <c r="AW746">
        <f t="shared" si="81"/>
        <v>1253514.9585064917</v>
      </c>
      <c r="AY746">
        <f t="shared" si="82"/>
        <v>0</v>
      </c>
      <c r="AZ746">
        <f t="shared" si="83"/>
        <v>1</v>
      </c>
    </row>
    <row r="747" spans="1:52" x14ac:dyDescent="0.2">
      <c r="A747">
        <f t="shared" si="77"/>
        <v>743</v>
      </c>
      <c r="B747">
        <v>2.7597029195334688E-2</v>
      </c>
      <c r="C747">
        <v>4.0509080587700086E-2</v>
      </c>
      <c r="D747">
        <v>3.7374264396642418E-2</v>
      </c>
      <c r="E747">
        <v>7.7899170158839842E-4</v>
      </c>
      <c r="F747">
        <v>3.5309721886526146E-3</v>
      </c>
      <c r="G747">
        <v>1.8989097334427329E-2</v>
      </c>
      <c r="H747">
        <v>4.8157536163298209E-2</v>
      </c>
      <c r="I747">
        <v>0.14440502933248167</v>
      </c>
      <c r="J747">
        <v>0</v>
      </c>
      <c r="K747">
        <v>0.43519836548294999</v>
      </c>
      <c r="L747">
        <v>0.1659669202931367</v>
      </c>
      <c r="M747">
        <v>0.83403307970686336</v>
      </c>
      <c r="N747">
        <v>6.6632062620403554E-2</v>
      </c>
      <c r="O747" s="72">
        <v>0.99942262668865511</v>
      </c>
      <c r="P747">
        <v>0.99996432929541368</v>
      </c>
      <c r="Q747">
        <v>0.96649942815781142</v>
      </c>
      <c r="R747">
        <v>0.49047473010768272</v>
      </c>
      <c r="S747">
        <v>0.27826576882780685</v>
      </c>
      <c r="T747">
        <v>0.29951390431511327</v>
      </c>
      <c r="U747">
        <v>0.76554218024108023</v>
      </c>
      <c r="V747">
        <v>0.68568835421369667</v>
      </c>
      <c r="W747">
        <v>0.44150373385012487</v>
      </c>
      <c r="X747">
        <v>0.3786314584719121</v>
      </c>
      <c r="Y747">
        <v>0.45935239356514934</v>
      </c>
      <c r="Z747">
        <v>0.43590850947777193</v>
      </c>
      <c r="AA747">
        <v>0.60394786081741536</v>
      </c>
      <c r="AB747">
        <v>0.84661606280534174</v>
      </c>
      <c r="AC747">
        <v>0.679013572582993</v>
      </c>
      <c r="AD747">
        <v>0.6591455809829867</v>
      </c>
      <c r="AE747">
        <v>198.31887389358891</v>
      </c>
      <c r="AF747">
        <v>1032.1299884023988</v>
      </c>
      <c r="AG747">
        <v>1755.867376865672</v>
      </c>
      <c r="AH747">
        <v>15288.516123971618</v>
      </c>
      <c r="AI747">
        <v>10941.263975831685</v>
      </c>
      <c r="AJ747">
        <v>39920.979616196535</v>
      </c>
      <c r="AK747">
        <v>20167.06043964743</v>
      </c>
      <c r="AL747">
        <v>2721.7068879028643</v>
      </c>
      <c r="AM747">
        <v>309.7711859305038</v>
      </c>
      <c r="AO747">
        <v>42930.440059428787</v>
      </c>
      <c r="AP747">
        <v>13.661961672219999</v>
      </c>
      <c r="AQ747">
        <v>45377.544307500051</v>
      </c>
      <c r="AR747">
        <v>13.878320266827251</v>
      </c>
      <c r="AS747" s="2">
        <f t="shared" si="78"/>
        <v>2447.104248071264</v>
      </c>
      <c r="AT747" s="2">
        <f t="shared" si="79"/>
        <v>0.21635859460725193</v>
      </c>
      <c r="AV747">
        <f t="shared" si="80"/>
        <v>1323265.7271625712</v>
      </c>
      <c r="AW747">
        <f t="shared" si="81"/>
        <v>1342454.4823752248</v>
      </c>
      <c r="AY747">
        <f t="shared" si="82"/>
        <v>0</v>
      </c>
      <c r="AZ747">
        <f t="shared" si="83"/>
        <v>1</v>
      </c>
    </row>
    <row r="748" spans="1:52" x14ac:dyDescent="0.2">
      <c r="A748">
        <f t="shared" si="77"/>
        <v>744</v>
      </c>
      <c r="B748">
        <v>2.9160666456466422E-2</v>
      </c>
      <c r="C748">
        <v>3.0975298441976051E-2</v>
      </c>
      <c r="D748">
        <v>2.1718948145685646E-2</v>
      </c>
      <c r="E748">
        <v>1.0515786252941505E-2</v>
      </c>
      <c r="F748">
        <v>3.3870472001402696E-3</v>
      </c>
      <c r="G748">
        <v>1.0444585110514257E-2</v>
      </c>
      <c r="H748">
        <v>1.9756715029843532E-2</v>
      </c>
      <c r="I748">
        <v>0.13642275353827016</v>
      </c>
      <c r="J748">
        <v>0</v>
      </c>
      <c r="K748">
        <v>0.4651341973631844</v>
      </c>
      <c r="L748">
        <v>0.26296314820491717</v>
      </c>
      <c r="M748">
        <v>0.73703685179508283</v>
      </c>
      <c r="N748">
        <v>5.8001928956742943E-2</v>
      </c>
      <c r="O748" s="72">
        <v>0.99922369152901225</v>
      </c>
      <c r="P748">
        <v>0.99938941039166862</v>
      </c>
      <c r="Q748">
        <v>0.9962468151921221</v>
      </c>
      <c r="R748">
        <v>0.54981745051185571</v>
      </c>
      <c r="S748">
        <v>0.39177028565041683</v>
      </c>
      <c r="T748">
        <v>0.31438751249131447</v>
      </c>
      <c r="U748">
        <v>0.75273865339351198</v>
      </c>
      <c r="V748">
        <v>0.60014049185326757</v>
      </c>
      <c r="W748">
        <v>0.55664387630744883</v>
      </c>
      <c r="X748">
        <v>0.45646490142074891</v>
      </c>
      <c r="Y748">
        <v>0.43873373282684291</v>
      </c>
      <c r="Z748">
        <v>0.44928610882969849</v>
      </c>
      <c r="AA748">
        <v>0.70036197919988719</v>
      </c>
      <c r="AB748">
        <v>0.81637912371180932</v>
      </c>
      <c r="AC748">
        <v>0.73937511492354679</v>
      </c>
      <c r="AD748">
        <v>0.6498340395575426</v>
      </c>
      <c r="AE748">
        <v>151.57338420582724</v>
      </c>
      <c r="AF748">
        <v>936.4735771614678</v>
      </c>
      <c r="AG748">
        <v>1329.7566178367092</v>
      </c>
      <c r="AH748">
        <v>17401.345118893187</v>
      </c>
      <c r="AI748">
        <v>10117.269537197777</v>
      </c>
      <c r="AJ748">
        <v>47258.677265758604</v>
      </c>
      <c r="AK748">
        <v>8638.9881562640512</v>
      </c>
      <c r="AL748">
        <v>2570.9871156424906</v>
      </c>
      <c r="AM748">
        <v>347.28038402493655</v>
      </c>
      <c r="AO748">
        <v>38632.826748802392</v>
      </c>
      <c r="AP748">
        <v>13.408181110980973</v>
      </c>
      <c r="AQ748">
        <v>45840.208250680276</v>
      </c>
      <c r="AR748">
        <v>13.559014019194153</v>
      </c>
      <c r="AS748" s="2">
        <f t="shared" si="78"/>
        <v>7207.3815018778841</v>
      </c>
      <c r="AT748" s="2">
        <f t="shared" si="79"/>
        <v>0.15083290821318052</v>
      </c>
      <c r="AV748">
        <f t="shared" si="80"/>
        <v>1302185.2843492948</v>
      </c>
      <c r="AW748">
        <f t="shared" si="81"/>
        <v>1310061.193668735</v>
      </c>
      <c r="AY748">
        <f t="shared" si="82"/>
        <v>0</v>
      </c>
      <c r="AZ748">
        <f t="shared" si="83"/>
        <v>1</v>
      </c>
    </row>
    <row r="749" spans="1:52" x14ac:dyDescent="0.2">
      <c r="A749">
        <f t="shared" si="77"/>
        <v>745</v>
      </c>
      <c r="B749">
        <v>1.7680453582296078E-2</v>
      </c>
      <c r="C749">
        <v>5.5282261621369511E-2</v>
      </c>
      <c r="D749">
        <v>4.6869913404069541E-2</v>
      </c>
      <c r="E749">
        <v>1.7855840768757236E-2</v>
      </c>
      <c r="F749">
        <v>3.3558695958856299E-3</v>
      </c>
      <c r="G749">
        <v>1.3141413844710348E-2</v>
      </c>
      <c r="H749">
        <v>2.5025728348232835E-2</v>
      </c>
      <c r="I749">
        <v>0.14265185626264454</v>
      </c>
      <c r="J749">
        <v>0</v>
      </c>
      <c r="K749">
        <v>0.39639840379829322</v>
      </c>
      <c r="L749">
        <v>0.27127441484924708</v>
      </c>
      <c r="M749">
        <v>0.72872558515075292</v>
      </c>
      <c r="N749">
        <v>5.1212494767657421E-2</v>
      </c>
      <c r="O749" s="72">
        <v>0.9963666961148907</v>
      </c>
      <c r="P749">
        <v>0.99826019719801595</v>
      </c>
      <c r="Q749">
        <v>0.97325596525560432</v>
      </c>
      <c r="R749">
        <v>0.46694873005788218</v>
      </c>
      <c r="S749">
        <v>0.38252483833411011</v>
      </c>
      <c r="T749">
        <v>0.29493871649557368</v>
      </c>
      <c r="U749">
        <v>0.79842536428433386</v>
      </c>
      <c r="V749">
        <v>0.70628667690694891</v>
      </c>
      <c r="W749">
        <v>0.65438040459459845</v>
      </c>
      <c r="X749">
        <v>0.48861388422007845</v>
      </c>
      <c r="Y749">
        <v>0.48281656922580019</v>
      </c>
      <c r="Z749">
        <v>0.48795965667061125</v>
      </c>
      <c r="AA749">
        <v>0.57701836782742921</v>
      </c>
      <c r="AB749">
        <v>0.88171354482542963</v>
      </c>
      <c r="AC749">
        <v>0.63721231813920176</v>
      </c>
      <c r="AD749">
        <v>0.64606808411245542</v>
      </c>
      <c r="AE749">
        <v>195.5317078083408</v>
      </c>
      <c r="AF749">
        <v>1215.7967123706414</v>
      </c>
      <c r="AG749">
        <v>1447.2523896764715</v>
      </c>
      <c r="AH749">
        <v>13200.198507401214</v>
      </c>
      <c r="AI749">
        <v>13052.061887631842</v>
      </c>
      <c r="AJ749">
        <v>43747.340449825271</v>
      </c>
      <c r="AK749">
        <v>11547.904830560201</v>
      </c>
      <c r="AL749">
        <v>1524.8254202726594</v>
      </c>
      <c r="AM749">
        <v>292.87078792097793</v>
      </c>
      <c r="AO749">
        <v>42027.894554854109</v>
      </c>
      <c r="AP749">
        <v>14.068663848138799</v>
      </c>
      <c r="AQ749">
        <v>45088.888409354062</v>
      </c>
      <c r="AR749">
        <v>14.274400940120325</v>
      </c>
      <c r="AS749" s="2">
        <f t="shared" si="78"/>
        <v>3060.9938544999532</v>
      </c>
      <c r="AT749" s="2">
        <f t="shared" si="79"/>
        <v>0.20573709198152557</v>
      </c>
      <c r="AV749">
        <f t="shared" si="80"/>
        <v>1364838.4902590257</v>
      </c>
      <c r="AW749">
        <f t="shared" si="81"/>
        <v>1382351.2056026785</v>
      </c>
      <c r="AY749">
        <f t="shared" si="82"/>
        <v>0</v>
      </c>
      <c r="AZ749">
        <f t="shared" si="83"/>
        <v>1</v>
      </c>
    </row>
    <row r="750" spans="1:52" x14ac:dyDescent="0.2">
      <c r="A750">
        <f t="shared" si="77"/>
        <v>746</v>
      </c>
      <c r="B750">
        <v>3.151103136566058E-2</v>
      </c>
      <c r="C750">
        <v>4.1635056976956353E-2</v>
      </c>
      <c r="D750">
        <v>5.5109667015733832E-2</v>
      </c>
      <c r="E750">
        <v>8.1656209152937299E-3</v>
      </c>
      <c r="F750">
        <v>3.3354950312851129E-3</v>
      </c>
      <c r="G750">
        <v>8.5607898014704764E-4</v>
      </c>
      <c r="H750">
        <v>4.8860248040972443E-2</v>
      </c>
      <c r="I750">
        <v>0.13288401616953405</v>
      </c>
      <c r="J750">
        <v>0</v>
      </c>
      <c r="K750">
        <v>0.39962764589750233</v>
      </c>
      <c r="L750">
        <v>0.20060962925532774</v>
      </c>
      <c r="M750">
        <v>0.79939037074467223</v>
      </c>
      <c r="N750">
        <v>4.1585606781911262E-2</v>
      </c>
      <c r="O750" s="72">
        <v>0.99860876244835062</v>
      </c>
      <c r="P750">
        <v>0.99957482115358776</v>
      </c>
      <c r="Q750">
        <v>0.99674497541080476</v>
      </c>
      <c r="R750">
        <v>0.49398583068882174</v>
      </c>
      <c r="S750">
        <v>0.46614909432213802</v>
      </c>
      <c r="T750">
        <v>0.19307476068050988</v>
      </c>
      <c r="U750">
        <v>0.7742883914470049</v>
      </c>
      <c r="V750">
        <v>0.67256334277055729</v>
      </c>
      <c r="W750">
        <v>0.49000688843201795</v>
      </c>
      <c r="X750">
        <v>0.44398910177337664</v>
      </c>
      <c r="Y750">
        <v>0.44403673602930588</v>
      </c>
      <c r="Z750">
        <v>0.40955436469136292</v>
      </c>
      <c r="AA750">
        <v>0.67717955779017325</v>
      </c>
      <c r="AB750">
        <v>0.84847445091445317</v>
      </c>
      <c r="AC750">
        <v>0.69562521418510481</v>
      </c>
      <c r="AD750">
        <v>0.58726244049718035</v>
      </c>
      <c r="AE750">
        <v>233.99455914455768</v>
      </c>
      <c r="AF750">
        <v>1020.2838766188603</v>
      </c>
      <c r="AG750">
        <v>1106.7265628964053</v>
      </c>
      <c r="AH750">
        <v>18491.94201807502</v>
      </c>
      <c r="AI750">
        <v>15662.01730569581</v>
      </c>
      <c r="AJ750">
        <v>38759.469663733165</v>
      </c>
      <c r="AK750">
        <v>10195.364034088836</v>
      </c>
      <c r="AL750">
        <v>2046.8952697665204</v>
      </c>
      <c r="AM750">
        <v>294.20176547142302</v>
      </c>
      <c r="AO750">
        <v>42142.874348088691</v>
      </c>
      <c r="AP750">
        <v>13.588257828922817</v>
      </c>
      <c r="AQ750">
        <v>45078.932717993433</v>
      </c>
      <c r="AR750">
        <v>13.841230496555387</v>
      </c>
      <c r="AS750" s="2">
        <f t="shared" si="78"/>
        <v>2936.058369904742</v>
      </c>
      <c r="AT750" s="2">
        <f t="shared" si="79"/>
        <v>0.25297266763256943</v>
      </c>
      <c r="AV750">
        <f t="shared" si="80"/>
        <v>1316682.908544193</v>
      </c>
      <c r="AW750">
        <f t="shared" si="81"/>
        <v>1339044.1169375454</v>
      </c>
      <c r="AY750">
        <f t="shared" si="82"/>
        <v>0</v>
      </c>
      <c r="AZ750">
        <f t="shared" si="83"/>
        <v>1</v>
      </c>
    </row>
    <row r="751" spans="1:52" x14ac:dyDescent="0.2">
      <c r="A751">
        <f t="shared" si="77"/>
        <v>747</v>
      </c>
      <c r="B751">
        <v>2.1653171881635722E-2</v>
      </c>
      <c r="C751">
        <v>3.2186605455093192E-2</v>
      </c>
      <c r="D751">
        <v>3.8455623477250622E-2</v>
      </c>
      <c r="E751">
        <v>1.6237081845760597E-3</v>
      </c>
      <c r="F751">
        <v>3.265406475176604E-3</v>
      </c>
      <c r="G751">
        <v>5.1533581859250326E-3</v>
      </c>
      <c r="H751">
        <v>2.0162356181459111E-2</v>
      </c>
      <c r="I751">
        <v>0.1371778363778059</v>
      </c>
      <c r="J751">
        <v>0</v>
      </c>
      <c r="K751">
        <v>0.37224780260320306</v>
      </c>
      <c r="L751">
        <v>0.21044429678307786</v>
      </c>
      <c r="M751">
        <v>0.78955570321692214</v>
      </c>
      <c r="N751">
        <v>6.0682170318440254E-2</v>
      </c>
      <c r="O751" s="72">
        <v>0.9977658657781634</v>
      </c>
      <c r="P751">
        <v>0.99340807491883321</v>
      </c>
      <c r="Q751">
        <v>0.92893281414503037</v>
      </c>
      <c r="R751">
        <v>0.4971603407493379</v>
      </c>
      <c r="S751">
        <v>0.41204373179818143</v>
      </c>
      <c r="T751">
        <v>0.22432834999227069</v>
      </c>
      <c r="U751">
        <v>0.75767713083961419</v>
      </c>
      <c r="V751">
        <v>0.64046238624288465</v>
      </c>
      <c r="W751">
        <v>0.56319161670158868</v>
      </c>
      <c r="X751">
        <v>0.44325497020320814</v>
      </c>
      <c r="Y751">
        <v>0.44418165666058285</v>
      </c>
      <c r="Z751">
        <v>0.43377208858221972</v>
      </c>
      <c r="AA751">
        <v>0.6079386643822331</v>
      </c>
      <c r="AB751">
        <v>0.88596030012507809</v>
      </c>
      <c r="AC751">
        <v>0.8016734869200357</v>
      </c>
      <c r="AD751">
        <v>0.62902876070610292</v>
      </c>
      <c r="AE751">
        <v>186.72319272561057</v>
      </c>
      <c r="AF751">
        <v>1126.0516123394909</v>
      </c>
      <c r="AG751">
        <v>1775.532295479981</v>
      </c>
      <c r="AH751">
        <v>16252.798357768472</v>
      </c>
      <c r="AI751">
        <v>11626.522467974146</v>
      </c>
      <c r="AJ751">
        <v>39332.314029004061</v>
      </c>
      <c r="AK751">
        <v>17656.096792142172</v>
      </c>
      <c r="AL751">
        <v>2287.8651273596834</v>
      </c>
      <c r="AM751">
        <v>378.37443080841877</v>
      </c>
      <c r="AO751">
        <v>42959.682344411805</v>
      </c>
      <c r="AP751">
        <v>14.369629628257833</v>
      </c>
      <c r="AQ751">
        <v>46823.504854958497</v>
      </c>
      <c r="AR751">
        <v>14.605803686629255</v>
      </c>
      <c r="AS751" s="2">
        <f t="shared" si="78"/>
        <v>3863.8225105466918</v>
      </c>
      <c r="AT751" s="2">
        <f t="shared" si="79"/>
        <v>0.23617405837142158</v>
      </c>
      <c r="AV751">
        <f t="shared" si="80"/>
        <v>1394003.2804813716</v>
      </c>
      <c r="AW751">
        <f t="shared" si="81"/>
        <v>1413756.8638079669</v>
      </c>
      <c r="AY751">
        <f t="shared" si="82"/>
        <v>0</v>
      </c>
      <c r="AZ751">
        <f t="shared" si="83"/>
        <v>1</v>
      </c>
    </row>
    <row r="752" spans="1:52" x14ac:dyDescent="0.2">
      <c r="A752">
        <f t="shared" si="77"/>
        <v>748</v>
      </c>
      <c r="B752">
        <v>2.3917571640501074E-2</v>
      </c>
      <c r="C752">
        <v>3.3828641321904038E-2</v>
      </c>
      <c r="D752">
        <v>4.3979087200642031E-2</v>
      </c>
      <c r="E752">
        <v>7.000416268082771E-3</v>
      </c>
      <c r="F752">
        <v>3.3748122075465403E-3</v>
      </c>
      <c r="G752">
        <v>1.5771110005441725E-3</v>
      </c>
      <c r="H752">
        <v>3.419192878685029E-2</v>
      </c>
      <c r="I752">
        <v>0.12250333946576594</v>
      </c>
      <c r="J752">
        <v>0</v>
      </c>
      <c r="K752">
        <v>0.41640821962639796</v>
      </c>
      <c r="L752">
        <v>0.1413999253933341</v>
      </c>
      <c r="M752">
        <v>0.85860007460666588</v>
      </c>
      <c r="N752">
        <v>4.8617700801363566E-2</v>
      </c>
      <c r="O752" s="72">
        <v>0.99995555154594651</v>
      </c>
      <c r="P752">
        <v>0.99922883003142549</v>
      </c>
      <c r="Q752">
        <v>0.93977862231011455</v>
      </c>
      <c r="R752">
        <v>0.45346654262859354</v>
      </c>
      <c r="S752">
        <v>0.42938163869126122</v>
      </c>
      <c r="T752">
        <v>0.33455721320766585</v>
      </c>
      <c r="U752">
        <v>0.76918449616925177</v>
      </c>
      <c r="V752">
        <v>0.6004249961209891</v>
      </c>
      <c r="W752">
        <v>0.53033892214091649</v>
      </c>
      <c r="X752">
        <v>0.4940394564205669</v>
      </c>
      <c r="Y752">
        <v>0.42306964767723748</v>
      </c>
      <c r="Z752">
        <v>0.42395166609025481</v>
      </c>
      <c r="AA752">
        <v>0.6205158196164301</v>
      </c>
      <c r="AB752">
        <v>0.86821648246980676</v>
      </c>
      <c r="AC752">
        <v>0.65154167279345521</v>
      </c>
      <c r="AD752">
        <v>0.60335540385568631</v>
      </c>
      <c r="AE752">
        <v>276.0049373080231</v>
      </c>
      <c r="AF752">
        <v>1096.5964737915965</v>
      </c>
      <c r="AG752">
        <v>1473.4431917545544</v>
      </c>
      <c r="AH752">
        <v>11320.705386138547</v>
      </c>
      <c r="AI752">
        <v>5691.8363669150876</v>
      </c>
      <c r="AJ752">
        <v>36894.43973587545</v>
      </c>
      <c r="AK752">
        <v>13773.157834697471</v>
      </c>
      <c r="AL752">
        <v>2128.0579318310074</v>
      </c>
      <c r="AM752">
        <v>385.61301657593924</v>
      </c>
      <c r="AO752">
        <v>43243.570810964971</v>
      </c>
      <c r="AP752">
        <v>13.823246216102831</v>
      </c>
      <c r="AQ752">
        <v>46671.007810927382</v>
      </c>
      <c r="AR752">
        <v>14.055929057414186</v>
      </c>
      <c r="AS752" s="2">
        <f t="shared" si="78"/>
        <v>3427.4369999624105</v>
      </c>
      <c r="AT752" s="2">
        <f t="shared" si="79"/>
        <v>0.2326828413113553</v>
      </c>
      <c r="AV752">
        <f t="shared" si="80"/>
        <v>1339081.0507993181</v>
      </c>
      <c r="AW752">
        <f t="shared" si="81"/>
        <v>1358921.8979304913</v>
      </c>
      <c r="AY752">
        <f t="shared" si="82"/>
        <v>0</v>
      </c>
      <c r="AZ752">
        <f t="shared" si="83"/>
        <v>1</v>
      </c>
    </row>
    <row r="753" spans="1:52" x14ac:dyDescent="0.2">
      <c r="A753">
        <f t="shared" si="77"/>
        <v>749</v>
      </c>
      <c r="B753">
        <v>3.029182509868189E-2</v>
      </c>
      <c r="C753">
        <v>3.5824682289661847E-2</v>
      </c>
      <c r="D753">
        <v>3.932861456693848E-2</v>
      </c>
      <c r="E753">
        <v>2.075511655724227E-2</v>
      </c>
      <c r="F753">
        <v>3.2733598288444583E-3</v>
      </c>
      <c r="G753">
        <v>2.2189550110394585E-2</v>
      </c>
      <c r="H753">
        <v>2.4138555306800744E-2</v>
      </c>
      <c r="I753">
        <v>0.12402015602843156</v>
      </c>
      <c r="J753">
        <v>0</v>
      </c>
      <c r="K753">
        <v>0.46502429148036861</v>
      </c>
      <c r="L753">
        <v>0.21704599293816496</v>
      </c>
      <c r="M753">
        <v>0.78295400706183504</v>
      </c>
      <c r="N753">
        <v>3.8344713614720166E-2</v>
      </c>
      <c r="O753" s="72">
        <v>0.99914068069963524</v>
      </c>
      <c r="P753">
        <v>0.99632679980078798</v>
      </c>
      <c r="Q753">
        <v>0.9363334060547267</v>
      </c>
      <c r="R753">
        <v>0.49833685650464499</v>
      </c>
      <c r="S753">
        <v>0.47376942030152536</v>
      </c>
      <c r="T753">
        <v>0.22540713530426493</v>
      </c>
      <c r="U753">
        <v>0.76574894973628138</v>
      </c>
      <c r="V753">
        <v>0.69696362442701609</v>
      </c>
      <c r="W753">
        <v>0.59041227427718102</v>
      </c>
      <c r="X753">
        <v>0.43885210496308685</v>
      </c>
      <c r="Y753">
        <v>0.42591126457372336</v>
      </c>
      <c r="Z753">
        <v>0.43541149634684212</v>
      </c>
      <c r="AA753">
        <v>0.73926274436904216</v>
      </c>
      <c r="AB753">
        <v>0.77240838177943083</v>
      </c>
      <c r="AC753">
        <v>0.6504699252800108</v>
      </c>
      <c r="AD753">
        <v>0.70863619111034581</v>
      </c>
      <c r="AE753">
        <v>195.33826104943225</v>
      </c>
      <c r="AF753">
        <v>1028.8496788600285</v>
      </c>
      <c r="AG753">
        <v>1265.7808645392993</v>
      </c>
      <c r="AH753">
        <v>13744.047606200045</v>
      </c>
      <c r="AI753">
        <v>9023.6132373901564</v>
      </c>
      <c r="AJ753">
        <v>43893.989660391562</v>
      </c>
      <c r="AK753">
        <v>16980.220835468623</v>
      </c>
      <c r="AL753">
        <v>2329.8849203033847</v>
      </c>
      <c r="AM753">
        <v>595.68715161948546</v>
      </c>
      <c r="AO753">
        <v>44983.025564379641</v>
      </c>
      <c r="AP753">
        <v>12.686526655840643</v>
      </c>
      <c r="AQ753">
        <v>50003.428150058353</v>
      </c>
      <c r="AR753">
        <v>12.866435630401932</v>
      </c>
      <c r="AS753" s="2">
        <f t="shared" si="78"/>
        <v>5020.4025856787121</v>
      </c>
      <c r="AT753" s="2">
        <f t="shared" si="79"/>
        <v>0.17990897456128963</v>
      </c>
      <c r="AV753">
        <f t="shared" si="80"/>
        <v>1223669.6400196846</v>
      </c>
      <c r="AW753">
        <f t="shared" si="81"/>
        <v>1236640.1348901349</v>
      </c>
      <c r="AY753">
        <f t="shared" si="82"/>
        <v>0</v>
      </c>
      <c r="AZ753">
        <f t="shared" si="83"/>
        <v>1</v>
      </c>
    </row>
    <row r="754" spans="1:52" x14ac:dyDescent="0.2">
      <c r="A754">
        <f t="shared" si="77"/>
        <v>750</v>
      </c>
      <c r="B754">
        <v>2.1336608878945427E-2</v>
      </c>
      <c r="C754">
        <v>4.2394251872834632E-2</v>
      </c>
      <c r="D754">
        <v>4.1960803889334986E-2</v>
      </c>
      <c r="E754">
        <v>1.9147523682347733E-2</v>
      </c>
      <c r="F754">
        <v>3.3855381163452325E-3</v>
      </c>
      <c r="G754">
        <v>4.4872720509683162E-2</v>
      </c>
      <c r="H754">
        <v>1.1353419338060427E-2</v>
      </c>
      <c r="I754">
        <v>0.1182491062914655</v>
      </c>
      <c r="J754">
        <v>0</v>
      </c>
      <c r="K754">
        <v>0.46796533141355812</v>
      </c>
      <c r="L754">
        <v>0.16240694157489402</v>
      </c>
      <c r="M754">
        <v>0.83759305842510601</v>
      </c>
      <c r="N754">
        <v>5.7521560657101789E-2</v>
      </c>
      <c r="O754" s="72">
        <v>0.99950355231734833</v>
      </c>
      <c r="P754">
        <v>0.97872421116966879</v>
      </c>
      <c r="Q754">
        <v>0.98096865198578553</v>
      </c>
      <c r="R754">
        <v>0.44188461360103104</v>
      </c>
      <c r="S754">
        <v>0.33619528414401734</v>
      </c>
      <c r="T754">
        <v>0.22731910951122736</v>
      </c>
      <c r="U754">
        <v>0.74931546522063019</v>
      </c>
      <c r="V754">
        <v>0.67814250386534147</v>
      </c>
      <c r="W754">
        <v>0.61821230793929294</v>
      </c>
      <c r="X754">
        <v>0.47144644248400625</v>
      </c>
      <c r="Y754">
        <v>0.40725682163208554</v>
      </c>
      <c r="Z754">
        <v>0.46023363123716998</v>
      </c>
      <c r="AA754">
        <v>0.80393665974232353</v>
      </c>
      <c r="AB754">
        <v>0.6789677417536264</v>
      </c>
      <c r="AC754">
        <v>0.74949585031078469</v>
      </c>
      <c r="AD754">
        <v>0.64234471936612625</v>
      </c>
      <c r="AE754">
        <v>219.31259948717846</v>
      </c>
      <c r="AF754">
        <v>1154.4876786371565</v>
      </c>
      <c r="AG754">
        <v>1497.2230293662744</v>
      </c>
      <c r="AH754">
        <v>15191.32860078713</v>
      </c>
      <c r="AI754">
        <v>10811.049164200753</v>
      </c>
      <c r="AJ754">
        <v>31977.85874831746</v>
      </c>
      <c r="AK754">
        <v>24636.707227401363</v>
      </c>
      <c r="AL754">
        <v>2433.2507018933052</v>
      </c>
      <c r="AM754">
        <v>349.9458468837737</v>
      </c>
      <c r="AO754">
        <v>46131.133393124081</v>
      </c>
      <c r="AP754">
        <v>11.600941839656171</v>
      </c>
      <c r="AQ754">
        <v>46623.690699744897</v>
      </c>
      <c r="AR754">
        <v>11.662436397641162</v>
      </c>
      <c r="AS754" s="2">
        <f t="shared" si="78"/>
        <v>492.55730662081623</v>
      </c>
      <c r="AT754" s="2">
        <f t="shared" si="79"/>
        <v>6.149455798499126E-2</v>
      </c>
      <c r="AV754">
        <f t="shared" si="80"/>
        <v>1113963.0505724931</v>
      </c>
      <c r="AW754">
        <f t="shared" si="81"/>
        <v>1119619.9490643712</v>
      </c>
      <c r="AY754">
        <f t="shared" si="82"/>
        <v>0</v>
      </c>
      <c r="AZ754">
        <f t="shared" si="83"/>
        <v>1</v>
      </c>
    </row>
    <row r="755" spans="1:52" x14ac:dyDescent="0.2">
      <c r="A755">
        <f t="shared" si="77"/>
        <v>751</v>
      </c>
      <c r="B755">
        <v>2.0614677174018967E-2</v>
      </c>
      <c r="C755">
        <v>3.7014715581636826E-2</v>
      </c>
      <c r="D755">
        <v>3.8637074071626865E-2</v>
      </c>
      <c r="E755">
        <v>3.3815104612823178E-3</v>
      </c>
      <c r="F755">
        <v>3.4822094966175943E-3</v>
      </c>
      <c r="G755">
        <v>6.9203315129535989E-3</v>
      </c>
      <c r="H755">
        <v>1.8877699859926957E-2</v>
      </c>
      <c r="I755">
        <v>0.13595263555077397</v>
      </c>
      <c r="J755">
        <v>0</v>
      </c>
      <c r="K755">
        <v>0.40986432551798907</v>
      </c>
      <c r="L755">
        <v>0.19980086615551493</v>
      </c>
      <c r="M755">
        <v>0.80019913384448504</v>
      </c>
      <c r="N755">
        <v>5.1956047339367185E-2</v>
      </c>
      <c r="O755" s="72">
        <v>0.99995058902130529</v>
      </c>
      <c r="P755">
        <v>0.98106495180403464</v>
      </c>
      <c r="Q755">
        <v>0.94701259085652245</v>
      </c>
      <c r="R755">
        <v>0.43262658499396045</v>
      </c>
      <c r="S755">
        <v>0.50776211616700562</v>
      </c>
      <c r="T755">
        <v>0.31319355110747438</v>
      </c>
      <c r="U755">
        <v>0.75365003209857051</v>
      </c>
      <c r="V755">
        <v>0.64774491024907133</v>
      </c>
      <c r="W755">
        <v>0.55428292857001138</v>
      </c>
      <c r="X755">
        <v>0.46892426724279979</v>
      </c>
      <c r="Y755">
        <v>0.44635115552100374</v>
      </c>
      <c r="Z755">
        <v>0.46165392056557031</v>
      </c>
      <c r="AA755">
        <v>0.6944106744202696</v>
      </c>
      <c r="AB755">
        <v>0.81417203120884718</v>
      </c>
      <c r="AC755">
        <v>0.70182110618606142</v>
      </c>
      <c r="AD755">
        <v>0.55406126061482408</v>
      </c>
      <c r="AE755">
        <v>256.28360863926736</v>
      </c>
      <c r="AF755">
        <v>1056.607598369781</v>
      </c>
      <c r="AG755">
        <v>1723.4188067628199</v>
      </c>
      <c r="AH755">
        <v>11503.906564816245</v>
      </c>
      <c r="AI755">
        <v>11404.693593156921</v>
      </c>
      <c r="AJ755">
        <v>38426.866015219566</v>
      </c>
      <c r="AK755">
        <v>14025.037308955472</v>
      </c>
      <c r="AL755">
        <v>1782.6752726547049</v>
      </c>
      <c r="AM755">
        <v>466.50710678164108</v>
      </c>
      <c r="AO755">
        <v>45194.701635201309</v>
      </c>
      <c r="AP755">
        <v>13.178500764649732</v>
      </c>
      <c r="AQ755">
        <v>48473.759275528304</v>
      </c>
      <c r="AR755">
        <v>13.327020718979584</v>
      </c>
      <c r="AS755" s="2">
        <f t="shared" si="78"/>
        <v>3279.0576403269952</v>
      </c>
      <c r="AT755" s="2">
        <f t="shared" si="79"/>
        <v>0.14851995432985277</v>
      </c>
      <c r="AV755">
        <f t="shared" si="80"/>
        <v>1272655.3748297719</v>
      </c>
      <c r="AW755">
        <f t="shared" si="81"/>
        <v>1284228.31262243</v>
      </c>
      <c r="AY755">
        <f t="shared" si="82"/>
        <v>0</v>
      </c>
      <c r="AZ755">
        <f t="shared" si="83"/>
        <v>1</v>
      </c>
    </row>
    <row r="756" spans="1:52" x14ac:dyDescent="0.2">
      <c r="A756">
        <f t="shared" si="77"/>
        <v>752</v>
      </c>
      <c r="B756">
        <v>2.0899183135929505E-2</v>
      </c>
      <c r="C756">
        <v>3.3652925231487239E-2</v>
      </c>
      <c r="D756">
        <v>5.306186489034137E-2</v>
      </c>
      <c r="E756">
        <v>3.9024316217854019E-3</v>
      </c>
      <c r="F756">
        <v>3.2312267308499854E-3</v>
      </c>
      <c r="G756">
        <v>1.9368945136828935E-3</v>
      </c>
      <c r="H756">
        <v>2.9771645251468359E-2</v>
      </c>
      <c r="I756">
        <v>0.13809047444322631</v>
      </c>
      <c r="J756">
        <v>0</v>
      </c>
      <c r="K756">
        <v>0.46246191689876193</v>
      </c>
      <c r="L756">
        <v>0.23757377503631094</v>
      </c>
      <c r="M756">
        <v>0.76242622496368906</v>
      </c>
      <c r="N756">
        <v>4.1800451034138736E-2</v>
      </c>
      <c r="O756" s="72">
        <v>0.99551429135771097</v>
      </c>
      <c r="P756">
        <v>0.99360608534875294</v>
      </c>
      <c r="Q756">
        <v>0.98549904808451738</v>
      </c>
      <c r="R756">
        <v>0.47056074266004055</v>
      </c>
      <c r="S756">
        <v>0.44026057935539276</v>
      </c>
      <c r="T756">
        <v>0.17011527288905692</v>
      </c>
      <c r="U756">
        <v>0.7762491899848023</v>
      </c>
      <c r="V756">
        <v>0.65450508188527834</v>
      </c>
      <c r="W756">
        <v>0.54080779782712407</v>
      </c>
      <c r="X756">
        <v>0.46116198255219898</v>
      </c>
      <c r="Y756">
        <v>0.43448993562958649</v>
      </c>
      <c r="Z756">
        <v>0.47844860807536671</v>
      </c>
      <c r="AA756">
        <v>0.71734436015463077</v>
      </c>
      <c r="AB756">
        <v>0.85516533239642023</v>
      </c>
      <c r="AC756">
        <v>0.70681603825787909</v>
      </c>
      <c r="AD756">
        <v>0.62376884829703139</v>
      </c>
      <c r="AE756">
        <v>190.27957417487514</v>
      </c>
      <c r="AF756">
        <v>991.70717111470026</v>
      </c>
      <c r="AG756">
        <v>1561.7557207552773</v>
      </c>
      <c r="AH756">
        <v>11458.237465762151</v>
      </c>
      <c r="AI756">
        <v>12760.954139498566</v>
      </c>
      <c r="AJ756">
        <v>39985.675114245591</v>
      </c>
      <c r="AK756">
        <v>15162.485151883235</v>
      </c>
      <c r="AL756">
        <v>1817.8321885371142</v>
      </c>
      <c r="AM756">
        <v>364.41260134776303</v>
      </c>
      <c r="AO756">
        <v>44642.123224915988</v>
      </c>
      <c r="AP756">
        <v>13.749749199415648</v>
      </c>
      <c r="AQ756">
        <v>46267.096252274932</v>
      </c>
      <c r="AR756">
        <v>14.003146797344293</v>
      </c>
      <c r="AS756" s="2">
        <f t="shared" si="78"/>
        <v>1624.9730273589448</v>
      </c>
      <c r="AT756" s="2">
        <f t="shared" si="79"/>
        <v>0.25339759792864491</v>
      </c>
      <c r="AV756">
        <f t="shared" si="80"/>
        <v>1330332.7967166489</v>
      </c>
      <c r="AW756">
        <f t="shared" si="81"/>
        <v>1354047.5834821544</v>
      </c>
      <c r="AY756">
        <f t="shared" si="82"/>
        <v>0</v>
      </c>
      <c r="AZ756">
        <f t="shared" si="83"/>
        <v>1</v>
      </c>
    </row>
    <row r="757" spans="1:52" x14ac:dyDescent="0.2">
      <c r="A757">
        <f t="shared" si="77"/>
        <v>753</v>
      </c>
      <c r="B757">
        <v>2.6145925418284754E-2</v>
      </c>
      <c r="C757">
        <v>3.3646995814601309E-2</v>
      </c>
      <c r="D757">
        <v>5.882363332983398E-2</v>
      </c>
      <c r="E757">
        <v>1.8295185648921754E-3</v>
      </c>
      <c r="F757">
        <v>3.3155654311826268E-3</v>
      </c>
      <c r="G757">
        <v>1.4033059148463534E-2</v>
      </c>
      <c r="H757">
        <v>2.9384268585837425E-2</v>
      </c>
      <c r="I757">
        <v>0.14530280082187064</v>
      </c>
      <c r="J757">
        <v>0</v>
      </c>
      <c r="K757">
        <v>0.44312127900358433</v>
      </c>
      <c r="L757">
        <v>0.2586938085945083</v>
      </c>
      <c r="M757">
        <v>0.7413061914054917</v>
      </c>
      <c r="N757">
        <v>8.1007834179367189E-2</v>
      </c>
      <c r="O757" s="72">
        <v>0.93396587607332093</v>
      </c>
      <c r="P757">
        <v>0.99746643058619699</v>
      </c>
      <c r="Q757">
        <v>0.97482723827687179</v>
      </c>
      <c r="R757">
        <v>0.50676466058852343</v>
      </c>
      <c r="S757">
        <v>0.43993588473862288</v>
      </c>
      <c r="T757">
        <v>0.15212959944584503</v>
      </c>
      <c r="U757">
        <v>0.74947405808934475</v>
      </c>
      <c r="V757">
        <v>0.67105792141516285</v>
      </c>
      <c r="W757">
        <v>0.51149544181693773</v>
      </c>
      <c r="X757">
        <v>0.47512172844733125</v>
      </c>
      <c r="Y757">
        <v>0.48469927252021794</v>
      </c>
      <c r="Z757">
        <v>0.414794722886769</v>
      </c>
      <c r="AA757">
        <v>0.66382000271380293</v>
      </c>
      <c r="AB757">
        <v>0.8471366103999135</v>
      </c>
      <c r="AC757">
        <v>0.74491339068275186</v>
      </c>
      <c r="AD757">
        <v>0.5665180324486927</v>
      </c>
      <c r="AE757">
        <v>137.29254098310491</v>
      </c>
      <c r="AF757">
        <v>892.53555333174768</v>
      </c>
      <c r="AG757">
        <v>1776.3145011409276</v>
      </c>
      <c r="AH757">
        <v>13064.027818238364</v>
      </c>
      <c r="AI757">
        <v>8304.6529418039008</v>
      </c>
      <c r="AJ757">
        <v>34293.018938618472</v>
      </c>
      <c r="AK757">
        <v>9296.2924311308088</v>
      </c>
      <c r="AL757">
        <v>2142.332704700792</v>
      </c>
      <c r="AM757">
        <v>532.82954700678943</v>
      </c>
      <c r="AO757">
        <v>45913.503915513043</v>
      </c>
      <c r="AP757">
        <v>13.625042056133777</v>
      </c>
      <c r="AQ757">
        <v>49070.279457701006</v>
      </c>
      <c r="AR757">
        <v>13.87947907891067</v>
      </c>
      <c r="AS757" s="2">
        <f t="shared" si="78"/>
        <v>3156.7755421879629</v>
      </c>
      <c r="AT757" s="2">
        <f t="shared" si="79"/>
        <v>0.25443702277689262</v>
      </c>
      <c r="AV757">
        <f t="shared" si="80"/>
        <v>1316590.7016978648</v>
      </c>
      <c r="AW757">
        <f t="shared" si="81"/>
        <v>1338877.6284333661</v>
      </c>
      <c r="AY757">
        <f t="shared" si="82"/>
        <v>0</v>
      </c>
      <c r="AZ757">
        <f t="shared" si="83"/>
        <v>1</v>
      </c>
    </row>
    <row r="758" spans="1:52" x14ac:dyDescent="0.2">
      <c r="A758">
        <f t="shared" si="77"/>
        <v>754</v>
      </c>
      <c r="B758">
        <v>3.0654180118592889E-2</v>
      </c>
      <c r="C758">
        <v>4.237797129382681E-2</v>
      </c>
      <c r="D758">
        <v>2.8662112578788691E-2</v>
      </c>
      <c r="E758">
        <v>8.1817866206037159E-3</v>
      </c>
      <c r="F758">
        <v>3.2906146861043416E-3</v>
      </c>
      <c r="G758">
        <v>5.2880040614855257E-3</v>
      </c>
      <c r="H758">
        <v>3.4456343355393049E-2</v>
      </c>
      <c r="I758">
        <v>0.12313074183545331</v>
      </c>
      <c r="J758">
        <v>0</v>
      </c>
      <c r="K758">
        <v>0.43060323415781809</v>
      </c>
      <c r="L758">
        <v>0.21939054651947232</v>
      </c>
      <c r="M758">
        <v>0.78060945348052768</v>
      </c>
      <c r="N758">
        <v>6.4735258479711844E-2</v>
      </c>
      <c r="O758" s="72">
        <v>0.99999166441793974</v>
      </c>
      <c r="P758">
        <v>0.9999904718934588</v>
      </c>
      <c r="Q758">
        <v>0.95857528819452209</v>
      </c>
      <c r="R758">
        <v>0.51493102747960295</v>
      </c>
      <c r="S758">
        <v>0.46349705160835697</v>
      </c>
      <c r="T758">
        <v>0.19060136790200932</v>
      </c>
      <c r="U758">
        <v>0.77029831831365447</v>
      </c>
      <c r="V758">
        <v>0.69714933706957904</v>
      </c>
      <c r="W758">
        <v>0.48672274206665972</v>
      </c>
      <c r="X758">
        <v>0.40997391480138545</v>
      </c>
      <c r="Y758">
        <v>0.45394236331939475</v>
      </c>
      <c r="Z758">
        <v>0.43609033294024313</v>
      </c>
      <c r="AA758">
        <v>0.72010160924082423</v>
      </c>
      <c r="AB758">
        <v>0.8371160251813039</v>
      </c>
      <c r="AC758">
        <v>0.86149960174666484</v>
      </c>
      <c r="AD758">
        <v>0.57207709275141194</v>
      </c>
      <c r="AE758">
        <v>207.16220118061491</v>
      </c>
      <c r="AF758">
        <v>934.74158170945475</v>
      </c>
      <c r="AG758">
        <v>1629.9905997746923</v>
      </c>
      <c r="AH758">
        <v>14792.388098518286</v>
      </c>
      <c r="AI758">
        <v>12948.387486841002</v>
      </c>
      <c r="AJ758">
        <v>43653.291834254291</v>
      </c>
      <c r="AK758">
        <v>19197.252543667069</v>
      </c>
      <c r="AL758">
        <v>1888.7253104321526</v>
      </c>
      <c r="AM758">
        <v>545.86885744587914</v>
      </c>
      <c r="AO758">
        <v>44814.303068820635</v>
      </c>
      <c r="AP758">
        <v>13.788332378529539</v>
      </c>
      <c r="AQ758">
        <v>49098.640882808781</v>
      </c>
      <c r="AR758">
        <v>13.961136329278016</v>
      </c>
      <c r="AS758" s="2">
        <f t="shared" si="78"/>
        <v>4284.3378139881461</v>
      </c>
      <c r="AT758" s="2">
        <f t="shared" si="79"/>
        <v>0.17280395074847732</v>
      </c>
      <c r="AV758">
        <f t="shared" si="80"/>
        <v>1334018.9347841332</v>
      </c>
      <c r="AW758">
        <f t="shared" si="81"/>
        <v>1347014.992044993</v>
      </c>
      <c r="AY758">
        <f t="shared" si="82"/>
        <v>0</v>
      </c>
      <c r="AZ758">
        <f t="shared" si="83"/>
        <v>1</v>
      </c>
    </row>
    <row r="759" spans="1:52" x14ac:dyDescent="0.2">
      <c r="A759">
        <f t="shared" si="77"/>
        <v>755</v>
      </c>
      <c r="B759">
        <v>3.9279028807773897E-2</v>
      </c>
      <c r="C759">
        <v>3.3023948929095569E-2</v>
      </c>
      <c r="D759">
        <v>3.5787097576701642E-2</v>
      </c>
      <c r="E759">
        <v>2.7169826361865268E-2</v>
      </c>
      <c r="F759">
        <v>3.2466955737231276E-3</v>
      </c>
      <c r="G759">
        <v>1.853274589656817E-2</v>
      </c>
      <c r="H759">
        <v>2.4908127147377987E-2</v>
      </c>
      <c r="I759">
        <v>0.13099266319601988</v>
      </c>
      <c r="J759">
        <v>0</v>
      </c>
      <c r="K759">
        <v>0.4522367132356</v>
      </c>
      <c r="L759">
        <v>0.22132377268613634</v>
      </c>
      <c r="M759">
        <v>0.77867622731386366</v>
      </c>
      <c r="N759">
        <v>5.1906418316076029E-2</v>
      </c>
      <c r="O759" s="72">
        <v>0.99917995445360763</v>
      </c>
      <c r="P759">
        <v>0.98244170604307746</v>
      </c>
      <c r="Q759">
        <v>0.9735903521084841</v>
      </c>
      <c r="R759">
        <v>0.47293434791743227</v>
      </c>
      <c r="S759">
        <v>0.56330449683043315</v>
      </c>
      <c r="T759">
        <v>0.26722038010029825</v>
      </c>
      <c r="U759">
        <v>0.7640909973274983</v>
      </c>
      <c r="V759">
        <v>0.56868906936363894</v>
      </c>
      <c r="W759">
        <v>0.52465179190694988</v>
      </c>
      <c r="X759">
        <v>0.4664984093025808</v>
      </c>
      <c r="Y759">
        <v>0.46290251617035094</v>
      </c>
      <c r="Z759">
        <v>0.48105824915867135</v>
      </c>
      <c r="AA759">
        <v>0.70134297132400825</v>
      </c>
      <c r="AB759">
        <v>0.77322010056974655</v>
      </c>
      <c r="AC759">
        <v>0.74334306390422056</v>
      </c>
      <c r="AD759">
        <v>0.6234633455112677</v>
      </c>
      <c r="AE759">
        <v>214.14856306193053</v>
      </c>
      <c r="AF759">
        <v>1276.3548302814315</v>
      </c>
      <c r="AG759">
        <v>1579.6897554052866</v>
      </c>
      <c r="AH759">
        <v>10481.502595156249</v>
      </c>
      <c r="AI759">
        <v>17297.836564379857</v>
      </c>
      <c r="AJ759">
        <v>41083.731215672036</v>
      </c>
      <c r="AK759">
        <v>7112.1216714604134</v>
      </c>
      <c r="AL759">
        <v>2582.7092484456884</v>
      </c>
      <c r="AM759">
        <v>369.32333907524765</v>
      </c>
      <c r="AO759">
        <v>41504.520870333683</v>
      </c>
      <c r="AP759">
        <v>12.774785775268722</v>
      </c>
      <c r="AQ759">
        <v>46754.225107732193</v>
      </c>
      <c r="AR759">
        <v>12.931369835147171</v>
      </c>
      <c r="AS759" s="2">
        <f t="shared" si="78"/>
        <v>5249.7042373985096</v>
      </c>
      <c r="AT759" s="2">
        <f t="shared" si="79"/>
        <v>0.15658405987844937</v>
      </c>
      <c r="AV759">
        <f t="shared" si="80"/>
        <v>1235974.0566565385</v>
      </c>
      <c r="AW759">
        <f t="shared" si="81"/>
        <v>1246382.7584069849</v>
      </c>
      <c r="AY759">
        <f t="shared" si="82"/>
        <v>0</v>
      </c>
      <c r="AZ759">
        <f t="shared" si="83"/>
        <v>1</v>
      </c>
    </row>
    <row r="760" spans="1:52" x14ac:dyDescent="0.2">
      <c r="A760">
        <f t="shared" si="77"/>
        <v>756</v>
      </c>
      <c r="B760">
        <v>2.6839871326150622E-2</v>
      </c>
      <c r="C760">
        <v>4.0534426504449383E-2</v>
      </c>
      <c r="D760">
        <v>4.6025963833269512E-2</v>
      </c>
      <c r="E760">
        <v>2.0490789329815517E-2</v>
      </c>
      <c r="F760">
        <v>3.2032301750058848E-3</v>
      </c>
      <c r="G760">
        <v>4.0874109585851406E-3</v>
      </c>
      <c r="H760">
        <v>3.5381013007153572E-2</v>
      </c>
      <c r="I760">
        <v>0.1293159370892335</v>
      </c>
      <c r="J760">
        <v>0</v>
      </c>
      <c r="K760">
        <v>0.44837559011889871</v>
      </c>
      <c r="L760">
        <v>0.27624462948681683</v>
      </c>
      <c r="M760">
        <v>0.72375537051318317</v>
      </c>
      <c r="N760">
        <v>3.9838120991493108E-2</v>
      </c>
      <c r="O760" s="72">
        <v>0.99913359828496717</v>
      </c>
      <c r="P760">
        <v>0.97986402429332586</v>
      </c>
      <c r="Q760">
        <v>0.97686154641280276</v>
      </c>
      <c r="R760">
        <v>0.51750641473247427</v>
      </c>
      <c r="S760">
        <v>0.45773142197788108</v>
      </c>
      <c r="T760">
        <v>0.26944668204596389</v>
      </c>
      <c r="U760">
        <v>0.7736267606690661</v>
      </c>
      <c r="V760">
        <v>0.69683838488893568</v>
      </c>
      <c r="W760">
        <v>0.56103629983647285</v>
      </c>
      <c r="X760">
        <v>0.43233733031718014</v>
      </c>
      <c r="Y760">
        <v>0.40470774740693127</v>
      </c>
      <c r="Z760">
        <v>0.47741989065139478</v>
      </c>
      <c r="AA760">
        <v>0.67855109598420182</v>
      </c>
      <c r="AB760">
        <v>0.78911318936949704</v>
      </c>
      <c r="AC760">
        <v>0.74569029386744945</v>
      </c>
      <c r="AD760">
        <v>0.6339875061649507</v>
      </c>
      <c r="AE760">
        <v>321.28089653565496</v>
      </c>
      <c r="AF760">
        <v>987.70567345484619</v>
      </c>
      <c r="AG760">
        <v>1842.561671795906</v>
      </c>
      <c r="AH760">
        <v>15167.249658819583</v>
      </c>
      <c r="AI760">
        <v>14550.894393013949</v>
      </c>
      <c r="AJ760">
        <v>38061.103265655518</v>
      </c>
      <c r="AK760">
        <v>13139.139387879273</v>
      </c>
      <c r="AL760">
        <v>1487.9691452736461</v>
      </c>
      <c r="AM760">
        <v>390.94566818851501</v>
      </c>
      <c r="AO760">
        <v>40987.024512724733</v>
      </c>
      <c r="AP760">
        <v>13.024215418121956</v>
      </c>
      <c r="AQ760">
        <v>47341.012122856962</v>
      </c>
      <c r="AR760">
        <v>13.170930615928755</v>
      </c>
      <c r="AS760" s="2">
        <f t="shared" si="78"/>
        <v>6353.9876101322297</v>
      </c>
      <c r="AT760" s="2">
        <f t="shared" si="79"/>
        <v>0.14671519780679887</v>
      </c>
      <c r="AV760">
        <f t="shared" si="80"/>
        <v>1261434.517299471</v>
      </c>
      <c r="AW760">
        <f t="shared" si="81"/>
        <v>1269752.0494700186</v>
      </c>
      <c r="AY760">
        <f t="shared" si="82"/>
        <v>0</v>
      </c>
      <c r="AZ760">
        <f t="shared" si="83"/>
        <v>1</v>
      </c>
    </row>
    <row r="761" spans="1:52" x14ac:dyDescent="0.2">
      <c r="A761">
        <f t="shared" si="77"/>
        <v>757</v>
      </c>
      <c r="B761">
        <v>2.1844041389013365E-2</v>
      </c>
      <c r="C761">
        <v>4.7151981170868051E-2</v>
      </c>
      <c r="D761">
        <v>4.9920239436495817E-2</v>
      </c>
      <c r="E761">
        <v>1.3695864506425237E-2</v>
      </c>
      <c r="F761">
        <v>3.461261436198404E-3</v>
      </c>
      <c r="G761">
        <v>3.3068377971854024E-2</v>
      </c>
      <c r="H761">
        <v>3.364185543375553E-2</v>
      </c>
      <c r="I761">
        <v>0.11205384500193336</v>
      </c>
      <c r="J761">
        <v>0</v>
      </c>
      <c r="K761">
        <v>0.37860793002377197</v>
      </c>
      <c r="L761">
        <v>0.31393728837033419</v>
      </c>
      <c r="M761">
        <v>0.68606271162966581</v>
      </c>
      <c r="N761">
        <v>4.7754228041007991E-2</v>
      </c>
      <c r="O761" s="72">
        <v>0.99052711266433602</v>
      </c>
      <c r="P761">
        <v>0.93646998371452461</v>
      </c>
      <c r="Q761">
        <v>0.99007511457411757</v>
      </c>
      <c r="R761">
        <v>0.49317846477830107</v>
      </c>
      <c r="S761">
        <v>0.29120931818956941</v>
      </c>
      <c r="T761">
        <v>0.18353173590819427</v>
      </c>
      <c r="U761">
        <v>0.73237442441749168</v>
      </c>
      <c r="V761">
        <v>0.64477471960357657</v>
      </c>
      <c r="W761">
        <v>0.55511928875627725</v>
      </c>
      <c r="X761">
        <v>0.46915144562953714</v>
      </c>
      <c r="Y761">
        <v>0.5139887960160392</v>
      </c>
      <c r="Z761">
        <v>0.48027604197432683</v>
      </c>
      <c r="AA761">
        <v>0.6296079169442711</v>
      </c>
      <c r="AB761">
        <v>0.86829414200831501</v>
      </c>
      <c r="AC761">
        <v>0.75807237860321863</v>
      </c>
      <c r="AD761">
        <v>0.67534361102801499</v>
      </c>
      <c r="AE761">
        <v>205.53058116986065</v>
      </c>
      <c r="AF761">
        <v>952.94680486024311</v>
      </c>
      <c r="AG761">
        <v>1276.7879747460265</v>
      </c>
      <c r="AH761">
        <v>10867.556662873003</v>
      </c>
      <c r="AI761">
        <v>7888.178411130325</v>
      </c>
      <c r="AJ761">
        <v>37663.402950319331</v>
      </c>
      <c r="AK761">
        <v>11778.649529371509</v>
      </c>
      <c r="AL761">
        <v>1789.9404005233123</v>
      </c>
      <c r="AM761">
        <v>413.49418661759091</v>
      </c>
      <c r="AO761">
        <v>45698.673947254691</v>
      </c>
      <c r="AP761">
        <v>13.998512613689341</v>
      </c>
      <c r="AQ761">
        <v>48918.0627381304</v>
      </c>
      <c r="AR761">
        <v>14.338402049656137</v>
      </c>
      <c r="AS761" s="2">
        <f t="shared" si="78"/>
        <v>3219.3887908757097</v>
      </c>
      <c r="AT761" s="2">
        <f t="shared" si="79"/>
        <v>0.33988943596679633</v>
      </c>
      <c r="AV761">
        <f t="shared" si="80"/>
        <v>1354152.5874216794</v>
      </c>
      <c r="AW761">
        <f t="shared" si="81"/>
        <v>1384922.1422274834</v>
      </c>
      <c r="AY761">
        <f t="shared" si="82"/>
        <v>0</v>
      </c>
      <c r="AZ761">
        <f t="shared" si="83"/>
        <v>1</v>
      </c>
    </row>
    <row r="762" spans="1:52" x14ac:dyDescent="0.2">
      <c r="A762">
        <f t="shared" si="77"/>
        <v>758</v>
      </c>
      <c r="B762">
        <v>3.3189007821673777E-2</v>
      </c>
      <c r="C762">
        <v>3.4047980702721463E-2</v>
      </c>
      <c r="D762">
        <v>4.1846660579165862E-2</v>
      </c>
      <c r="E762">
        <v>1.063765954323192E-2</v>
      </c>
      <c r="F762">
        <v>3.3194832002218259E-3</v>
      </c>
      <c r="G762">
        <v>1.4405666248267002E-2</v>
      </c>
      <c r="H762">
        <v>3.9748341911977292E-2</v>
      </c>
      <c r="I762">
        <v>0.12110592736738154</v>
      </c>
      <c r="J762">
        <v>0</v>
      </c>
      <c r="K762">
        <v>0.43444999803846396</v>
      </c>
      <c r="L762">
        <v>0.30168001840022851</v>
      </c>
      <c r="M762">
        <v>0.69831998159977149</v>
      </c>
      <c r="N762">
        <v>5.6766888227080314E-2</v>
      </c>
      <c r="O762" s="72">
        <v>0.99986970479224335</v>
      </c>
      <c r="P762">
        <v>0.9852768418319372</v>
      </c>
      <c r="Q762">
        <v>0.98299798804845584</v>
      </c>
      <c r="R762">
        <v>0.51508119445923395</v>
      </c>
      <c r="S762">
        <v>0.4429349755909161</v>
      </c>
      <c r="T762">
        <v>0.23454059179327291</v>
      </c>
      <c r="U762">
        <v>0.77655284016452708</v>
      </c>
      <c r="V762">
        <v>0.62988058608569664</v>
      </c>
      <c r="W762">
        <v>0.45595303121080283</v>
      </c>
      <c r="X762">
        <v>0.51222805954642214</v>
      </c>
      <c r="Y762">
        <v>0.39604260103720546</v>
      </c>
      <c r="Z762">
        <v>0.51127527624558411</v>
      </c>
      <c r="AA762">
        <v>0.65777414873128204</v>
      </c>
      <c r="AB762">
        <v>0.81669465671959107</v>
      </c>
      <c r="AC762">
        <v>0.69298412829294986</v>
      </c>
      <c r="AD762">
        <v>0.6428239980186663</v>
      </c>
      <c r="AE762">
        <v>158.78662124303651</v>
      </c>
      <c r="AF762">
        <v>898.07600411188309</v>
      </c>
      <c r="AG762">
        <v>1458.0751650074653</v>
      </c>
      <c r="AH762">
        <v>17215.827030534801</v>
      </c>
      <c r="AI762">
        <v>9601.0032887424732</v>
      </c>
      <c r="AJ762">
        <v>36363.003413277591</v>
      </c>
      <c r="AK762">
        <v>12757.745258702118</v>
      </c>
      <c r="AL762">
        <v>2013.4855589171666</v>
      </c>
      <c r="AM762">
        <v>314.91511774523502</v>
      </c>
      <c r="AO762">
        <v>40508.124746875961</v>
      </c>
      <c r="AP762">
        <v>13.260364030457371</v>
      </c>
      <c r="AQ762">
        <v>45826.71281617257</v>
      </c>
      <c r="AR762">
        <v>13.470438771983249</v>
      </c>
      <c r="AS762" s="2">
        <f t="shared" si="78"/>
        <v>5318.5880692966093</v>
      </c>
      <c r="AT762" s="2">
        <f t="shared" si="79"/>
        <v>0.21007474152587768</v>
      </c>
      <c r="AV762">
        <f t="shared" si="80"/>
        <v>1285528.2782988611</v>
      </c>
      <c r="AW762">
        <f t="shared" si="81"/>
        <v>1301217.1643821523</v>
      </c>
      <c r="AY762">
        <f t="shared" si="82"/>
        <v>0</v>
      </c>
      <c r="AZ762">
        <f t="shared" si="83"/>
        <v>1</v>
      </c>
    </row>
    <row r="763" spans="1:52" x14ac:dyDescent="0.2">
      <c r="A763">
        <f t="shared" si="77"/>
        <v>759</v>
      </c>
      <c r="B763">
        <v>2.4379386877109287E-2</v>
      </c>
      <c r="C763">
        <v>3.0917962942458306E-2</v>
      </c>
      <c r="D763">
        <v>3.7275494895296225E-2</v>
      </c>
      <c r="E763">
        <v>1.9357000452693507E-2</v>
      </c>
      <c r="F763">
        <v>3.3637168186545496E-3</v>
      </c>
      <c r="G763">
        <v>3.3777792694237196E-2</v>
      </c>
      <c r="H763">
        <v>3.2536553533493495E-2</v>
      </c>
      <c r="I763">
        <v>0.1258641700126919</v>
      </c>
      <c r="J763">
        <v>0</v>
      </c>
      <c r="K763">
        <v>0.47116110122832722</v>
      </c>
      <c r="L763">
        <v>0.15585148574749214</v>
      </c>
      <c r="M763">
        <v>0.84414851425250781</v>
      </c>
      <c r="N763">
        <v>5.2794536749819168E-2</v>
      </c>
      <c r="O763" s="72">
        <v>0.99943024310525419</v>
      </c>
      <c r="P763">
        <v>0.99995694661320433</v>
      </c>
      <c r="Q763">
        <v>0.94788590991566746</v>
      </c>
      <c r="R763">
        <v>0.457866393939108</v>
      </c>
      <c r="S763">
        <v>0.32443442977089365</v>
      </c>
      <c r="T763">
        <v>0.27472785181882164</v>
      </c>
      <c r="U763">
        <v>0.77530840296751757</v>
      </c>
      <c r="V763">
        <v>0.62757269878040534</v>
      </c>
      <c r="W763">
        <v>0.55736844009608699</v>
      </c>
      <c r="X763">
        <v>0.45264222519889086</v>
      </c>
      <c r="Y763">
        <v>0.46876385990327263</v>
      </c>
      <c r="Z763">
        <v>0.45592105286899098</v>
      </c>
      <c r="AA763">
        <v>0.63930647244245942</v>
      </c>
      <c r="AB763">
        <v>0.76295501335698024</v>
      </c>
      <c r="AC763">
        <v>0.72751920073787235</v>
      </c>
      <c r="AD763">
        <v>0.56705587104678912</v>
      </c>
      <c r="AE763">
        <v>218.85729682179598</v>
      </c>
      <c r="AF763">
        <v>1061.7635099903589</v>
      </c>
      <c r="AG763">
        <v>1339.5464735920982</v>
      </c>
      <c r="AH763">
        <v>10450.893938719668</v>
      </c>
      <c r="AI763">
        <v>10626.387578460874</v>
      </c>
      <c r="AJ763">
        <v>43288.226481193044</v>
      </c>
      <c r="AK763">
        <v>14339.56796555541</v>
      </c>
      <c r="AL763">
        <v>1946.0406983821165</v>
      </c>
      <c r="AM763">
        <v>325.4208260733912</v>
      </c>
      <c r="AO763">
        <v>43912.355290504427</v>
      </c>
      <c r="AP763">
        <v>12.565952958326914</v>
      </c>
      <c r="AQ763">
        <v>45569.853524849379</v>
      </c>
      <c r="AR763">
        <v>12.682262158616393</v>
      </c>
      <c r="AS763" s="2">
        <f t="shared" si="78"/>
        <v>1657.4982343449519</v>
      </c>
      <c r="AT763" s="2">
        <f t="shared" si="79"/>
        <v>0.11630920028947855</v>
      </c>
      <c r="AV763">
        <f t="shared" si="80"/>
        <v>1212682.9405421871</v>
      </c>
      <c r="AW763">
        <f t="shared" si="81"/>
        <v>1222656.36233679</v>
      </c>
      <c r="AY763">
        <f t="shared" si="82"/>
        <v>0</v>
      </c>
      <c r="AZ763">
        <f t="shared" si="83"/>
        <v>1</v>
      </c>
    </row>
    <row r="764" spans="1:52" x14ac:dyDescent="0.2">
      <c r="A764">
        <f t="shared" si="77"/>
        <v>760</v>
      </c>
      <c r="B764">
        <v>1.9864930218625437E-2</v>
      </c>
      <c r="C764">
        <v>3.0615792350462429E-2</v>
      </c>
      <c r="D764">
        <v>3.1207487980139028E-2</v>
      </c>
      <c r="E764">
        <v>4.8032086153906896E-3</v>
      </c>
      <c r="F764">
        <v>3.3207420535984575E-3</v>
      </c>
      <c r="G764">
        <v>6.0532397629857763E-3</v>
      </c>
      <c r="H764">
        <v>2.2698071970850064E-2</v>
      </c>
      <c r="I764">
        <v>0.1397704379537853</v>
      </c>
      <c r="J764">
        <v>0</v>
      </c>
      <c r="K764">
        <v>0.46930442194500599</v>
      </c>
      <c r="L764">
        <v>0.16394969008430504</v>
      </c>
      <c r="M764">
        <v>0.83605030991569496</v>
      </c>
      <c r="N764">
        <v>4.7067878212594332E-2</v>
      </c>
      <c r="O764" s="72">
        <v>0.99711484029136899</v>
      </c>
      <c r="P764">
        <v>0.98761255799295455</v>
      </c>
      <c r="Q764">
        <v>0.96048446352682426</v>
      </c>
      <c r="R764">
        <v>0.51713756650004128</v>
      </c>
      <c r="S764">
        <v>0.32799377765921911</v>
      </c>
      <c r="T764">
        <v>0.2352992528187734</v>
      </c>
      <c r="U764">
        <v>0.78686858197676646</v>
      </c>
      <c r="V764">
        <v>0.66029539479461907</v>
      </c>
      <c r="W764">
        <v>0.47485501692899829</v>
      </c>
      <c r="X764">
        <v>0.4717440875830885</v>
      </c>
      <c r="Y764">
        <v>0.44456127972416049</v>
      </c>
      <c r="Z764">
        <v>0.43584190625306973</v>
      </c>
      <c r="AA764">
        <v>0.61344460374692922</v>
      </c>
      <c r="AB764">
        <v>0.79272821673644334</v>
      </c>
      <c r="AC764">
        <v>0.68956527017129188</v>
      </c>
      <c r="AD764">
        <v>0.60473522911101907</v>
      </c>
      <c r="AE764">
        <v>189.77726024752187</v>
      </c>
      <c r="AF764">
        <v>878.29342152502238</v>
      </c>
      <c r="AG764">
        <v>1901.6371819246315</v>
      </c>
      <c r="AH764">
        <v>17409.051345302734</v>
      </c>
      <c r="AI764">
        <v>11207.248820599423</v>
      </c>
      <c r="AJ764">
        <v>39305.549697522714</v>
      </c>
      <c r="AK764">
        <v>14632.751057689604</v>
      </c>
      <c r="AL764">
        <v>1783.9655766655653</v>
      </c>
      <c r="AM764">
        <v>358.69156312315988</v>
      </c>
      <c r="AO764">
        <v>42521.080172785281</v>
      </c>
      <c r="AP764">
        <v>12.952058211820058</v>
      </c>
      <c r="AQ764">
        <v>46586.587777199973</v>
      </c>
      <c r="AR764">
        <v>13.078590629248499</v>
      </c>
      <c r="AS764" s="2">
        <f t="shared" si="78"/>
        <v>4065.5076044146917</v>
      </c>
      <c r="AT764" s="2">
        <f t="shared" si="79"/>
        <v>0.12653241742844124</v>
      </c>
      <c r="AV764">
        <f t="shared" si="80"/>
        <v>1252684.7410092205</v>
      </c>
      <c r="AW764">
        <f t="shared" si="81"/>
        <v>1261272.4751476499</v>
      </c>
      <c r="AY764">
        <f t="shared" si="82"/>
        <v>0</v>
      </c>
      <c r="AZ764">
        <f t="shared" si="83"/>
        <v>1</v>
      </c>
    </row>
    <row r="765" spans="1:52" x14ac:dyDescent="0.2">
      <c r="A765">
        <f t="shared" si="77"/>
        <v>761</v>
      </c>
      <c r="B765">
        <v>2.8581252501593379E-2</v>
      </c>
      <c r="C765">
        <v>4.0676340927864096E-2</v>
      </c>
      <c r="D765">
        <v>3.4889799223614376E-2</v>
      </c>
      <c r="E765">
        <v>1.2667348136080836E-2</v>
      </c>
      <c r="F765">
        <v>3.3232174036210769E-3</v>
      </c>
      <c r="G765">
        <v>3.8427806260007452E-3</v>
      </c>
      <c r="H765">
        <v>3.1898609570607084E-2</v>
      </c>
      <c r="I765">
        <v>0.13640476061622997</v>
      </c>
      <c r="J765">
        <v>0</v>
      </c>
      <c r="K765">
        <v>0.39262069340765809</v>
      </c>
      <c r="L765">
        <v>0.22863842493840736</v>
      </c>
      <c r="M765">
        <v>0.77136157506159264</v>
      </c>
      <c r="N765">
        <v>7.3482136443184243E-2</v>
      </c>
      <c r="O765" s="72">
        <v>0.9993629707139573</v>
      </c>
      <c r="P765">
        <v>0.99925804258628437</v>
      </c>
      <c r="Q765">
        <v>0.97451605196107216</v>
      </c>
      <c r="R765">
        <v>0.51284573837259861</v>
      </c>
      <c r="S765">
        <v>0.52439298166130355</v>
      </c>
      <c r="T765">
        <v>0.3011003134002479</v>
      </c>
      <c r="U765">
        <v>0.75982931250494035</v>
      </c>
      <c r="V765">
        <v>0.66849831262376225</v>
      </c>
      <c r="W765">
        <v>0.5397747001223876</v>
      </c>
      <c r="X765">
        <v>0.45707486844421463</v>
      </c>
      <c r="Y765">
        <v>0.439709431578998</v>
      </c>
      <c r="Z765">
        <v>0.44336837966830744</v>
      </c>
      <c r="AA765">
        <v>0.73986756425015698</v>
      </c>
      <c r="AB765">
        <v>0.8011209420013734</v>
      </c>
      <c r="AC765">
        <v>0.77302384564380189</v>
      </c>
      <c r="AD765">
        <v>0.59687043713023613</v>
      </c>
      <c r="AE765">
        <v>197.17806760241015</v>
      </c>
      <c r="AF765">
        <v>992.10406149698565</v>
      </c>
      <c r="AG765">
        <v>1631.3545885755327</v>
      </c>
      <c r="AH765">
        <v>16416.639252103669</v>
      </c>
      <c r="AI765">
        <v>13555.898265910209</v>
      </c>
      <c r="AJ765">
        <v>38040.533361429334</v>
      </c>
      <c r="AK765">
        <v>14248.046148637794</v>
      </c>
      <c r="AL765">
        <v>1886.3774111020443</v>
      </c>
      <c r="AM765">
        <v>395.98697376451389</v>
      </c>
      <c r="AO765">
        <v>40088.108162332741</v>
      </c>
      <c r="AP765">
        <v>13.210050267639334</v>
      </c>
      <c r="AQ765">
        <v>46725.900514850786</v>
      </c>
      <c r="AR765">
        <v>13.336123923310861</v>
      </c>
      <c r="AS765" s="2">
        <f t="shared" si="78"/>
        <v>6637.7923525180449</v>
      </c>
      <c r="AT765" s="2">
        <f t="shared" si="79"/>
        <v>0.12607365567152762</v>
      </c>
      <c r="AV765">
        <f t="shared" si="80"/>
        <v>1280916.9186016007</v>
      </c>
      <c r="AW765">
        <f t="shared" si="81"/>
        <v>1286886.4918162352</v>
      </c>
      <c r="AY765">
        <f t="shared" si="82"/>
        <v>0</v>
      </c>
      <c r="AZ765">
        <f t="shared" si="83"/>
        <v>1</v>
      </c>
    </row>
    <row r="766" spans="1:52" x14ac:dyDescent="0.2">
      <c r="A766">
        <f t="shared" si="77"/>
        <v>762</v>
      </c>
      <c r="B766">
        <v>2.7951552564748239E-2</v>
      </c>
      <c r="C766">
        <v>4.0423526161850298E-2</v>
      </c>
      <c r="D766">
        <v>2.9480960676673992E-2</v>
      </c>
      <c r="E766">
        <v>1.497408012202839E-3</v>
      </c>
      <c r="F766">
        <v>3.3668674740477966E-3</v>
      </c>
      <c r="G766">
        <v>1.6143514419741267E-2</v>
      </c>
      <c r="H766">
        <v>1.9206054442610199E-2</v>
      </c>
      <c r="I766">
        <v>0.12727772762508677</v>
      </c>
      <c r="J766">
        <v>0</v>
      </c>
      <c r="K766">
        <v>0.4260292080125152</v>
      </c>
      <c r="L766">
        <v>0.16375267718881581</v>
      </c>
      <c r="M766">
        <v>0.83624732281118419</v>
      </c>
      <c r="N766">
        <v>4.7164671933422594E-2</v>
      </c>
      <c r="O766" s="72">
        <v>0.99999900771843175</v>
      </c>
      <c r="P766">
        <v>0.99861346372599824</v>
      </c>
      <c r="Q766">
        <v>0.95007131708266479</v>
      </c>
      <c r="R766">
        <v>0.480629135612749</v>
      </c>
      <c r="S766">
        <v>0.27970425274373412</v>
      </c>
      <c r="T766">
        <v>0.38663973082695935</v>
      </c>
      <c r="U766">
        <v>0.77277839668475545</v>
      </c>
      <c r="V766">
        <v>0.6391221206793154</v>
      </c>
      <c r="W766">
        <v>0.51798786612211201</v>
      </c>
      <c r="X766">
        <v>0.43904002641949413</v>
      </c>
      <c r="Y766">
        <v>0.44152775931951238</v>
      </c>
      <c r="Z766">
        <v>0.43826282619589191</v>
      </c>
      <c r="AA766">
        <v>0.65892571510906128</v>
      </c>
      <c r="AB766">
        <v>0.84186060297796506</v>
      </c>
      <c r="AC766">
        <v>0.7337010831495191</v>
      </c>
      <c r="AD766">
        <v>0.5756836068273804</v>
      </c>
      <c r="AE766">
        <v>144.50488411984131</v>
      </c>
      <c r="AF766">
        <v>858.62691002581539</v>
      </c>
      <c r="AG766">
        <v>1844.7040484801039</v>
      </c>
      <c r="AH766">
        <v>15246.633883578124</v>
      </c>
      <c r="AI766">
        <v>12650.141226440537</v>
      </c>
      <c r="AJ766">
        <v>33618.345298695895</v>
      </c>
      <c r="AK766">
        <v>14884.7592379535</v>
      </c>
      <c r="AL766">
        <v>1613.0624916018642</v>
      </c>
      <c r="AM766">
        <v>422.39860687959913</v>
      </c>
      <c r="AO766">
        <v>43844.489339772605</v>
      </c>
      <c r="AP766">
        <v>13.617705141325258</v>
      </c>
      <c r="AQ766">
        <v>47192.24363970977</v>
      </c>
      <c r="AR766">
        <v>13.799882329719688</v>
      </c>
      <c r="AS766" s="2">
        <f t="shared" si="78"/>
        <v>3347.7542999371653</v>
      </c>
      <c r="AT766" s="2">
        <f t="shared" si="79"/>
        <v>0.18217718839443009</v>
      </c>
      <c r="AV766">
        <f t="shared" si="80"/>
        <v>1317926.0247927532</v>
      </c>
      <c r="AW766">
        <f t="shared" si="81"/>
        <v>1332795.9893322592</v>
      </c>
      <c r="AY766">
        <f t="shared" si="82"/>
        <v>0</v>
      </c>
      <c r="AZ766">
        <f t="shared" si="83"/>
        <v>1</v>
      </c>
    </row>
    <row r="767" spans="1:52" x14ac:dyDescent="0.2">
      <c r="A767">
        <f t="shared" si="77"/>
        <v>763</v>
      </c>
      <c r="B767">
        <v>2.605029960458527E-2</v>
      </c>
      <c r="C767">
        <v>3.3920725795272132E-2</v>
      </c>
      <c r="D767">
        <v>6.6535979007593671E-2</v>
      </c>
      <c r="E767">
        <v>3.1992740964657096E-2</v>
      </c>
      <c r="F767">
        <v>3.3947522396509111E-3</v>
      </c>
      <c r="G767">
        <v>1.9480427734150372E-3</v>
      </c>
      <c r="H767">
        <v>2.6924371601056759E-2</v>
      </c>
      <c r="I767">
        <v>0.12929274799269005</v>
      </c>
      <c r="J767">
        <v>0</v>
      </c>
      <c r="K767">
        <v>0.4028842391571022</v>
      </c>
      <c r="L767">
        <v>0.16522099258707665</v>
      </c>
      <c r="M767">
        <v>0.83477900741292332</v>
      </c>
      <c r="N767">
        <v>5.136707563367101E-2</v>
      </c>
      <c r="O767" s="72">
        <v>0.99993615139801628</v>
      </c>
      <c r="P767">
        <v>0.99757779681667835</v>
      </c>
      <c r="Q767">
        <v>0.9968264623058396</v>
      </c>
      <c r="R767">
        <v>0.48714338463522222</v>
      </c>
      <c r="S767">
        <v>0.40523003804098212</v>
      </c>
      <c r="T767">
        <v>0.28134136345756411</v>
      </c>
      <c r="U767">
        <v>0.76525001391958036</v>
      </c>
      <c r="V767">
        <v>0.63979459272498784</v>
      </c>
      <c r="W767">
        <v>0.53735661368987797</v>
      </c>
      <c r="X767">
        <v>0.49608084480392722</v>
      </c>
      <c r="Y767">
        <v>0.37662153933241727</v>
      </c>
      <c r="Z767">
        <v>0.4258649196448423</v>
      </c>
      <c r="AA767">
        <v>0.61985856272081818</v>
      </c>
      <c r="AB767">
        <v>0.83912622142827009</v>
      </c>
      <c r="AC767">
        <v>0.77015574026380518</v>
      </c>
      <c r="AD767">
        <v>0.61490035726335046</v>
      </c>
      <c r="AE767">
        <v>225.06436385692285</v>
      </c>
      <c r="AF767">
        <v>942.70129564841284</v>
      </c>
      <c r="AG767">
        <v>1333.7185077096176</v>
      </c>
      <c r="AH767">
        <v>15290.203952196189</v>
      </c>
      <c r="AI767">
        <v>7836.3382488109701</v>
      </c>
      <c r="AJ767">
        <v>37235.03785476138</v>
      </c>
      <c r="AK767">
        <v>15710.626222969922</v>
      </c>
      <c r="AL767">
        <v>1557.5291971099516</v>
      </c>
      <c r="AM767">
        <v>340.71031221232425</v>
      </c>
      <c r="AO767">
        <v>41726.197391227543</v>
      </c>
      <c r="AP767">
        <v>13.634185416870739</v>
      </c>
      <c r="AQ767">
        <v>45822.636799417021</v>
      </c>
      <c r="AR767">
        <v>13.883860367700702</v>
      </c>
      <c r="AS767" s="2">
        <f t="shared" si="78"/>
        <v>4096.4394081894789</v>
      </c>
      <c r="AT767" s="2">
        <f t="shared" si="79"/>
        <v>0.24967495082996294</v>
      </c>
      <c r="AV767">
        <f t="shared" si="80"/>
        <v>1321692.3442958463</v>
      </c>
      <c r="AW767">
        <f t="shared" si="81"/>
        <v>1342563.3999706532</v>
      </c>
      <c r="AY767">
        <f t="shared" si="82"/>
        <v>0</v>
      </c>
      <c r="AZ767">
        <f t="shared" si="83"/>
        <v>1</v>
      </c>
    </row>
    <row r="768" spans="1:52" x14ac:dyDescent="0.2">
      <c r="A768">
        <f t="shared" ref="A768:A831" si="84">A767+1</f>
        <v>764</v>
      </c>
      <c r="B768">
        <v>2.4631067685310253E-2</v>
      </c>
      <c r="C768">
        <v>2.8766704417204136E-2</v>
      </c>
      <c r="D768">
        <v>3.863154729259588E-2</v>
      </c>
      <c r="E768">
        <v>2.343716843197707E-3</v>
      </c>
      <c r="F768">
        <v>3.1641743304352712E-3</v>
      </c>
      <c r="G768">
        <v>1.7115796014863726E-3</v>
      </c>
      <c r="H768">
        <v>4.2867149979064934E-2</v>
      </c>
      <c r="I768">
        <v>0.13018422011597675</v>
      </c>
      <c r="J768">
        <v>0</v>
      </c>
      <c r="K768">
        <v>0.39293737731904332</v>
      </c>
      <c r="L768">
        <v>0.17072646960988125</v>
      </c>
      <c r="M768">
        <v>0.82927353039011875</v>
      </c>
      <c r="N768">
        <v>5.9074396107754334E-2</v>
      </c>
      <c r="O768" s="72">
        <v>0.99999999091106551</v>
      </c>
      <c r="P768">
        <v>0.99898229561248819</v>
      </c>
      <c r="Q768">
        <v>0.94070872066781264</v>
      </c>
      <c r="R768">
        <v>0.50497111791410831</v>
      </c>
      <c r="S768">
        <v>0.41396212434949176</v>
      </c>
      <c r="T768">
        <v>0.23757213054167436</v>
      </c>
      <c r="U768">
        <v>0.78053751333572274</v>
      </c>
      <c r="V768">
        <v>0.65549818196256704</v>
      </c>
      <c r="W768">
        <v>0.557817755868522</v>
      </c>
      <c r="X768">
        <v>0.44181256980336198</v>
      </c>
      <c r="Y768">
        <v>0.43052776583711122</v>
      </c>
      <c r="Z768">
        <v>0.46605233463299689</v>
      </c>
      <c r="AA768">
        <v>0.63609753240199474</v>
      </c>
      <c r="AB768">
        <v>0.87857078496798791</v>
      </c>
      <c r="AC768">
        <v>0.79048525444402196</v>
      </c>
      <c r="AD768">
        <v>0.64493367470357466</v>
      </c>
      <c r="AE768">
        <v>168.26256955223161</v>
      </c>
      <c r="AF768">
        <v>1109.6082138742559</v>
      </c>
      <c r="AG768">
        <v>1282.8260215563621</v>
      </c>
      <c r="AH768">
        <v>15757.585074509676</v>
      </c>
      <c r="AI768">
        <v>20250.989134530282</v>
      </c>
      <c r="AJ768">
        <v>36992.282028391579</v>
      </c>
      <c r="AK768">
        <v>9104.2905450392936</v>
      </c>
      <c r="AL768">
        <v>2144.8242100635521</v>
      </c>
      <c r="AM768">
        <v>391.99837921149475</v>
      </c>
      <c r="AO768">
        <v>42293.077519688944</v>
      </c>
      <c r="AP768">
        <v>14.298533538580319</v>
      </c>
      <c r="AQ768">
        <v>46730.240577750454</v>
      </c>
      <c r="AR768">
        <v>14.507834023373825</v>
      </c>
      <c r="AS768" s="2">
        <f t="shared" si="78"/>
        <v>4437.1630580615092</v>
      </c>
      <c r="AT768" s="2">
        <f t="shared" si="79"/>
        <v>0.2093004847935056</v>
      </c>
      <c r="AV768">
        <f t="shared" si="80"/>
        <v>1387560.2763383428</v>
      </c>
      <c r="AW768">
        <f t="shared" si="81"/>
        <v>1404053.1617596322</v>
      </c>
      <c r="AY768">
        <f t="shared" si="82"/>
        <v>0</v>
      </c>
      <c r="AZ768">
        <f t="shared" si="83"/>
        <v>1</v>
      </c>
    </row>
    <row r="769" spans="1:52" x14ac:dyDescent="0.2">
      <c r="A769">
        <f t="shared" si="84"/>
        <v>765</v>
      </c>
      <c r="B769">
        <v>3.1499952572366041E-2</v>
      </c>
      <c r="C769">
        <v>3.732887753545544E-2</v>
      </c>
      <c r="D769">
        <v>5.8585516957209705E-2</v>
      </c>
      <c r="E769">
        <v>1.4210704965209042E-2</v>
      </c>
      <c r="F769">
        <v>3.4386216345843046E-3</v>
      </c>
      <c r="G769">
        <v>5.1012226806357178E-3</v>
      </c>
      <c r="H769">
        <v>3.341691685690229E-2</v>
      </c>
      <c r="I769">
        <v>0.12763098357006031</v>
      </c>
      <c r="J769">
        <v>0</v>
      </c>
      <c r="K769">
        <v>0.42333829705992115</v>
      </c>
      <c r="L769">
        <v>0.30870266269356605</v>
      </c>
      <c r="M769">
        <v>0.69129733730643395</v>
      </c>
      <c r="N769">
        <v>5.4424646333467448E-2</v>
      </c>
      <c r="O769" s="72">
        <v>0.99955060768089954</v>
      </c>
      <c r="P769">
        <v>0.99415639006393297</v>
      </c>
      <c r="Q769">
        <v>0.9206799175198257</v>
      </c>
      <c r="R769">
        <v>0.49749176351349134</v>
      </c>
      <c r="S769">
        <v>0.36121492778766495</v>
      </c>
      <c r="T769">
        <v>0.28781892946016829</v>
      </c>
      <c r="U769">
        <v>0.77840042953062694</v>
      </c>
      <c r="V769">
        <v>0.67886593109753535</v>
      </c>
      <c r="W769">
        <v>0.57649558224095887</v>
      </c>
      <c r="X769">
        <v>0.46543086256273447</v>
      </c>
      <c r="Y769">
        <v>0.45404514798755813</v>
      </c>
      <c r="Z769">
        <v>0.44802907947133647</v>
      </c>
      <c r="AA769">
        <v>0.63017346512715033</v>
      </c>
      <c r="AB769">
        <v>0.89184011206210556</v>
      </c>
      <c r="AC769">
        <v>0.72255281772457192</v>
      </c>
      <c r="AD769">
        <v>0.60973773550007537</v>
      </c>
      <c r="AE769">
        <v>206.31510800705436</v>
      </c>
      <c r="AF769">
        <v>1072.2302008653648</v>
      </c>
      <c r="AG769">
        <v>1376.022071007078</v>
      </c>
      <c r="AH769">
        <v>9877.5036286826162</v>
      </c>
      <c r="AI769">
        <v>14026.302752338222</v>
      </c>
      <c r="AJ769">
        <v>34011.626146026407</v>
      </c>
      <c r="AK769">
        <v>11689.690395100639</v>
      </c>
      <c r="AL769">
        <v>2146.8948072138091</v>
      </c>
      <c r="AM769">
        <v>252.14007650599476</v>
      </c>
      <c r="AO769">
        <v>40197.207369959346</v>
      </c>
      <c r="AP769">
        <v>14.253144902772188</v>
      </c>
      <c r="AQ769">
        <v>44702.725533224198</v>
      </c>
      <c r="AR769">
        <v>14.516122630206477</v>
      </c>
      <c r="AS769" s="2">
        <f t="shared" si="78"/>
        <v>4505.5181632648528</v>
      </c>
      <c r="AT769" s="2">
        <f t="shared" si="79"/>
        <v>0.26297772743428816</v>
      </c>
      <c r="AV769">
        <f t="shared" si="80"/>
        <v>1385117.2829072594</v>
      </c>
      <c r="AW769">
        <f t="shared" si="81"/>
        <v>1406909.5374874235</v>
      </c>
      <c r="AY769">
        <f t="shared" si="82"/>
        <v>0</v>
      </c>
      <c r="AZ769">
        <f t="shared" si="83"/>
        <v>1</v>
      </c>
    </row>
    <row r="770" spans="1:52" x14ac:dyDescent="0.2">
      <c r="A770">
        <f t="shared" si="84"/>
        <v>766</v>
      </c>
      <c r="B770">
        <v>2.4187072978386737E-2</v>
      </c>
      <c r="C770">
        <v>3.8015261701082714E-2</v>
      </c>
      <c r="D770">
        <v>3.1285081226858934E-2</v>
      </c>
      <c r="E770">
        <v>8.9337393548843853E-3</v>
      </c>
      <c r="F770">
        <v>3.4133975950720874E-3</v>
      </c>
      <c r="G770">
        <v>9.2850788129762751E-4</v>
      </c>
      <c r="H770">
        <v>3.5921786211146278E-2</v>
      </c>
      <c r="I770">
        <v>0.11772677836505795</v>
      </c>
      <c r="J770">
        <v>0</v>
      </c>
      <c r="K770">
        <v>0.46397257897718702</v>
      </c>
      <c r="L770">
        <v>0.26704538609131334</v>
      </c>
      <c r="M770">
        <v>0.73295461390868666</v>
      </c>
      <c r="N770">
        <v>6.3785864426807892E-2</v>
      </c>
      <c r="O770" s="72">
        <v>0.99999762601890496</v>
      </c>
      <c r="P770">
        <v>0.99995506136168033</v>
      </c>
      <c r="Q770">
        <v>0.96603628661964691</v>
      </c>
      <c r="R770">
        <v>0.51953279763056281</v>
      </c>
      <c r="S770">
        <v>0.36145316547111661</v>
      </c>
      <c r="T770">
        <v>0.14934901736116579</v>
      </c>
      <c r="U770">
        <v>0.79645182832979267</v>
      </c>
      <c r="V770">
        <v>0.67837976638063968</v>
      </c>
      <c r="W770">
        <v>0.51799656470975286</v>
      </c>
      <c r="X770">
        <v>0.42278174090099857</v>
      </c>
      <c r="Y770">
        <v>0.42932710722240525</v>
      </c>
      <c r="Z770">
        <v>0.4598406937812487</v>
      </c>
      <c r="AA770">
        <v>0.66665055822414621</v>
      </c>
      <c r="AB770">
        <v>0.88501786433157703</v>
      </c>
      <c r="AC770">
        <v>0.68000729682122019</v>
      </c>
      <c r="AD770">
        <v>0.55214385646161956</v>
      </c>
      <c r="AE770">
        <v>159.29009609599237</v>
      </c>
      <c r="AF770">
        <v>1189.9265633223749</v>
      </c>
      <c r="AG770">
        <v>1208.0901393645377</v>
      </c>
      <c r="AH770">
        <v>11930.033494632369</v>
      </c>
      <c r="AI770">
        <v>14516.402322972583</v>
      </c>
      <c r="AJ770">
        <v>39157.261234101497</v>
      </c>
      <c r="AK770">
        <v>15005.254155301553</v>
      </c>
      <c r="AL770">
        <v>1417.1823083751829</v>
      </c>
      <c r="AM770">
        <v>433.11082718002427</v>
      </c>
      <c r="AO770">
        <v>44995.032456874578</v>
      </c>
      <c r="AP770">
        <v>14.045309014014192</v>
      </c>
      <c r="AQ770">
        <v>47210.144491931285</v>
      </c>
      <c r="AR770">
        <v>14.269943550839608</v>
      </c>
      <c r="AS770" s="2">
        <f t="shared" si="78"/>
        <v>2215.1120350567071</v>
      </c>
      <c r="AT770" s="2">
        <f t="shared" si="79"/>
        <v>0.22463453682541612</v>
      </c>
      <c r="AV770">
        <f t="shared" si="80"/>
        <v>1359535.8689445446</v>
      </c>
      <c r="AW770">
        <f t="shared" si="81"/>
        <v>1379784.2105920296</v>
      </c>
      <c r="AY770">
        <f t="shared" si="82"/>
        <v>0</v>
      </c>
      <c r="AZ770">
        <f t="shared" si="83"/>
        <v>1</v>
      </c>
    </row>
    <row r="771" spans="1:52" x14ac:dyDescent="0.2">
      <c r="A771">
        <f t="shared" si="84"/>
        <v>767</v>
      </c>
      <c r="B771">
        <v>2.8937870951368128E-2</v>
      </c>
      <c r="C771">
        <v>4.0099350958362812E-2</v>
      </c>
      <c r="D771">
        <v>5.0358957923745229E-2</v>
      </c>
      <c r="E771">
        <v>4.7317126053637693E-2</v>
      </c>
      <c r="F771">
        <v>3.319998913367437E-3</v>
      </c>
      <c r="G771">
        <v>5.3427787462112823E-3</v>
      </c>
      <c r="H771">
        <v>1.4594647688614029E-2</v>
      </c>
      <c r="I771">
        <v>0.13824289608698415</v>
      </c>
      <c r="J771">
        <v>0</v>
      </c>
      <c r="K771">
        <v>0.41039446663802592</v>
      </c>
      <c r="L771">
        <v>0.21245779297509937</v>
      </c>
      <c r="M771">
        <v>0.78754220702490063</v>
      </c>
      <c r="N771">
        <v>3.619677815645124E-2</v>
      </c>
      <c r="O771" s="72">
        <v>0.9994104543941652</v>
      </c>
      <c r="P771">
        <v>0.9902682140425535</v>
      </c>
      <c r="Q771">
        <v>0.99039732427232119</v>
      </c>
      <c r="R771">
        <v>0.4827743889659899</v>
      </c>
      <c r="S771">
        <v>0.41479028038619559</v>
      </c>
      <c r="T771">
        <v>0.25364308160138971</v>
      </c>
      <c r="U771">
        <v>0.77740589587206743</v>
      </c>
      <c r="V771">
        <v>0.69274806854684656</v>
      </c>
      <c r="W771">
        <v>0.49385873949276349</v>
      </c>
      <c r="X771">
        <v>0.45066465150153068</v>
      </c>
      <c r="Y771">
        <v>0.47762169522947406</v>
      </c>
      <c r="Z771">
        <v>0.42305706658843695</v>
      </c>
      <c r="AA771">
        <v>0.63151964697986662</v>
      </c>
      <c r="AB771">
        <v>0.81845275142657226</v>
      </c>
      <c r="AC771">
        <v>0.78025095342428419</v>
      </c>
      <c r="AD771">
        <v>0.61860668536367758</v>
      </c>
      <c r="AE771">
        <v>179.28916576137715</v>
      </c>
      <c r="AF771">
        <v>1034.9654740836513</v>
      </c>
      <c r="AG771">
        <v>1459.2318722324264</v>
      </c>
      <c r="AH771">
        <v>14011.144274308028</v>
      </c>
      <c r="AI771">
        <v>9963.9287666798264</v>
      </c>
      <c r="AJ771">
        <v>37568.062614639573</v>
      </c>
      <c r="AK771">
        <v>16045.007820683863</v>
      </c>
      <c r="AL771">
        <v>1270.8761562343195</v>
      </c>
      <c r="AM771">
        <v>370.06957514206817</v>
      </c>
      <c r="AO771">
        <v>42381.296650908364</v>
      </c>
      <c r="AP771">
        <v>13.374318997311482</v>
      </c>
      <c r="AQ771">
        <v>46468.247663423834</v>
      </c>
      <c r="AR771">
        <v>13.618265189679164</v>
      </c>
      <c r="AS771" s="2">
        <f t="shared" si="78"/>
        <v>4086.9510125154702</v>
      </c>
      <c r="AT771" s="2">
        <f t="shared" si="79"/>
        <v>0.243946192367682</v>
      </c>
      <c r="AV771">
        <f t="shared" si="80"/>
        <v>1295050.6030802398</v>
      </c>
      <c r="AW771">
        <f t="shared" si="81"/>
        <v>1315358.2713044926</v>
      </c>
      <c r="AY771">
        <f t="shared" si="82"/>
        <v>0</v>
      </c>
      <c r="AZ771">
        <f t="shared" si="83"/>
        <v>1</v>
      </c>
    </row>
    <row r="772" spans="1:52" x14ac:dyDescent="0.2">
      <c r="A772">
        <f t="shared" si="84"/>
        <v>768</v>
      </c>
      <c r="B772">
        <v>2.2521295096829833E-2</v>
      </c>
      <c r="C772">
        <v>3.0806722544526949E-2</v>
      </c>
      <c r="D772">
        <v>3.969908941887601E-2</v>
      </c>
      <c r="E772">
        <v>1.0471500499288558E-2</v>
      </c>
      <c r="F772">
        <v>3.2658672462132486E-3</v>
      </c>
      <c r="G772">
        <v>6.3425012577999268E-3</v>
      </c>
      <c r="H772">
        <v>2.661303083937118E-2</v>
      </c>
      <c r="I772">
        <v>0.13939772207599932</v>
      </c>
      <c r="J772">
        <v>0</v>
      </c>
      <c r="K772">
        <v>0.40471646458788268</v>
      </c>
      <c r="L772">
        <v>0.14244411033594093</v>
      </c>
      <c r="M772">
        <v>0.85755588966405905</v>
      </c>
      <c r="N772">
        <v>5.9935152009430004E-2</v>
      </c>
      <c r="O772" s="72">
        <v>0.99878166597154294</v>
      </c>
      <c r="P772">
        <v>0.99176842322574033</v>
      </c>
      <c r="Q772">
        <v>0.87067476382397624</v>
      </c>
      <c r="R772">
        <v>0.48874214612497413</v>
      </c>
      <c r="S772">
        <v>0.40108258801229313</v>
      </c>
      <c r="T772">
        <v>0.31382040215145535</v>
      </c>
      <c r="U772">
        <v>0.783643097103911</v>
      </c>
      <c r="V772">
        <v>0.66699515865360515</v>
      </c>
      <c r="W772">
        <v>0.46954599164435451</v>
      </c>
      <c r="X772">
        <v>0.43976933358383474</v>
      </c>
      <c r="Y772">
        <v>0.44232732420562199</v>
      </c>
      <c r="Z772">
        <v>0.49265141132444545</v>
      </c>
      <c r="AA772">
        <v>0.66855807525629607</v>
      </c>
      <c r="AB772">
        <v>0.77817791150606153</v>
      </c>
      <c r="AC772">
        <v>0.72390486747040583</v>
      </c>
      <c r="AD772">
        <v>0.61794336033160135</v>
      </c>
      <c r="AE772">
        <v>240.99470695759152</v>
      </c>
      <c r="AF772">
        <v>960.17682133816697</v>
      </c>
      <c r="AG772">
        <v>1893.3930609666975</v>
      </c>
      <c r="AH772">
        <v>14793.7782438576</v>
      </c>
      <c r="AI772">
        <v>12181.289264306293</v>
      </c>
      <c r="AJ772">
        <v>44348.154201756137</v>
      </c>
      <c r="AK772">
        <v>8133.5768715572995</v>
      </c>
      <c r="AL772">
        <v>1927.164740046471</v>
      </c>
      <c r="AM772">
        <v>351.59546676462162</v>
      </c>
      <c r="AO772">
        <v>41511.446041953226</v>
      </c>
      <c r="AP772">
        <v>12.84657000553544</v>
      </c>
      <c r="AQ772">
        <v>46689.789390907157</v>
      </c>
      <c r="AR772">
        <v>12.952349103139737</v>
      </c>
      <c r="AS772" s="2">
        <f t="shared" si="78"/>
        <v>5178.3433489539311</v>
      </c>
      <c r="AT772" s="2">
        <f t="shared" si="79"/>
        <v>0.10577909760429627</v>
      </c>
      <c r="AV772">
        <f t="shared" si="80"/>
        <v>1243145.5545115909</v>
      </c>
      <c r="AW772">
        <f t="shared" si="81"/>
        <v>1248545.1209230665</v>
      </c>
      <c r="AY772">
        <f t="shared" si="82"/>
        <v>0</v>
      </c>
      <c r="AZ772">
        <f t="shared" si="83"/>
        <v>1</v>
      </c>
    </row>
    <row r="773" spans="1:52" x14ac:dyDescent="0.2">
      <c r="A773">
        <f t="shared" si="84"/>
        <v>769</v>
      </c>
      <c r="B773">
        <v>2.6810962386123571E-2</v>
      </c>
      <c r="C773">
        <v>5.0381876349993693E-2</v>
      </c>
      <c r="D773">
        <v>5.1071860832546556E-2</v>
      </c>
      <c r="E773">
        <v>1.2499779512894937E-2</v>
      </c>
      <c r="F773">
        <v>3.4383407913500807E-3</v>
      </c>
      <c r="G773">
        <v>4.9017212428849686E-3</v>
      </c>
      <c r="H773">
        <v>9.6439652174029021E-3</v>
      </c>
      <c r="I773">
        <v>0.1161913795400648</v>
      </c>
      <c r="J773">
        <v>0</v>
      </c>
      <c r="K773">
        <v>0.41666107518318746</v>
      </c>
      <c r="L773">
        <v>0.21266419493657984</v>
      </c>
      <c r="M773">
        <v>0.78733580506342016</v>
      </c>
      <c r="N773">
        <v>4.4941817964561773E-2</v>
      </c>
      <c r="O773" s="72">
        <v>0.99914612063247021</v>
      </c>
      <c r="P773">
        <v>0.99837527114250846</v>
      </c>
      <c r="Q773">
        <v>0.99125288927730892</v>
      </c>
      <c r="R773">
        <v>0.50584161293781238</v>
      </c>
      <c r="S773">
        <v>0.46143528933226541</v>
      </c>
      <c r="T773">
        <v>0.23251962002922566</v>
      </c>
      <c r="U773">
        <v>0.76987071919183903</v>
      </c>
      <c r="V773">
        <v>0.69173406047427266</v>
      </c>
      <c r="W773">
        <v>0.53524858730676927</v>
      </c>
      <c r="X773">
        <v>0.48133466696440019</v>
      </c>
      <c r="Y773">
        <v>0.44398326846397312</v>
      </c>
      <c r="Z773">
        <v>0.42886556164207162</v>
      </c>
      <c r="AA773">
        <v>0.66191613974720132</v>
      </c>
      <c r="AB773">
        <v>0.80655923813174613</v>
      </c>
      <c r="AC773">
        <v>0.71782022987669614</v>
      </c>
      <c r="AD773">
        <v>0.62164603682245145</v>
      </c>
      <c r="AE773">
        <v>189.44522883010049</v>
      </c>
      <c r="AF773">
        <v>871.26814515025501</v>
      </c>
      <c r="AG773">
        <v>1661.7644175787839</v>
      </c>
      <c r="AH773">
        <v>11718.999252315587</v>
      </c>
      <c r="AI773">
        <v>6243.595879322902</v>
      </c>
      <c r="AJ773">
        <v>40638.466825965268</v>
      </c>
      <c r="AK773">
        <v>13305.978032617568</v>
      </c>
      <c r="AL773">
        <v>2300.1813669401872</v>
      </c>
      <c r="AM773">
        <v>413.22398551883214</v>
      </c>
      <c r="AO773">
        <v>42089.778674193592</v>
      </c>
      <c r="AP773">
        <v>13.161670298788923</v>
      </c>
      <c r="AQ773">
        <v>46889.672081938355</v>
      </c>
      <c r="AR773">
        <v>13.346252691096518</v>
      </c>
      <c r="AS773" s="2">
        <f t="shared" si="78"/>
        <v>4799.893407744763</v>
      </c>
      <c r="AT773" s="2">
        <f t="shared" si="79"/>
        <v>0.1845823923075951</v>
      </c>
      <c r="AV773">
        <f t="shared" si="80"/>
        <v>1274077.2512046986</v>
      </c>
      <c r="AW773">
        <f t="shared" si="81"/>
        <v>1287735.5970277137</v>
      </c>
      <c r="AY773">
        <f t="shared" si="82"/>
        <v>0</v>
      </c>
      <c r="AZ773">
        <f t="shared" si="83"/>
        <v>1</v>
      </c>
    </row>
    <row r="774" spans="1:52" x14ac:dyDescent="0.2">
      <c r="A774">
        <f t="shared" si="84"/>
        <v>770</v>
      </c>
      <c r="B774">
        <v>2.5370790665901866E-2</v>
      </c>
      <c r="C774">
        <v>3.5519690893942114E-2</v>
      </c>
      <c r="D774">
        <v>3.050489843706998E-2</v>
      </c>
      <c r="E774">
        <v>1.5286523883008107E-2</v>
      </c>
      <c r="F774">
        <v>3.2647968653253807E-3</v>
      </c>
      <c r="G774">
        <v>1.255089598847503E-2</v>
      </c>
      <c r="H774">
        <v>3.9914417757293874E-2</v>
      </c>
      <c r="I774">
        <v>0.11707928009370427</v>
      </c>
      <c r="J774">
        <v>0</v>
      </c>
      <c r="K774">
        <v>0.45846396775357201</v>
      </c>
      <c r="L774">
        <v>0.26519619571127695</v>
      </c>
      <c r="M774">
        <v>0.73480380428872305</v>
      </c>
      <c r="N774">
        <v>4.0088253332237374E-2</v>
      </c>
      <c r="O774" s="72">
        <v>0.9994506479899008</v>
      </c>
      <c r="P774">
        <v>0.99999996004376746</v>
      </c>
      <c r="Q774">
        <v>0.9938376994603273</v>
      </c>
      <c r="R774">
        <v>0.44426497008803356</v>
      </c>
      <c r="S774">
        <v>0.43660941808309606</v>
      </c>
      <c r="T774">
        <v>0.19864614351987853</v>
      </c>
      <c r="U774">
        <v>0.76435433451380574</v>
      </c>
      <c r="V774">
        <v>0.62619513633607804</v>
      </c>
      <c r="W774">
        <v>0.54770004962361862</v>
      </c>
      <c r="X774">
        <v>0.43027043295893891</v>
      </c>
      <c r="Y774">
        <v>0.47243370685572394</v>
      </c>
      <c r="Z774">
        <v>0.40109530470742139</v>
      </c>
      <c r="AA774">
        <v>0.72929895002114398</v>
      </c>
      <c r="AB774">
        <v>0.84829878219498556</v>
      </c>
      <c r="AC774">
        <v>0.72455742386990807</v>
      </c>
      <c r="AD774">
        <v>0.63190519116949395</v>
      </c>
      <c r="AE774">
        <v>243.37056625017539</v>
      </c>
      <c r="AF774">
        <v>1022.4826670018648</v>
      </c>
      <c r="AG774">
        <v>1557.6196621021832</v>
      </c>
      <c r="AH774">
        <v>13502.223797259552</v>
      </c>
      <c r="AI774">
        <v>8204.2736105513177</v>
      </c>
      <c r="AJ774">
        <v>34647.599336786014</v>
      </c>
      <c r="AK774">
        <v>13162.513334753266</v>
      </c>
      <c r="AL774">
        <v>1918.0874077993658</v>
      </c>
      <c r="AM774">
        <v>389.92120324894455</v>
      </c>
      <c r="AO774">
        <v>45906.452602771606</v>
      </c>
      <c r="AP774">
        <v>13.696732425641715</v>
      </c>
      <c r="AQ774">
        <v>46523.336711251854</v>
      </c>
      <c r="AR774">
        <v>13.95243834632512</v>
      </c>
      <c r="AS774" s="2">
        <f t="shared" ref="AS774:AS837" si="85">AQ774-AO774</f>
        <v>616.88410848024796</v>
      </c>
      <c r="AT774" s="2">
        <f t="shared" ref="AT774:AT837" si="86">AR774-AP774</f>
        <v>0.25570592068340581</v>
      </c>
      <c r="AV774">
        <f t="shared" ref="AV774:AV837" si="87">$AW$1*AP774-AO774</f>
        <v>1323766.7899614</v>
      </c>
      <c r="AW774">
        <f t="shared" ref="AW774:AW837" si="88">$AW$1*AR774-AQ774</f>
        <v>1348720.4979212601</v>
      </c>
      <c r="AY774">
        <f t="shared" ref="AY774:AY837" si="89">IF(AV774=MAX($AV774:$AW774),1,0)</f>
        <v>0</v>
      </c>
      <c r="AZ774">
        <f t="shared" ref="AZ774:AZ837" si="90">IF(AW774=MAX($AV774:$AW774),1,0)</f>
        <v>1</v>
      </c>
    </row>
    <row r="775" spans="1:52" x14ac:dyDescent="0.2">
      <c r="A775">
        <f t="shared" si="84"/>
        <v>771</v>
      </c>
      <c r="B775">
        <v>2.1870795956103816E-2</v>
      </c>
      <c r="C775">
        <v>4.3065186203601336E-2</v>
      </c>
      <c r="D775">
        <v>3.9078430366270456E-2</v>
      </c>
      <c r="E775">
        <v>8.1355846607953086E-3</v>
      </c>
      <c r="F775">
        <v>3.3686408165112258E-3</v>
      </c>
      <c r="G775">
        <v>3.4814647415269406E-2</v>
      </c>
      <c r="H775">
        <v>4.5863042138431731E-2</v>
      </c>
      <c r="I775">
        <v>0.12737930697669328</v>
      </c>
      <c r="J775">
        <v>0</v>
      </c>
      <c r="K775">
        <v>0.42722382523860447</v>
      </c>
      <c r="L775">
        <v>0.14740858802053633</v>
      </c>
      <c r="M775">
        <v>0.85259141197946364</v>
      </c>
      <c r="N775">
        <v>4.683552444624213E-2</v>
      </c>
      <c r="O775" s="72">
        <v>0.99873469183486585</v>
      </c>
      <c r="P775">
        <v>0.99991063200224828</v>
      </c>
      <c r="Q775">
        <v>0.95577390334817003</v>
      </c>
      <c r="R775">
        <v>0.45658005980660454</v>
      </c>
      <c r="S775">
        <v>0.32742190688424089</v>
      </c>
      <c r="T775">
        <v>0.17127704572009861</v>
      </c>
      <c r="U775">
        <v>0.79189445563273853</v>
      </c>
      <c r="V775">
        <v>0.67238621123106435</v>
      </c>
      <c r="W775">
        <v>0.53190399676594358</v>
      </c>
      <c r="X775">
        <v>0.44229855591706529</v>
      </c>
      <c r="Y775">
        <v>0.45176845749203254</v>
      </c>
      <c r="Z775">
        <v>0.46443477347455986</v>
      </c>
      <c r="AA775">
        <v>0.64725241126927446</v>
      </c>
      <c r="AB775">
        <v>0.78813904555065839</v>
      </c>
      <c r="AC775">
        <v>0.59021447254441473</v>
      </c>
      <c r="AD775">
        <v>0.63020986710452642</v>
      </c>
      <c r="AE775">
        <v>203.02531550654396</v>
      </c>
      <c r="AF775">
        <v>960.35083724526146</v>
      </c>
      <c r="AG775">
        <v>1659.1990228308321</v>
      </c>
      <c r="AH775">
        <v>11336.697006119102</v>
      </c>
      <c r="AI775">
        <v>12310.768803169873</v>
      </c>
      <c r="AJ775">
        <v>39907.982303873941</v>
      </c>
      <c r="AK775">
        <v>12007.425195783402</v>
      </c>
      <c r="AL775">
        <v>1499.2356562310688</v>
      </c>
      <c r="AM775">
        <v>484.23755308814373</v>
      </c>
      <c r="AO775">
        <v>48633.078175558323</v>
      </c>
      <c r="AP775">
        <v>12.702983813438587</v>
      </c>
      <c r="AQ775">
        <v>48057.024661377582</v>
      </c>
      <c r="AR775">
        <v>12.870073673815673</v>
      </c>
      <c r="AS775" s="2">
        <f t="shared" si="85"/>
        <v>-576.05351418074133</v>
      </c>
      <c r="AT775" s="2">
        <f t="shared" si="86"/>
        <v>0.16708986037708584</v>
      </c>
      <c r="AV775">
        <f t="shared" si="87"/>
        <v>1221665.3031683005</v>
      </c>
      <c r="AW775">
        <f t="shared" si="88"/>
        <v>1238950.3427201898</v>
      </c>
      <c r="AY775">
        <f t="shared" si="89"/>
        <v>0</v>
      </c>
      <c r="AZ775">
        <f t="shared" si="90"/>
        <v>1</v>
      </c>
    </row>
    <row r="776" spans="1:52" x14ac:dyDescent="0.2">
      <c r="A776">
        <f t="shared" si="84"/>
        <v>772</v>
      </c>
      <c r="B776">
        <v>2.9233932354181924E-2</v>
      </c>
      <c r="C776">
        <v>2.7610071124537488E-2</v>
      </c>
      <c r="D776">
        <v>3.4527656800803365E-2</v>
      </c>
      <c r="E776">
        <v>2.2035873523390204E-2</v>
      </c>
      <c r="F776">
        <v>3.2902023335483676E-3</v>
      </c>
      <c r="G776">
        <v>6.739881985545937E-3</v>
      </c>
      <c r="H776">
        <v>2.8781781350255109E-2</v>
      </c>
      <c r="I776">
        <v>0.1286357777964442</v>
      </c>
      <c r="J776">
        <v>0</v>
      </c>
      <c r="K776">
        <v>0.41781773912464659</v>
      </c>
      <c r="L776">
        <v>0.26159633485930367</v>
      </c>
      <c r="M776">
        <v>0.73840366514069633</v>
      </c>
      <c r="N776">
        <v>7.2413909591342751E-2</v>
      </c>
      <c r="O776" s="72">
        <v>0.99996263972668387</v>
      </c>
      <c r="P776">
        <v>0.99949135829676061</v>
      </c>
      <c r="Q776">
        <v>0.99056029217024388</v>
      </c>
      <c r="R776">
        <v>0.46028908261811219</v>
      </c>
      <c r="S776">
        <v>0.2925197507476851</v>
      </c>
      <c r="T776">
        <v>0.1487812239285583</v>
      </c>
      <c r="U776">
        <v>0.78479597742505447</v>
      </c>
      <c r="V776">
        <v>0.58132347981838661</v>
      </c>
      <c r="W776">
        <v>0.58886522910670835</v>
      </c>
      <c r="X776">
        <v>0.45696337273979659</v>
      </c>
      <c r="Y776">
        <v>0.41029894675765127</v>
      </c>
      <c r="Z776">
        <v>0.4034562809851478</v>
      </c>
      <c r="AA776">
        <v>0.7295263379577086</v>
      </c>
      <c r="AB776">
        <v>0.83120654838489616</v>
      </c>
      <c r="AC776">
        <v>0.72387271706686618</v>
      </c>
      <c r="AD776">
        <v>0.62397256040907156</v>
      </c>
      <c r="AE776">
        <v>217.45799856135295</v>
      </c>
      <c r="AF776">
        <v>908.32815991408006</v>
      </c>
      <c r="AG776">
        <v>1895.5583446252249</v>
      </c>
      <c r="AH776">
        <v>13225.424333034198</v>
      </c>
      <c r="AI776">
        <v>10311.436894035838</v>
      </c>
      <c r="AJ776">
        <v>39310.856840484084</v>
      </c>
      <c r="AK776">
        <v>14667.078379697283</v>
      </c>
      <c r="AL776">
        <v>1674.9464482261865</v>
      </c>
      <c r="AM776">
        <v>294.8750781448515</v>
      </c>
      <c r="AO776">
        <v>47073.321031054365</v>
      </c>
      <c r="AP776">
        <v>13.417391659590784</v>
      </c>
      <c r="AQ776">
        <v>45044.444077166838</v>
      </c>
      <c r="AR776">
        <v>13.702272311964224</v>
      </c>
      <c r="AS776" s="2">
        <f t="shared" si="85"/>
        <v>-2028.8769538875276</v>
      </c>
      <c r="AT776" s="2">
        <f t="shared" si="86"/>
        <v>0.28488065237343996</v>
      </c>
      <c r="AV776">
        <f t="shared" si="87"/>
        <v>1294665.8449280239</v>
      </c>
      <c r="AW776">
        <f t="shared" si="88"/>
        <v>1325182.7871192556</v>
      </c>
      <c r="AY776">
        <f t="shared" si="89"/>
        <v>0</v>
      </c>
      <c r="AZ776">
        <f t="shared" si="90"/>
        <v>1</v>
      </c>
    </row>
    <row r="777" spans="1:52" x14ac:dyDescent="0.2">
      <c r="A777">
        <f t="shared" si="84"/>
        <v>773</v>
      </c>
      <c r="B777">
        <v>2.4452781717089294E-2</v>
      </c>
      <c r="C777">
        <v>4.105012025727417E-2</v>
      </c>
      <c r="D777">
        <v>2.8596915267054379E-2</v>
      </c>
      <c r="E777">
        <v>1.1818676699829056E-2</v>
      </c>
      <c r="F777">
        <v>3.3557026832294889E-3</v>
      </c>
      <c r="G777">
        <v>1.4245818953722678E-2</v>
      </c>
      <c r="H777">
        <v>2.0139967463570878E-2</v>
      </c>
      <c r="I777">
        <v>0.12723646802715377</v>
      </c>
      <c r="J777">
        <v>0</v>
      </c>
      <c r="K777">
        <v>0.45328221008607716</v>
      </c>
      <c r="L777">
        <v>0.22282383333498867</v>
      </c>
      <c r="M777">
        <v>0.77717616666501133</v>
      </c>
      <c r="N777">
        <v>6.0286783349698725E-2</v>
      </c>
      <c r="O777" s="72">
        <v>0.99460873536278371</v>
      </c>
      <c r="P777">
        <v>0.99741967739361992</v>
      </c>
      <c r="Q777">
        <v>0.994098530957509</v>
      </c>
      <c r="R777">
        <v>0.49325336231817596</v>
      </c>
      <c r="S777">
        <v>0.40930024219760808</v>
      </c>
      <c r="T777">
        <v>0.26441276272770653</v>
      </c>
      <c r="U777">
        <v>0.7874377594586075</v>
      </c>
      <c r="V777">
        <v>0.67976097166006366</v>
      </c>
      <c r="W777">
        <v>0.5424582752086291</v>
      </c>
      <c r="X777">
        <v>0.46392879428061806</v>
      </c>
      <c r="Y777">
        <v>0.42982561394101548</v>
      </c>
      <c r="Z777">
        <v>0.48393471063346516</v>
      </c>
      <c r="AA777">
        <v>0.62758496130313624</v>
      </c>
      <c r="AB777">
        <v>0.77952078022326554</v>
      </c>
      <c r="AC777">
        <v>0.74070754669263406</v>
      </c>
      <c r="AD777">
        <v>0.63960221737236023</v>
      </c>
      <c r="AE777">
        <v>264.29337680075071</v>
      </c>
      <c r="AF777">
        <v>1207.1440711311661</v>
      </c>
      <c r="AG777">
        <v>1787.4967592030866</v>
      </c>
      <c r="AH777">
        <v>12497.380985762948</v>
      </c>
      <c r="AI777">
        <v>9008.3164369194437</v>
      </c>
      <c r="AJ777">
        <v>34867.244475100844</v>
      </c>
      <c r="AK777">
        <v>11722.874484405682</v>
      </c>
      <c r="AL777">
        <v>2051.1446467158521</v>
      </c>
      <c r="AM777">
        <v>315.99411455263095</v>
      </c>
      <c r="AO777">
        <v>41352.791873214912</v>
      </c>
      <c r="AP777">
        <v>12.928145007654543</v>
      </c>
      <c r="AQ777">
        <v>45494.273532841558</v>
      </c>
      <c r="AR777">
        <v>13.036762765253533</v>
      </c>
      <c r="AS777" s="2">
        <f t="shared" si="85"/>
        <v>4141.4816596266464</v>
      </c>
      <c r="AT777" s="2">
        <f t="shared" si="86"/>
        <v>0.10861775759899039</v>
      </c>
      <c r="AV777">
        <f t="shared" si="87"/>
        <v>1251461.7088922393</v>
      </c>
      <c r="AW777">
        <f t="shared" si="88"/>
        <v>1258182.0029925117</v>
      </c>
      <c r="AY777">
        <f t="shared" si="89"/>
        <v>0</v>
      </c>
      <c r="AZ777">
        <f t="shared" si="90"/>
        <v>1</v>
      </c>
    </row>
    <row r="778" spans="1:52" x14ac:dyDescent="0.2">
      <c r="A778">
        <f t="shared" si="84"/>
        <v>774</v>
      </c>
      <c r="B778">
        <v>2.6192043701720791E-2</v>
      </c>
      <c r="C778">
        <v>3.2090860774282429E-2</v>
      </c>
      <c r="D778">
        <v>4.1587051577658851E-2</v>
      </c>
      <c r="E778">
        <v>1.7467950975503688E-2</v>
      </c>
      <c r="F778">
        <v>3.1898247241334376E-3</v>
      </c>
      <c r="G778">
        <v>9.9721840636377967E-3</v>
      </c>
      <c r="H778">
        <v>2.2003007065096499E-2</v>
      </c>
      <c r="I778">
        <v>0.12873891667979415</v>
      </c>
      <c r="J778">
        <v>0</v>
      </c>
      <c r="K778">
        <v>0.43473289124502701</v>
      </c>
      <c r="L778">
        <v>0.23146221851922688</v>
      </c>
      <c r="M778">
        <v>0.76853778148077312</v>
      </c>
      <c r="N778">
        <v>6.3941482408131467E-2</v>
      </c>
      <c r="O778" s="72">
        <v>0.98498695569199191</v>
      </c>
      <c r="P778">
        <v>0.99999112227479281</v>
      </c>
      <c r="Q778">
        <v>0.98253608370425816</v>
      </c>
      <c r="R778">
        <v>0.55217429000444807</v>
      </c>
      <c r="S778">
        <v>0.40405658967999192</v>
      </c>
      <c r="T778">
        <v>0.1906443848896785</v>
      </c>
      <c r="U778">
        <v>0.79203958149088338</v>
      </c>
      <c r="V778">
        <v>0.69626618917899763</v>
      </c>
      <c r="W778">
        <v>0.5505038449213514</v>
      </c>
      <c r="X778">
        <v>0.48129467204927279</v>
      </c>
      <c r="Y778">
        <v>0.43726247315168765</v>
      </c>
      <c r="Z778">
        <v>0.42734762435381018</v>
      </c>
      <c r="AA778">
        <v>0.57931697108946001</v>
      </c>
      <c r="AB778">
        <v>0.82023698528563704</v>
      </c>
      <c r="AC778">
        <v>0.72139315939973236</v>
      </c>
      <c r="AD778">
        <v>0.59870270554770322</v>
      </c>
      <c r="AE778">
        <v>232.25530673778974</v>
      </c>
      <c r="AF778">
        <v>1088.2133376045761</v>
      </c>
      <c r="AG778">
        <v>1452.3553605239824</v>
      </c>
      <c r="AH778">
        <v>10512.166491455861</v>
      </c>
      <c r="AI778">
        <v>16586.185464453119</v>
      </c>
      <c r="AJ778">
        <v>40972.411392258429</v>
      </c>
      <c r="AK778">
        <v>17543.974638273095</v>
      </c>
      <c r="AL778">
        <v>1853.9894215552761</v>
      </c>
      <c r="AM778">
        <v>460.97054244788518</v>
      </c>
      <c r="AO778">
        <v>42122.241027821343</v>
      </c>
      <c r="AP778">
        <v>13.334276975198019</v>
      </c>
      <c r="AQ778">
        <v>47655.884171827398</v>
      </c>
      <c r="AR778">
        <v>13.511221152037015</v>
      </c>
      <c r="AS778" s="2">
        <f t="shared" si="85"/>
        <v>5533.6431440060551</v>
      </c>
      <c r="AT778" s="2">
        <f t="shared" si="86"/>
        <v>0.17694417683899566</v>
      </c>
      <c r="AV778">
        <f t="shared" si="87"/>
        <v>1291305.4564919807</v>
      </c>
      <c r="AW778">
        <f t="shared" si="88"/>
        <v>1303466.231031874</v>
      </c>
      <c r="AY778">
        <f t="shared" si="89"/>
        <v>0</v>
      </c>
      <c r="AZ778">
        <f t="shared" si="90"/>
        <v>1</v>
      </c>
    </row>
    <row r="779" spans="1:52" x14ac:dyDescent="0.2">
      <c r="A779">
        <f t="shared" si="84"/>
        <v>775</v>
      </c>
      <c r="B779">
        <v>2.9588801747858273E-2</v>
      </c>
      <c r="C779">
        <v>2.0893926699690972E-2</v>
      </c>
      <c r="D779">
        <v>4.9812393680348288E-2</v>
      </c>
      <c r="E779">
        <v>1.0726015855282447E-2</v>
      </c>
      <c r="F779">
        <v>3.3652618329105266E-3</v>
      </c>
      <c r="G779">
        <v>1.3432189770439029E-2</v>
      </c>
      <c r="H779">
        <v>3.1687090713693689E-2</v>
      </c>
      <c r="I779">
        <v>0.12892451673059885</v>
      </c>
      <c r="J779">
        <v>0</v>
      </c>
      <c r="K779">
        <v>0.48026994628931219</v>
      </c>
      <c r="L779">
        <v>0.23724148464887396</v>
      </c>
      <c r="M779">
        <v>0.76275851535112604</v>
      </c>
      <c r="N779">
        <v>5.2734929246737436E-2</v>
      </c>
      <c r="O779" s="72">
        <v>0.98292703221384092</v>
      </c>
      <c r="P779">
        <v>0.97898981272663343</v>
      </c>
      <c r="Q779">
        <v>0.96085799972785624</v>
      </c>
      <c r="R779">
        <v>0.44795762413395246</v>
      </c>
      <c r="S779">
        <v>0.4162486802244223</v>
      </c>
      <c r="T779">
        <v>0.31160965849626143</v>
      </c>
      <c r="U779">
        <v>0.78544352969411979</v>
      </c>
      <c r="V779">
        <v>0.60536931346119383</v>
      </c>
      <c r="W779">
        <v>0.53678936878045103</v>
      </c>
      <c r="X779">
        <v>0.4203334026426519</v>
      </c>
      <c r="Y779">
        <v>0.43908364745190331</v>
      </c>
      <c r="Z779">
        <v>0.46930922026079347</v>
      </c>
      <c r="AA779">
        <v>0.75125375760036706</v>
      </c>
      <c r="AB779">
        <v>0.87365156900611041</v>
      </c>
      <c r="AC779">
        <v>0.66298436551043993</v>
      </c>
      <c r="AD779">
        <v>0.58225254864614773</v>
      </c>
      <c r="AE779">
        <v>188.56330083856867</v>
      </c>
      <c r="AF779">
        <v>1191.3622015732592</v>
      </c>
      <c r="AG779">
        <v>1648.219767503831</v>
      </c>
      <c r="AH779">
        <v>9569.0413261330395</v>
      </c>
      <c r="AI779">
        <v>14609.737239018677</v>
      </c>
      <c r="AJ779">
        <v>37147.209451975388</v>
      </c>
      <c r="AK779">
        <v>8450.0708677420225</v>
      </c>
      <c r="AL779">
        <v>2385.8997017406205</v>
      </c>
      <c r="AM779">
        <v>410.89003507477389</v>
      </c>
      <c r="AO779">
        <v>44118.574014530466</v>
      </c>
      <c r="AP779">
        <v>13.865721599407214</v>
      </c>
      <c r="AQ779">
        <v>47596.670835645338</v>
      </c>
      <c r="AR779">
        <v>14.118195800327836</v>
      </c>
      <c r="AS779" s="2">
        <f t="shared" si="85"/>
        <v>3478.096821114872</v>
      </c>
      <c r="AT779" s="2">
        <f t="shared" si="86"/>
        <v>0.25247420092062178</v>
      </c>
      <c r="AV779">
        <f t="shared" si="87"/>
        <v>1342453.5859261909</v>
      </c>
      <c r="AW779">
        <f t="shared" si="88"/>
        <v>1364222.9091971382</v>
      </c>
      <c r="AY779">
        <f t="shared" si="89"/>
        <v>0</v>
      </c>
      <c r="AZ779">
        <f t="shared" si="90"/>
        <v>1</v>
      </c>
    </row>
    <row r="780" spans="1:52" x14ac:dyDescent="0.2">
      <c r="A780">
        <f t="shared" si="84"/>
        <v>776</v>
      </c>
      <c r="B780">
        <v>1.6426939752974965E-2</v>
      </c>
      <c r="C780">
        <v>4.3185872049974816E-2</v>
      </c>
      <c r="D780">
        <v>3.2118568126827111E-2</v>
      </c>
      <c r="E780">
        <v>1.3693747204067575E-2</v>
      </c>
      <c r="F780">
        <v>3.3333415909755147E-3</v>
      </c>
      <c r="G780">
        <v>8.9664410761497778E-3</v>
      </c>
      <c r="H780">
        <v>3.5718725409393137E-2</v>
      </c>
      <c r="I780">
        <v>0.13222554541856524</v>
      </c>
      <c r="J780">
        <v>0</v>
      </c>
      <c r="K780">
        <v>0.37569002556371051</v>
      </c>
      <c r="L780">
        <v>0.21004908294581148</v>
      </c>
      <c r="M780">
        <v>0.78995091705418852</v>
      </c>
      <c r="N780">
        <v>9.7460214952227231E-2</v>
      </c>
      <c r="O780" s="72">
        <v>0.9989814276698582</v>
      </c>
      <c r="P780">
        <v>0.97310811685006404</v>
      </c>
      <c r="Q780">
        <v>0.96493000022641207</v>
      </c>
      <c r="R780">
        <v>0.52925971943060479</v>
      </c>
      <c r="S780">
        <v>0.3974489635604358</v>
      </c>
      <c r="T780">
        <v>0.33034715434507045</v>
      </c>
      <c r="U780">
        <v>0.77712659150196273</v>
      </c>
      <c r="V780">
        <v>0.75757604744185914</v>
      </c>
      <c r="W780">
        <v>0.52492045784006558</v>
      </c>
      <c r="X780">
        <v>0.48759020023804267</v>
      </c>
      <c r="Y780">
        <v>0.45873902991975268</v>
      </c>
      <c r="Z780">
        <v>0.47867384418811254</v>
      </c>
      <c r="AA780">
        <v>0.57511462392610269</v>
      </c>
      <c r="AB780">
        <v>0.80455321298085658</v>
      </c>
      <c r="AC780">
        <v>0.76569785334879548</v>
      </c>
      <c r="AD780">
        <v>0.47187423238515203</v>
      </c>
      <c r="AE780">
        <v>186.39971746819214</v>
      </c>
      <c r="AF780">
        <v>1273.1708453855099</v>
      </c>
      <c r="AG780">
        <v>1546.0967808850676</v>
      </c>
      <c r="AH780">
        <v>15160.317389172014</v>
      </c>
      <c r="AI780">
        <v>9045.1300070561756</v>
      </c>
      <c r="AJ780">
        <v>36276.879654667398</v>
      </c>
      <c r="AK780">
        <v>12498.431995110723</v>
      </c>
      <c r="AL780">
        <v>1878.6140806661904</v>
      </c>
      <c r="AM780">
        <v>343.66744608656222</v>
      </c>
      <c r="AO780">
        <v>39227.740913743874</v>
      </c>
      <c r="AP780">
        <v>13.112636356242561</v>
      </c>
      <c r="AQ780">
        <v>46755.106635073324</v>
      </c>
      <c r="AR780">
        <v>13.198885524488144</v>
      </c>
      <c r="AS780" s="2">
        <f t="shared" si="85"/>
        <v>7527.36572132945</v>
      </c>
      <c r="AT780" s="2">
        <f t="shared" si="86"/>
        <v>8.6249168245583263E-2</v>
      </c>
      <c r="AV780">
        <f t="shared" si="87"/>
        <v>1272035.8947105121</v>
      </c>
      <c r="AW780">
        <f t="shared" si="88"/>
        <v>1273133.4458137411</v>
      </c>
      <c r="AY780">
        <f t="shared" si="89"/>
        <v>0</v>
      </c>
      <c r="AZ780">
        <f t="shared" si="90"/>
        <v>1</v>
      </c>
    </row>
    <row r="781" spans="1:52" x14ac:dyDescent="0.2">
      <c r="A781">
        <f t="shared" si="84"/>
        <v>777</v>
      </c>
      <c r="B781">
        <v>2.3668766848829712E-2</v>
      </c>
      <c r="C781">
        <v>3.2658666888141299E-2</v>
      </c>
      <c r="D781">
        <v>4.3064490204866468E-2</v>
      </c>
      <c r="E781">
        <v>1.2968308968593356E-2</v>
      </c>
      <c r="F781">
        <v>3.36042322793495E-3</v>
      </c>
      <c r="G781">
        <v>5.0201660172854955E-3</v>
      </c>
      <c r="H781">
        <v>2.601286285932139E-2</v>
      </c>
      <c r="I781">
        <v>0.13261727505357468</v>
      </c>
      <c r="J781">
        <v>0</v>
      </c>
      <c r="K781">
        <v>0.40626431242566025</v>
      </c>
      <c r="L781">
        <v>0.26541606675181406</v>
      </c>
      <c r="M781">
        <v>0.73458393324818594</v>
      </c>
      <c r="N781">
        <v>5.7544978180520956E-2</v>
      </c>
      <c r="O781" s="72">
        <v>0.99962920335667982</v>
      </c>
      <c r="P781">
        <v>0.99615894179416153</v>
      </c>
      <c r="Q781">
        <v>0.96662699010426867</v>
      </c>
      <c r="R781">
        <v>0.41137712883659117</v>
      </c>
      <c r="S781">
        <v>0.39953072231515396</v>
      </c>
      <c r="T781">
        <v>0.21441614359179051</v>
      </c>
      <c r="U781">
        <v>0.76438681755998683</v>
      </c>
      <c r="V781">
        <v>0.67740847031957085</v>
      </c>
      <c r="W781">
        <v>0.4967237947240335</v>
      </c>
      <c r="X781">
        <v>0.43820691044397453</v>
      </c>
      <c r="Y781">
        <v>0.45305600298972137</v>
      </c>
      <c r="Z781">
        <v>0.40623204523902151</v>
      </c>
      <c r="AA781">
        <v>0.65840465263577852</v>
      </c>
      <c r="AB781">
        <v>0.80223758659739641</v>
      </c>
      <c r="AC781">
        <v>0.69440861651184094</v>
      </c>
      <c r="AD781">
        <v>0.60389137936051418</v>
      </c>
      <c r="AE781">
        <v>197.1595721808963</v>
      </c>
      <c r="AF781">
        <v>986.42211818133262</v>
      </c>
      <c r="AG781">
        <v>1981.7369210183022</v>
      </c>
      <c r="AH781">
        <v>12373.521381228602</v>
      </c>
      <c r="AI781">
        <v>9816.5139247603747</v>
      </c>
      <c r="AJ781">
        <v>47024.464819784582</v>
      </c>
      <c r="AK781">
        <v>7200.9882058413286</v>
      </c>
      <c r="AL781">
        <v>2014.4480562167453</v>
      </c>
      <c r="AM781">
        <v>430.08748975271806</v>
      </c>
      <c r="AO781">
        <v>48580.307007297786</v>
      </c>
      <c r="AP781">
        <v>13.006478621931427</v>
      </c>
      <c r="AQ781">
        <v>47339.086541809913</v>
      </c>
      <c r="AR781">
        <v>13.21740736064053</v>
      </c>
      <c r="AS781" s="2">
        <f t="shared" si="85"/>
        <v>-1241.2204654878733</v>
      </c>
      <c r="AT781" s="2">
        <f t="shared" si="86"/>
        <v>0.21092873870910367</v>
      </c>
      <c r="AV781">
        <f t="shared" si="87"/>
        <v>1252067.5551858449</v>
      </c>
      <c r="AW781">
        <f t="shared" si="88"/>
        <v>1274401.6495222433</v>
      </c>
      <c r="AY781">
        <f t="shared" si="89"/>
        <v>0</v>
      </c>
      <c r="AZ781">
        <f t="shared" si="90"/>
        <v>1</v>
      </c>
    </row>
    <row r="782" spans="1:52" x14ac:dyDescent="0.2">
      <c r="A782">
        <f t="shared" si="84"/>
        <v>778</v>
      </c>
      <c r="B782">
        <v>3.4183426126865757E-2</v>
      </c>
      <c r="C782">
        <v>3.8560472295237402E-2</v>
      </c>
      <c r="D782">
        <v>3.7714412473260621E-2</v>
      </c>
      <c r="E782">
        <v>5.8680623706309455E-3</v>
      </c>
      <c r="F782">
        <v>3.2561874815808058E-3</v>
      </c>
      <c r="G782">
        <v>1.0526342502461096E-2</v>
      </c>
      <c r="H782">
        <v>1.8996867527024126E-2</v>
      </c>
      <c r="I782">
        <v>0.11991860690531667</v>
      </c>
      <c r="J782">
        <v>0</v>
      </c>
      <c r="K782">
        <v>0.44910132613642428</v>
      </c>
      <c r="L782">
        <v>0.16607566706822949</v>
      </c>
      <c r="M782">
        <v>0.83392433293177048</v>
      </c>
      <c r="N782">
        <v>5.365673683720109E-2</v>
      </c>
      <c r="O782" s="72">
        <v>0.97635457231281475</v>
      </c>
      <c r="P782">
        <v>0.95985990233487106</v>
      </c>
      <c r="Q782">
        <v>0.97790135398316436</v>
      </c>
      <c r="R782">
        <v>0.45989365871643439</v>
      </c>
      <c r="S782">
        <v>0.44224435309772481</v>
      </c>
      <c r="T782">
        <v>0.30645755451918766</v>
      </c>
      <c r="U782">
        <v>0.74372841392012679</v>
      </c>
      <c r="V782">
        <v>0.66934639528868933</v>
      </c>
      <c r="W782">
        <v>0.49452294602330948</v>
      </c>
      <c r="X782">
        <v>0.40204279535806725</v>
      </c>
      <c r="Y782">
        <v>0.4837875255612486</v>
      </c>
      <c r="Z782">
        <v>0.41495676675288651</v>
      </c>
      <c r="AA782">
        <v>0.61039229405357831</v>
      </c>
      <c r="AB782">
        <v>0.86016443359273576</v>
      </c>
      <c r="AC782">
        <v>0.70447230018954621</v>
      </c>
      <c r="AD782">
        <v>0.58405396315523972</v>
      </c>
      <c r="AE782">
        <v>303.86860686294392</v>
      </c>
      <c r="AF782">
        <v>1169.7867048461633</v>
      </c>
      <c r="AG782">
        <v>1156.2229258772425</v>
      </c>
      <c r="AH782">
        <v>11544.223806990674</v>
      </c>
      <c r="AI782">
        <v>11954.971338466745</v>
      </c>
      <c r="AJ782">
        <v>43393.768408293465</v>
      </c>
      <c r="AK782">
        <v>6871.775625119064</v>
      </c>
      <c r="AL782">
        <v>1217.0955904908949</v>
      </c>
      <c r="AM782">
        <v>417.57491646198139</v>
      </c>
      <c r="AO782">
        <v>43575.358196635978</v>
      </c>
      <c r="AP782">
        <v>13.758631163855265</v>
      </c>
      <c r="AQ782">
        <v>48390.398490758249</v>
      </c>
      <c r="AR782">
        <v>14.005889440329616</v>
      </c>
      <c r="AS782" s="2">
        <f t="shared" si="85"/>
        <v>4815.040294122271</v>
      </c>
      <c r="AT782" s="2">
        <f t="shared" si="86"/>
        <v>0.24725827647435139</v>
      </c>
      <c r="AV782">
        <f t="shared" si="87"/>
        <v>1332287.7581888905</v>
      </c>
      <c r="AW782">
        <f t="shared" si="88"/>
        <v>1352198.5455422034</v>
      </c>
      <c r="AY782">
        <f t="shared" si="89"/>
        <v>0</v>
      </c>
      <c r="AZ782">
        <f t="shared" si="90"/>
        <v>1</v>
      </c>
    </row>
    <row r="783" spans="1:52" x14ac:dyDescent="0.2">
      <c r="A783">
        <f t="shared" si="84"/>
        <v>779</v>
      </c>
      <c r="B783">
        <v>2.6996372282494074E-2</v>
      </c>
      <c r="C783">
        <v>4.4094373257523189E-2</v>
      </c>
      <c r="D783">
        <v>3.1143029885959756E-2</v>
      </c>
      <c r="E783">
        <v>9.2497157254536073E-3</v>
      </c>
      <c r="F783">
        <v>3.4288662529742275E-3</v>
      </c>
      <c r="G783">
        <v>2.3026575885998768E-2</v>
      </c>
      <c r="H783">
        <v>2.7861097450538518E-2</v>
      </c>
      <c r="I783">
        <v>0.13299504342293278</v>
      </c>
      <c r="J783">
        <v>0</v>
      </c>
      <c r="K783">
        <v>0.39689598448519792</v>
      </c>
      <c r="L783">
        <v>0.24285291227648942</v>
      </c>
      <c r="M783">
        <v>0.75714708772351058</v>
      </c>
      <c r="N783">
        <v>4.3766522145100496E-2</v>
      </c>
      <c r="O783" s="72">
        <v>0.99999039702491443</v>
      </c>
      <c r="P783">
        <v>0.99997925967870682</v>
      </c>
      <c r="Q783">
        <v>0.92445763036314643</v>
      </c>
      <c r="R783">
        <v>0.48273758785866949</v>
      </c>
      <c r="S783">
        <v>0.40867944429663661</v>
      </c>
      <c r="T783">
        <v>0.17179604866559783</v>
      </c>
      <c r="U783">
        <v>0.77427108781005904</v>
      </c>
      <c r="V783">
        <v>0.65784753446003152</v>
      </c>
      <c r="W783">
        <v>0.61745396876812908</v>
      </c>
      <c r="X783">
        <v>0.4565283672196645</v>
      </c>
      <c r="Y783">
        <v>0.44522418425814925</v>
      </c>
      <c r="Z783">
        <v>0.44438470395451496</v>
      </c>
      <c r="AA783">
        <v>0.65102129194524583</v>
      </c>
      <c r="AB783">
        <v>0.69710035257465619</v>
      </c>
      <c r="AC783">
        <v>0.69398681685596575</v>
      </c>
      <c r="AD783">
        <v>0.62913472235726264</v>
      </c>
      <c r="AE783">
        <v>241.68861473658447</v>
      </c>
      <c r="AF783">
        <v>926.82709758518183</v>
      </c>
      <c r="AG783">
        <v>918.96711620710232</v>
      </c>
      <c r="AH783">
        <v>12752.658349117799</v>
      </c>
      <c r="AI783">
        <v>10227.867573255196</v>
      </c>
      <c r="AJ783">
        <v>39690.402457433331</v>
      </c>
      <c r="AK783">
        <v>16523.383922106448</v>
      </c>
      <c r="AL783">
        <v>2203.866100233342</v>
      </c>
      <c r="AM783">
        <v>361.51998757154649</v>
      </c>
      <c r="AO783">
        <v>44262.173874457381</v>
      </c>
      <c r="AP783">
        <v>11.746762404392097</v>
      </c>
      <c r="AQ783">
        <v>46237.738012585978</v>
      </c>
      <c r="AR783">
        <v>11.79242608981815</v>
      </c>
      <c r="AS783" s="2">
        <f t="shared" si="85"/>
        <v>1975.5641381285968</v>
      </c>
      <c r="AT783" s="2">
        <f t="shared" si="86"/>
        <v>4.5663685426053036E-2</v>
      </c>
      <c r="AV783">
        <f t="shared" si="87"/>
        <v>1130414.0665647523</v>
      </c>
      <c r="AW783">
        <f t="shared" si="88"/>
        <v>1133004.8709692289</v>
      </c>
      <c r="AY783">
        <f t="shared" si="89"/>
        <v>0</v>
      </c>
      <c r="AZ783">
        <f t="shared" si="90"/>
        <v>1</v>
      </c>
    </row>
    <row r="784" spans="1:52" x14ac:dyDescent="0.2">
      <c r="A784">
        <f t="shared" si="84"/>
        <v>780</v>
      </c>
      <c r="B784">
        <v>2.2728149346397556E-2</v>
      </c>
      <c r="C784">
        <v>3.2636229944000159E-2</v>
      </c>
      <c r="D784">
        <v>4.2356389528191984E-2</v>
      </c>
      <c r="E784">
        <v>9.6648923381502747E-3</v>
      </c>
      <c r="F784">
        <v>3.2861888629791892E-3</v>
      </c>
      <c r="G784">
        <v>8.3072968021496371E-3</v>
      </c>
      <c r="H784">
        <v>3.1704146908807185E-2</v>
      </c>
      <c r="I784">
        <v>0.12560407469613774</v>
      </c>
      <c r="J784">
        <v>0</v>
      </c>
      <c r="K784">
        <v>0.38959257040171302</v>
      </c>
      <c r="L784">
        <v>0.16754411368882796</v>
      </c>
      <c r="M784">
        <v>0.83245588631117207</v>
      </c>
      <c r="N784">
        <v>4.1065476584874201E-2</v>
      </c>
      <c r="O784" s="72">
        <v>0.96957790142829814</v>
      </c>
      <c r="P784">
        <v>0.99844881475295177</v>
      </c>
      <c r="Q784">
        <v>0.99543544374300175</v>
      </c>
      <c r="R784">
        <v>0.51034951199144563</v>
      </c>
      <c r="S784">
        <v>0.31613672020645089</v>
      </c>
      <c r="T784">
        <v>0.11800744651455053</v>
      </c>
      <c r="U784">
        <v>0.77917820445528962</v>
      </c>
      <c r="V784">
        <v>0.63634777014432431</v>
      </c>
      <c r="W784">
        <v>0.50906954639592772</v>
      </c>
      <c r="X784">
        <v>0.46997166279887792</v>
      </c>
      <c r="Y784">
        <v>0.46391207587326644</v>
      </c>
      <c r="Z784">
        <v>0.41894858970595078</v>
      </c>
      <c r="AA784">
        <v>0.72985469972479144</v>
      </c>
      <c r="AB784">
        <v>0.84726181695617619</v>
      </c>
      <c r="AC784">
        <v>0.73158500642410695</v>
      </c>
      <c r="AD784">
        <v>0.64736014887466786</v>
      </c>
      <c r="AE784">
        <v>142.2907687682019</v>
      </c>
      <c r="AF784">
        <v>1072.6443318656582</v>
      </c>
      <c r="AG784">
        <v>2045.7440049919239</v>
      </c>
      <c r="AH784">
        <v>11493.563243412333</v>
      </c>
      <c r="AI784">
        <v>10370.090403397475</v>
      </c>
      <c r="AJ784">
        <v>43991.972496635724</v>
      </c>
      <c r="AK784">
        <v>10903.220033152897</v>
      </c>
      <c r="AL784">
        <v>2097.0031272594329</v>
      </c>
      <c r="AM784">
        <v>424.42279754835988</v>
      </c>
      <c r="AO784">
        <v>47283.045433677675</v>
      </c>
      <c r="AP784">
        <v>13.669041336078401</v>
      </c>
      <c r="AQ784">
        <v>47160.002136316216</v>
      </c>
      <c r="AR784">
        <v>13.971763681835387</v>
      </c>
      <c r="AS784" s="2">
        <f t="shared" si="85"/>
        <v>-123.04329736145883</v>
      </c>
      <c r="AT784" s="2">
        <f t="shared" si="86"/>
        <v>0.30272234575698675</v>
      </c>
      <c r="AV784">
        <f t="shared" si="87"/>
        <v>1319621.0881741624</v>
      </c>
      <c r="AW784">
        <f t="shared" si="88"/>
        <v>1350016.3660472226</v>
      </c>
      <c r="AY784">
        <f t="shared" si="89"/>
        <v>0</v>
      </c>
      <c r="AZ784">
        <f t="shared" si="90"/>
        <v>1</v>
      </c>
    </row>
    <row r="785" spans="1:52" x14ac:dyDescent="0.2">
      <c r="A785">
        <f t="shared" si="84"/>
        <v>781</v>
      </c>
      <c r="B785">
        <v>2.2687159827965684E-2</v>
      </c>
      <c r="C785">
        <v>3.4555964751517787E-2</v>
      </c>
      <c r="D785">
        <v>3.9816674252359019E-2</v>
      </c>
      <c r="E785">
        <v>1.0860634184260637E-2</v>
      </c>
      <c r="F785">
        <v>3.3680573862129304E-3</v>
      </c>
      <c r="G785">
        <v>5.0516296701092034E-2</v>
      </c>
      <c r="H785">
        <v>4.3335224409263851E-2</v>
      </c>
      <c r="I785">
        <v>0.12251744471619384</v>
      </c>
      <c r="J785">
        <v>0</v>
      </c>
      <c r="K785">
        <v>0.42735843591556588</v>
      </c>
      <c r="L785">
        <v>0.24835104581607237</v>
      </c>
      <c r="M785">
        <v>0.75164895418392763</v>
      </c>
      <c r="N785">
        <v>7.0566710521005716E-2</v>
      </c>
      <c r="O785" s="72">
        <v>0.95491558211889327</v>
      </c>
      <c r="P785">
        <v>0.99977281850624233</v>
      </c>
      <c r="Q785">
        <v>0.92497099173234387</v>
      </c>
      <c r="R785">
        <v>0.4921892546614296</v>
      </c>
      <c r="S785">
        <v>0.33301581590015861</v>
      </c>
      <c r="T785">
        <v>0.2608549233547911</v>
      </c>
      <c r="U785">
        <v>0.74767080181851198</v>
      </c>
      <c r="V785">
        <v>0.63754049387444922</v>
      </c>
      <c r="W785">
        <v>0.54699278426886888</v>
      </c>
      <c r="X785">
        <v>0.45679828732052608</v>
      </c>
      <c r="Y785">
        <v>0.44209259852828864</v>
      </c>
      <c r="Z785">
        <v>0.43290588946358977</v>
      </c>
      <c r="AA785">
        <v>0.71734624617968046</v>
      </c>
      <c r="AB785">
        <v>0.89253626463663704</v>
      </c>
      <c r="AC785">
        <v>0.70923126824789728</v>
      </c>
      <c r="AD785">
        <v>0.671703386903169</v>
      </c>
      <c r="AE785">
        <v>191.52461346100489</v>
      </c>
      <c r="AF785">
        <v>940.37618736848265</v>
      </c>
      <c r="AG785">
        <v>1680.0063444745899</v>
      </c>
      <c r="AH785">
        <v>16952.136485947147</v>
      </c>
      <c r="AI785">
        <v>8167.3721744888544</v>
      </c>
      <c r="AJ785">
        <v>33176.875106678723</v>
      </c>
      <c r="AK785">
        <v>13410.330020769354</v>
      </c>
      <c r="AL785">
        <v>2641.8296693224324</v>
      </c>
      <c r="AM785">
        <v>377.08808867247552</v>
      </c>
      <c r="AO785">
        <v>43254.418412195213</v>
      </c>
      <c r="AP785">
        <v>14.301396967295966</v>
      </c>
      <c r="AQ785">
        <v>46761.000169870895</v>
      </c>
      <c r="AR785">
        <v>14.586940657879978</v>
      </c>
      <c r="AS785" s="2">
        <f t="shared" si="85"/>
        <v>3506.5817576756817</v>
      </c>
      <c r="AT785" s="2">
        <f t="shared" si="86"/>
        <v>0.28554369058401186</v>
      </c>
      <c r="AV785">
        <f t="shared" si="87"/>
        <v>1386885.2783174014</v>
      </c>
      <c r="AW785">
        <f t="shared" si="88"/>
        <v>1411933.0656181269</v>
      </c>
      <c r="AY785">
        <f t="shared" si="89"/>
        <v>0</v>
      </c>
      <c r="AZ785">
        <f t="shared" si="90"/>
        <v>1</v>
      </c>
    </row>
    <row r="786" spans="1:52" x14ac:dyDescent="0.2">
      <c r="A786">
        <f t="shared" si="84"/>
        <v>782</v>
      </c>
      <c r="B786">
        <v>2.2736363175131887E-2</v>
      </c>
      <c r="C786">
        <v>5.3823293646993453E-2</v>
      </c>
      <c r="D786">
        <v>5.3100030754681948E-2</v>
      </c>
      <c r="E786">
        <v>4.9959812063957498E-2</v>
      </c>
      <c r="F786">
        <v>3.4038013910145937E-3</v>
      </c>
      <c r="G786">
        <v>1.0763924734316555E-2</v>
      </c>
      <c r="H786">
        <v>4.0937166756554788E-2</v>
      </c>
      <c r="I786">
        <v>0.13992336389753746</v>
      </c>
      <c r="J786">
        <v>0</v>
      </c>
      <c r="K786">
        <v>0.44318244245629168</v>
      </c>
      <c r="L786">
        <v>0.17027788830259147</v>
      </c>
      <c r="M786">
        <v>0.8297221116974085</v>
      </c>
      <c r="N786">
        <v>4.1888896479709066E-2</v>
      </c>
      <c r="O786" s="72">
        <v>0.99978201206893225</v>
      </c>
      <c r="P786">
        <v>0.94587576800458528</v>
      </c>
      <c r="Q786">
        <v>0.95319356905499719</v>
      </c>
      <c r="R786">
        <v>0.49511192719664854</v>
      </c>
      <c r="S786">
        <v>0.35760713360127583</v>
      </c>
      <c r="T786">
        <v>0.15717155428637963</v>
      </c>
      <c r="U786">
        <v>0.77284661759974005</v>
      </c>
      <c r="V786">
        <v>0.65198283276504143</v>
      </c>
      <c r="W786">
        <v>0.62070884779655922</v>
      </c>
      <c r="X786">
        <v>0.41776984218073032</v>
      </c>
      <c r="Y786">
        <v>0.46547049566742849</v>
      </c>
      <c r="Z786">
        <v>0.45771411311241583</v>
      </c>
      <c r="AA786">
        <v>0.57933924036090301</v>
      </c>
      <c r="AB786">
        <v>0.80165370868553565</v>
      </c>
      <c r="AC786">
        <v>0.78089002348011727</v>
      </c>
      <c r="AD786">
        <v>0.57628491041319141</v>
      </c>
      <c r="AE786">
        <v>251.85011908681369</v>
      </c>
      <c r="AF786">
        <v>854.41450295298546</v>
      </c>
      <c r="AG786">
        <v>1886.2569912160898</v>
      </c>
      <c r="AH786">
        <v>13808.244090545844</v>
      </c>
      <c r="AI786">
        <v>8809.2040111498136</v>
      </c>
      <c r="AJ786">
        <v>42551.764277578717</v>
      </c>
      <c r="AK786">
        <v>9092.3961145226986</v>
      </c>
      <c r="AL786">
        <v>2213.05454001217</v>
      </c>
      <c r="AM786">
        <v>275.89877359396706</v>
      </c>
      <c r="AO786">
        <v>43035.491839219038</v>
      </c>
      <c r="AP786">
        <v>13.047201001669238</v>
      </c>
      <c r="AQ786">
        <v>46656.065197654098</v>
      </c>
      <c r="AR786">
        <v>13.324527104079364</v>
      </c>
      <c r="AS786" s="2">
        <f t="shared" si="85"/>
        <v>3620.5733584350601</v>
      </c>
      <c r="AT786" s="2">
        <f t="shared" si="86"/>
        <v>0.27732610241012523</v>
      </c>
      <c r="AV786">
        <f t="shared" si="87"/>
        <v>1261684.6083277047</v>
      </c>
      <c r="AW786">
        <f t="shared" si="88"/>
        <v>1285796.6452102822</v>
      </c>
      <c r="AY786">
        <f t="shared" si="89"/>
        <v>0</v>
      </c>
      <c r="AZ786">
        <f t="shared" si="90"/>
        <v>1</v>
      </c>
    </row>
    <row r="787" spans="1:52" x14ac:dyDescent="0.2">
      <c r="A787">
        <f t="shared" si="84"/>
        <v>783</v>
      </c>
      <c r="B787">
        <v>2.1893651471702566E-2</v>
      </c>
      <c r="C787">
        <v>3.3738343438424141E-2</v>
      </c>
      <c r="D787">
        <v>5.9134197131567534E-2</v>
      </c>
      <c r="E787">
        <v>5.3104747405436567E-3</v>
      </c>
      <c r="F787">
        <v>3.4793090224305434E-3</v>
      </c>
      <c r="G787">
        <v>3.8763041550698915E-3</v>
      </c>
      <c r="H787">
        <v>2.9683312440502596E-2</v>
      </c>
      <c r="I787">
        <v>0.14289048793995107</v>
      </c>
      <c r="J787">
        <v>0</v>
      </c>
      <c r="K787">
        <v>0.38410400362285313</v>
      </c>
      <c r="L787">
        <v>0.13739657836147484</v>
      </c>
      <c r="M787">
        <v>0.86260342163852521</v>
      </c>
      <c r="N787">
        <v>5.4454611915520437E-2</v>
      </c>
      <c r="O787" s="72">
        <v>0.99840815734688382</v>
      </c>
      <c r="P787">
        <v>0.99996688109094356</v>
      </c>
      <c r="Q787">
        <v>0.8993027813040122</v>
      </c>
      <c r="R787">
        <v>0.48346340045266556</v>
      </c>
      <c r="S787">
        <v>0.40606131440138615</v>
      </c>
      <c r="T787">
        <v>0.15848272525137819</v>
      </c>
      <c r="U787">
        <v>0.77533085211640318</v>
      </c>
      <c r="V787">
        <v>0.66482439092720746</v>
      </c>
      <c r="W787">
        <v>0.53580019633009901</v>
      </c>
      <c r="X787">
        <v>0.44523200940669971</v>
      </c>
      <c r="Y787">
        <v>0.41427599099542561</v>
      </c>
      <c r="Z787">
        <v>0.44303388583413367</v>
      </c>
      <c r="AA787">
        <v>0.65640207832216502</v>
      </c>
      <c r="AB787">
        <v>0.76500816827852214</v>
      </c>
      <c r="AC787">
        <v>0.69440108420417768</v>
      </c>
      <c r="AD787">
        <v>0.60155804440208926</v>
      </c>
      <c r="AE787">
        <v>159.65102238795154</v>
      </c>
      <c r="AF787">
        <v>950.23633039359856</v>
      </c>
      <c r="AG787">
        <v>1722.5839331367706</v>
      </c>
      <c r="AH787">
        <v>14826.887814348704</v>
      </c>
      <c r="AI787">
        <v>11988.610094899999</v>
      </c>
      <c r="AJ787">
        <v>39743.776292912306</v>
      </c>
      <c r="AK787">
        <v>12202.392286938866</v>
      </c>
      <c r="AL787">
        <v>1884.3021354062976</v>
      </c>
      <c r="AM787">
        <v>268.44666904703161</v>
      </c>
      <c r="AO787">
        <v>43528.783342567614</v>
      </c>
      <c r="AP787">
        <v>12.528219005705685</v>
      </c>
      <c r="AQ787">
        <v>44951.442286866812</v>
      </c>
      <c r="AR787">
        <v>12.694411122339977</v>
      </c>
      <c r="AS787" s="2">
        <f t="shared" si="85"/>
        <v>1422.6589442991972</v>
      </c>
      <c r="AT787" s="2">
        <f t="shared" si="86"/>
        <v>0.16619211663429212</v>
      </c>
      <c r="AV787">
        <f t="shared" si="87"/>
        <v>1209293.1172280009</v>
      </c>
      <c r="AW787">
        <f t="shared" si="88"/>
        <v>1224489.6699471311</v>
      </c>
      <c r="AY787">
        <f t="shared" si="89"/>
        <v>0</v>
      </c>
      <c r="AZ787">
        <f t="shared" si="90"/>
        <v>1</v>
      </c>
    </row>
    <row r="788" spans="1:52" x14ac:dyDescent="0.2">
      <c r="A788">
        <f t="shared" si="84"/>
        <v>784</v>
      </c>
      <c r="B788">
        <v>1.9472268423835214E-2</v>
      </c>
      <c r="C788">
        <v>3.7842539573559208E-2</v>
      </c>
      <c r="D788">
        <v>3.5880159128763044E-2</v>
      </c>
      <c r="E788">
        <v>7.1083842051136905E-3</v>
      </c>
      <c r="F788">
        <v>3.2426606439319109E-3</v>
      </c>
      <c r="G788">
        <v>1.2073025908019431E-3</v>
      </c>
      <c r="H788">
        <v>5.4481236234950714E-2</v>
      </c>
      <c r="I788">
        <v>0.14732405675169047</v>
      </c>
      <c r="J788">
        <v>0</v>
      </c>
      <c r="K788">
        <v>0.44034932660077097</v>
      </c>
      <c r="L788">
        <v>0.24772913645651407</v>
      </c>
      <c r="M788">
        <v>0.75227086354348593</v>
      </c>
      <c r="N788">
        <v>5.11886559117E-2</v>
      </c>
      <c r="O788" s="72">
        <v>0.99999711208926323</v>
      </c>
      <c r="P788">
        <v>0.99999971508016039</v>
      </c>
      <c r="Q788">
        <v>0.9855114788489816</v>
      </c>
      <c r="R788">
        <v>0.48251409202011719</v>
      </c>
      <c r="S788">
        <v>0.52179874239409973</v>
      </c>
      <c r="T788">
        <v>0.29126374802657695</v>
      </c>
      <c r="U788">
        <v>0.77557726914246317</v>
      </c>
      <c r="V788">
        <v>0.58658836810914083</v>
      </c>
      <c r="W788">
        <v>0.50674712385666987</v>
      </c>
      <c r="X788">
        <v>0.46678149268172653</v>
      </c>
      <c r="Y788">
        <v>0.49673007168418204</v>
      </c>
      <c r="Z788">
        <v>0.44889866704988635</v>
      </c>
      <c r="AA788">
        <v>0.63131844486093436</v>
      </c>
      <c r="AB788">
        <v>0.86866882155175307</v>
      </c>
      <c r="AC788">
        <v>0.79080379233039511</v>
      </c>
      <c r="AD788">
        <v>0.62110817278400954</v>
      </c>
      <c r="AE788">
        <v>139.31804569238639</v>
      </c>
      <c r="AF788">
        <v>1098.8752302426803</v>
      </c>
      <c r="AG788">
        <v>1294.6681900129026</v>
      </c>
      <c r="AH788">
        <v>7591.2037753157147</v>
      </c>
      <c r="AI788">
        <v>10970.80510112511</v>
      </c>
      <c r="AJ788">
        <v>40595.71736001721</v>
      </c>
      <c r="AK788">
        <v>10021.721800158979</v>
      </c>
      <c r="AL788">
        <v>2656.2511108973167</v>
      </c>
      <c r="AM788">
        <v>295.40505708293597</v>
      </c>
      <c r="AO788">
        <v>39631.834190075526</v>
      </c>
      <c r="AP788">
        <v>14.141710625533184</v>
      </c>
      <c r="AQ788">
        <v>44842.538168810395</v>
      </c>
      <c r="AR788">
        <v>14.339319583889507</v>
      </c>
      <c r="AS788" s="2">
        <f t="shared" si="85"/>
        <v>5210.7039787348695</v>
      </c>
      <c r="AT788" s="2">
        <f t="shared" si="86"/>
        <v>0.19760895835632297</v>
      </c>
      <c r="AV788">
        <f t="shared" si="87"/>
        <v>1374539.2283632429</v>
      </c>
      <c r="AW788">
        <f t="shared" si="88"/>
        <v>1389089.4202201404</v>
      </c>
      <c r="AY788">
        <f t="shared" si="89"/>
        <v>0</v>
      </c>
      <c r="AZ788">
        <f t="shared" si="90"/>
        <v>1</v>
      </c>
    </row>
    <row r="789" spans="1:52" x14ac:dyDescent="0.2">
      <c r="A789">
        <f t="shared" si="84"/>
        <v>785</v>
      </c>
      <c r="B789">
        <v>2.1587307715822346E-2</v>
      </c>
      <c r="C789">
        <v>4.2227240428678647E-2</v>
      </c>
      <c r="D789">
        <v>4.0657297212093657E-2</v>
      </c>
      <c r="E789">
        <v>5.1110741266590463E-3</v>
      </c>
      <c r="F789">
        <v>3.2311634942967359E-3</v>
      </c>
      <c r="G789">
        <v>3.3199055171414527E-2</v>
      </c>
      <c r="H789">
        <v>2.9737683049157027E-2</v>
      </c>
      <c r="I789">
        <v>0.13725444557744237</v>
      </c>
      <c r="J789">
        <v>0</v>
      </c>
      <c r="K789">
        <v>0.43070514054465403</v>
      </c>
      <c r="L789">
        <v>0.30992349612639658</v>
      </c>
      <c r="M789">
        <v>0.69007650387360342</v>
      </c>
      <c r="N789">
        <v>4.5632214222103361E-2</v>
      </c>
      <c r="O789" s="72">
        <v>0.9999398999138156</v>
      </c>
      <c r="P789">
        <v>0.99999897656150571</v>
      </c>
      <c r="Q789">
        <v>0.99629153659376246</v>
      </c>
      <c r="R789">
        <v>0.48562094497757602</v>
      </c>
      <c r="S789">
        <v>0.40129069195165812</v>
      </c>
      <c r="T789">
        <v>0.15313070590185518</v>
      </c>
      <c r="U789">
        <v>0.72884388125720212</v>
      </c>
      <c r="V789">
        <v>0.67085388918611666</v>
      </c>
      <c r="W789">
        <v>0.4655155945261808</v>
      </c>
      <c r="X789">
        <v>0.47924900496926981</v>
      </c>
      <c r="Y789">
        <v>0.48541360293755631</v>
      </c>
      <c r="Z789">
        <v>0.42605680388997513</v>
      </c>
      <c r="AA789">
        <v>0.70073475867503021</v>
      </c>
      <c r="AB789">
        <v>0.80596716596747497</v>
      </c>
      <c r="AC789">
        <v>0.77825266171118235</v>
      </c>
      <c r="AD789">
        <v>0.69533376771201627</v>
      </c>
      <c r="AE789">
        <v>153.04703599907617</v>
      </c>
      <c r="AF789">
        <v>952.9018384508804</v>
      </c>
      <c r="AG789">
        <v>1685.3373726681621</v>
      </c>
      <c r="AH789">
        <v>11125.415362616421</v>
      </c>
      <c r="AI789">
        <v>9236.576146059655</v>
      </c>
      <c r="AJ789">
        <v>45037.794210218774</v>
      </c>
      <c r="AK789">
        <v>9724.64172093462</v>
      </c>
      <c r="AL789">
        <v>1899.1010785209592</v>
      </c>
      <c r="AM789">
        <v>392.12549071904323</v>
      </c>
      <c r="AO789">
        <v>45199.546165940163</v>
      </c>
      <c r="AP789">
        <v>13.260529237245599</v>
      </c>
      <c r="AQ789">
        <v>46397.172393259309</v>
      </c>
      <c r="AR789">
        <v>13.548495376905654</v>
      </c>
      <c r="AS789" s="2">
        <f t="shared" si="85"/>
        <v>1197.626227319146</v>
      </c>
      <c r="AT789" s="2">
        <f t="shared" si="86"/>
        <v>0.28796613966005502</v>
      </c>
      <c r="AV789">
        <f t="shared" si="87"/>
        <v>1280853.3775586197</v>
      </c>
      <c r="AW789">
        <f t="shared" si="88"/>
        <v>1308452.3652973061</v>
      </c>
      <c r="AY789">
        <f t="shared" si="89"/>
        <v>0</v>
      </c>
      <c r="AZ789">
        <f t="shared" si="90"/>
        <v>1</v>
      </c>
    </row>
    <row r="790" spans="1:52" x14ac:dyDescent="0.2">
      <c r="A790">
        <f t="shared" si="84"/>
        <v>786</v>
      </c>
      <c r="B790">
        <v>2.2461157781231988E-2</v>
      </c>
      <c r="C790">
        <v>3.8314391213509214E-2</v>
      </c>
      <c r="D790">
        <v>2.7637352276381356E-2</v>
      </c>
      <c r="E790">
        <v>5.5157347770451769E-3</v>
      </c>
      <c r="F790">
        <v>3.4774485475415062E-3</v>
      </c>
      <c r="G790">
        <v>1.3402695106873863E-2</v>
      </c>
      <c r="H790">
        <v>8.508260470700529E-3</v>
      </c>
      <c r="I790">
        <v>0.11811817758930383</v>
      </c>
      <c r="J790">
        <v>0</v>
      </c>
      <c r="K790">
        <v>0.43408742082006679</v>
      </c>
      <c r="L790">
        <v>0.28661650248930715</v>
      </c>
      <c r="M790">
        <v>0.71338349751069285</v>
      </c>
      <c r="N790">
        <v>7.3293554038734388E-2</v>
      </c>
      <c r="O790" s="72">
        <v>0.99889078541778165</v>
      </c>
      <c r="P790">
        <v>0.99932889707818484</v>
      </c>
      <c r="Q790">
        <v>0.90483423543594999</v>
      </c>
      <c r="R790">
        <v>0.43749330253231822</v>
      </c>
      <c r="S790">
        <v>0.46183379572527472</v>
      </c>
      <c r="T790">
        <v>0.18244006426053216</v>
      </c>
      <c r="U790">
        <v>0.77681770965871411</v>
      </c>
      <c r="V790">
        <v>0.61317768918889781</v>
      </c>
      <c r="W790">
        <v>0.56869248256675919</v>
      </c>
      <c r="X790">
        <v>0.4860451949760064</v>
      </c>
      <c r="Y790">
        <v>0.42381292444022306</v>
      </c>
      <c r="Z790">
        <v>0.38326957905461834</v>
      </c>
      <c r="AA790">
        <v>0.68435112816002108</v>
      </c>
      <c r="AB790">
        <v>0.8583004362583776</v>
      </c>
      <c r="AC790">
        <v>0.65021015768907853</v>
      </c>
      <c r="AD790">
        <v>0.65706547651418212</v>
      </c>
      <c r="AE790">
        <v>151.36601009030971</v>
      </c>
      <c r="AF790">
        <v>1226.6707970625489</v>
      </c>
      <c r="AG790">
        <v>1393.9651868265375</v>
      </c>
      <c r="AH790">
        <v>13350.345910417484</v>
      </c>
      <c r="AI790">
        <v>6566.5131826964553</v>
      </c>
      <c r="AJ790">
        <v>33576.04295501866</v>
      </c>
      <c r="AK790">
        <v>15654.91720079723</v>
      </c>
      <c r="AL790">
        <v>1879.6137965972071</v>
      </c>
      <c r="AM790">
        <v>391.66792390086783</v>
      </c>
      <c r="AO790">
        <v>46530.796051930949</v>
      </c>
      <c r="AP790">
        <v>13.74023223438439</v>
      </c>
      <c r="AQ790">
        <v>46854.149503964276</v>
      </c>
      <c r="AR790">
        <v>13.98664773698445</v>
      </c>
      <c r="AS790" s="2">
        <f t="shared" si="85"/>
        <v>323.3534520333269</v>
      </c>
      <c r="AT790" s="2">
        <f t="shared" si="86"/>
        <v>0.24641550260006007</v>
      </c>
      <c r="AV790">
        <f t="shared" si="87"/>
        <v>1327492.4273865081</v>
      </c>
      <c r="AW790">
        <f t="shared" si="88"/>
        <v>1351810.6241944807</v>
      </c>
      <c r="AY790">
        <f t="shared" si="89"/>
        <v>0</v>
      </c>
      <c r="AZ790">
        <f t="shared" si="90"/>
        <v>1</v>
      </c>
    </row>
    <row r="791" spans="1:52" x14ac:dyDescent="0.2">
      <c r="A791">
        <f t="shared" si="84"/>
        <v>787</v>
      </c>
      <c r="B791">
        <v>2.7260555867374969E-2</v>
      </c>
      <c r="C791">
        <v>3.0847292916071488E-2</v>
      </c>
      <c r="D791">
        <v>3.6371508164024451E-2</v>
      </c>
      <c r="E791">
        <v>5.7240667848759662E-3</v>
      </c>
      <c r="F791">
        <v>3.1283755419932754E-3</v>
      </c>
      <c r="G791">
        <v>5.5261614853284709E-3</v>
      </c>
      <c r="H791">
        <v>4.1323126418514766E-2</v>
      </c>
      <c r="I791">
        <v>0.13363398286634676</v>
      </c>
      <c r="J791">
        <v>0</v>
      </c>
      <c r="K791">
        <v>0.45840801017233912</v>
      </c>
      <c r="L791">
        <v>0.1701251458147853</v>
      </c>
      <c r="M791">
        <v>0.82987485418521467</v>
      </c>
      <c r="N791">
        <v>5.3516132951944108E-2</v>
      </c>
      <c r="O791" s="72">
        <v>0.99467413162340357</v>
      </c>
      <c r="P791">
        <v>0.99959053410791443</v>
      </c>
      <c r="Q791">
        <v>0.89565265282491424</v>
      </c>
      <c r="R791">
        <v>0.53008182297438444</v>
      </c>
      <c r="S791">
        <v>0.43818350388805138</v>
      </c>
      <c r="T791">
        <v>0.21583274104923622</v>
      </c>
      <c r="U791">
        <v>0.77876828772656981</v>
      </c>
      <c r="V791">
        <v>0.66858580000692591</v>
      </c>
      <c r="W791">
        <v>0.46482904632058647</v>
      </c>
      <c r="X791">
        <v>0.44589664342400542</v>
      </c>
      <c r="Y791">
        <v>0.44853967826971364</v>
      </c>
      <c r="Z791">
        <v>0.43022308545354709</v>
      </c>
      <c r="AA791">
        <v>0.72068786450236222</v>
      </c>
      <c r="AB791">
        <v>0.83756587759518353</v>
      </c>
      <c r="AC791">
        <v>0.71874136494180596</v>
      </c>
      <c r="AD791">
        <v>0.57357406483083562</v>
      </c>
      <c r="AE791">
        <v>211.427962627319</v>
      </c>
      <c r="AF791">
        <v>1086.1112181728627</v>
      </c>
      <c r="AG791">
        <v>1559.9017776154346</v>
      </c>
      <c r="AH791">
        <v>12461.016997930637</v>
      </c>
      <c r="AI791">
        <v>13554.641196324836</v>
      </c>
      <c r="AJ791">
        <v>37582.329310747249</v>
      </c>
      <c r="AK791">
        <v>20185.323270277586</v>
      </c>
      <c r="AL791">
        <v>1112.7773965743388</v>
      </c>
      <c r="AM791">
        <v>428.7760600486244</v>
      </c>
      <c r="AO791">
        <v>41838.981342150044</v>
      </c>
      <c r="AP791">
        <v>13.534785137785905</v>
      </c>
      <c r="AQ791">
        <v>47472.925692474135</v>
      </c>
      <c r="AR791">
        <v>13.710398864058671</v>
      </c>
      <c r="AS791" s="2">
        <f t="shared" si="85"/>
        <v>5633.9443503240909</v>
      </c>
      <c r="AT791" s="2">
        <f t="shared" si="86"/>
        <v>0.17561372627276661</v>
      </c>
      <c r="AV791">
        <f t="shared" si="87"/>
        <v>1311639.5324364402</v>
      </c>
      <c r="AW791">
        <f t="shared" si="88"/>
        <v>1323566.9607133928</v>
      </c>
      <c r="AY791">
        <f t="shared" si="89"/>
        <v>0</v>
      </c>
      <c r="AZ791">
        <f t="shared" si="90"/>
        <v>1</v>
      </c>
    </row>
    <row r="792" spans="1:52" x14ac:dyDescent="0.2">
      <c r="A792">
        <f t="shared" si="84"/>
        <v>788</v>
      </c>
      <c r="B792">
        <v>2.5614465247228213E-2</v>
      </c>
      <c r="C792">
        <v>2.9366378802542538E-2</v>
      </c>
      <c r="D792">
        <v>4.0859778561424309E-2</v>
      </c>
      <c r="E792">
        <v>1.4068269524946997E-2</v>
      </c>
      <c r="F792">
        <v>3.3747773494897659E-3</v>
      </c>
      <c r="G792">
        <v>5.1790425990343421E-3</v>
      </c>
      <c r="H792">
        <v>5.0030592039341348E-2</v>
      </c>
      <c r="I792">
        <v>0.13189261255540352</v>
      </c>
      <c r="J792">
        <v>0</v>
      </c>
      <c r="K792">
        <v>0.42148356326670222</v>
      </c>
      <c r="L792">
        <v>0.19795127199300069</v>
      </c>
      <c r="M792">
        <v>0.80204872800699933</v>
      </c>
      <c r="N792">
        <v>5.4053327992544364E-2</v>
      </c>
      <c r="O792" s="72">
        <v>0.99745381212269035</v>
      </c>
      <c r="P792">
        <v>0.99995546152293768</v>
      </c>
      <c r="Q792">
        <v>0.96929927787094161</v>
      </c>
      <c r="R792">
        <v>0.53372769421357635</v>
      </c>
      <c r="S792">
        <v>0.43134321918035656</v>
      </c>
      <c r="T792">
        <v>0.19977700959120015</v>
      </c>
      <c r="U792">
        <v>0.7761147385634386</v>
      </c>
      <c r="V792">
        <v>0.60396159202694966</v>
      </c>
      <c r="W792">
        <v>0.59786008162678417</v>
      </c>
      <c r="X792">
        <v>0.40625318772907487</v>
      </c>
      <c r="Y792">
        <v>0.48030568448284383</v>
      </c>
      <c r="Z792">
        <v>0.46982066478974349</v>
      </c>
      <c r="AA792">
        <v>0.69509463887229228</v>
      </c>
      <c r="AB792">
        <v>0.82385082430495815</v>
      </c>
      <c r="AC792">
        <v>0.72346717038993069</v>
      </c>
      <c r="AD792">
        <v>0.59353515199538509</v>
      </c>
      <c r="AE792">
        <v>214.83578548314648</v>
      </c>
      <c r="AF792">
        <v>1233.9822763052898</v>
      </c>
      <c r="AG792">
        <v>1639.3965941301785</v>
      </c>
      <c r="AH792">
        <v>13300.799243836498</v>
      </c>
      <c r="AI792">
        <v>14070.223652276563</v>
      </c>
      <c r="AJ792">
        <v>37523.441038713194</v>
      </c>
      <c r="AK792">
        <v>16525.314551002961</v>
      </c>
      <c r="AL792">
        <v>2277.7162216170891</v>
      </c>
      <c r="AM792">
        <v>337.36858364684485</v>
      </c>
      <c r="AO792">
        <v>40806.980901191724</v>
      </c>
      <c r="AP792">
        <v>13.380342082489346</v>
      </c>
      <c r="AQ792">
        <v>45802.879523969823</v>
      </c>
      <c r="AR792">
        <v>13.556765457771379</v>
      </c>
      <c r="AS792" s="2">
        <f t="shared" si="85"/>
        <v>4995.8986227780988</v>
      </c>
      <c r="AT792" s="2">
        <f t="shared" si="86"/>
        <v>0.17642337528203278</v>
      </c>
      <c r="AV792">
        <f t="shared" si="87"/>
        <v>1297227.2273477428</v>
      </c>
      <c r="AW792">
        <f t="shared" si="88"/>
        <v>1309873.6662531681</v>
      </c>
      <c r="AY792">
        <f t="shared" si="89"/>
        <v>0</v>
      </c>
      <c r="AZ792">
        <f t="shared" si="90"/>
        <v>1</v>
      </c>
    </row>
    <row r="793" spans="1:52" x14ac:dyDescent="0.2">
      <c r="A793">
        <f t="shared" si="84"/>
        <v>789</v>
      </c>
      <c r="B793">
        <v>3.1161704122477873E-2</v>
      </c>
      <c r="C793">
        <v>4.4996502602150934E-2</v>
      </c>
      <c r="D793">
        <v>5.9825793028318142E-2</v>
      </c>
      <c r="E793">
        <v>1.825289769723526E-2</v>
      </c>
      <c r="F793">
        <v>3.2683937191236444E-3</v>
      </c>
      <c r="G793">
        <v>1.714120936738861E-2</v>
      </c>
      <c r="H793">
        <v>1.5495738204641948E-2</v>
      </c>
      <c r="I793">
        <v>0.13104451351463187</v>
      </c>
      <c r="J793">
        <v>0</v>
      </c>
      <c r="K793">
        <v>0.44098772779411732</v>
      </c>
      <c r="L793">
        <v>0.26477084110517302</v>
      </c>
      <c r="M793">
        <v>0.73522915889482698</v>
      </c>
      <c r="N793">
        <v>4.739076447247656E-2</v>
      </c>
      <c r="O793" s="72">
        <v>0.95698168018049634</v>
      </c>
      <c r="P793">
        <v>0.99014399510793227</v>
      </c>
      <c r="Q793">
        <v>0.89115045454323061</v>
      </c>
      <c r="R793">
        <v>0.51100485086357461</v>
      </c>
      <c r="S793">
        <v>0.41695253950852817</v>
      </c>
      <c r="T793">
        <v>0.23174798183740586</v>
      </c>
      <c r="U793">
        <v>0.77501969337275656</v>
      </c>
      <c r="V793">
        <v>0.65093200343301394</v>
      </c>
      <c r="W793">
        <v>0.61182071126359494</v>
      </c>
      <c r="X793">
        <v>0.44680825035482968</v>
      </c>
      <c r="Y793">
        <v>0.4357092272602453</v>
      </c>
      <c r="Z793">
        <v>0.411279151197943</v>
      </c>
      <c r="AA793">
        <v>0.72563879093123917</v>
      </c>
      <c r="AB793">
        <v>0.82346773606903034</v>
      </c>
      <c r="AC793">
        <v>0.77643644357071984</v>
      </c>
      <c r="AD793">
        <v>0.59593433720147015</v>
      </c>
      <c r="AE793">
        <v>322.02488702673656</v>
      </c>
      <c r="AF793">
        <v>875.88483872408767</v>
      </c>
      <c r="AG793">
        <v>1377.9098062199469</v>
      </c>
      <c r="AH793">
        <v>10108.550975597756</v>
      </c>
      <c r="AI793">
        <v>11047.217705357791</v>
      </c>
      <c r="AJ793">
        <v>34759.330620778179</v>
      </c>
      <c r="AK793">
        <v>16039.177066727352</v>
      </c>
      <c r="AL793">
        <v>2517.3848442895255</v>
      </c>
      <c r="AM793">
        <v>426.27883657388782</v>
      </c>
      <c r="AO793">
        <v>42336.438168230205</v>
      </c>
      <c r="AP793">
        <v>13.442085710929051</v>
      </c>
      <c r="AQ793">
        <v>47911.321730287207</v>
      </c>
      <c r="AR793">
        <v>13.643872203974995</v>
      </c>
      <c r="AS793" s="2">
        <f t="shared" si="85"/>
        <v>5574.8835620570026</v>
      </c>
      <c r="AT793" s="2">
        <f t="shared" si="86"/>
        <v>0.20178649304594387</v>
      </c>
      <c r="AV793">
        <f t="shared" si="87"/>
        <v>1301872.1329246748</v>
      </c>
      <c r="AW793">
        <f t="shared" si="88"/>
        <v>1316475.8986672123</v>
      </c>
      <c r="AY793">
        <f t="shared" si="89"/>
        <v>0</v>
      </c>
      <c r="AZ793">
        <f t="shared" si="90"/>
        <v>1</v>
      </c>
    </row>
    <row r="794" spans="1:52" x14ac:dyDescent="0.2">
      <c r="A794">
        <f t="shared" si="84"/>
        <v>790</v>
      </c>
      <c r="B794">
        <v>2.1117539304614848E-2</v>
      </c>
      <c r="C794">
        <v>4.6221526961433557E-2</v>
      </c>
      <c r="D794">
        <v>4.4285332194544891E-2</v>
      </c>
      <c r="E794">
        <v>1.0256533569357105E-2</v>
      </c>
      <c r="F794">
        <v>3.31862737117544E-3</v>
      </c>
      <c r="G794">
        <v>8.1393868393456123E-3</v>
      </c>
      <c r="H794">
        <v>3.6868261537636671E-2</v>
      </c>
      <c r="I794">
        <v>0.14870399692882896</v>
      </c>
      <c r="J794">
        <v>0</v>
      </c>
      <c r="K794">
        <v>0.44613767225681</v>
      </c>
      <c r="L794">
        <v>0.23071103145349703</v>
      </c>
      <c r="M794">
        <v>0.76928896854650297</v>
      </c>
      <c r="N794">
        <v>3.6012845644363189E-2</v>
      </c>
      <c r="O794" s="72">
        <v>0.99988056409337345</v>
      </c>
      <c r="P794">
        <v>0.99990983370275466</v>
      </c>
      <c r="Q794">
        <v>0.99170223735551366</v>
      </c>
      <c r="R794">
        <v>0.46424478980452444</v>
      </c>
      <c r="S794">
        <v>0.43083414021007105</v>
      </c>
      <c r="T794">
        <v>0.18694469500481836</v>
      </c>
      <c r="U794">
        <v>0.76507933674310158</v>
      </c>
      <c r="V794">
        <v>0.63334391502806942</v>
      </c>
      <c r="W794">
        <v>0.49550649062978419</v>
      </c>
      <c r="X794">
        <v>0.44673546731312258</v>
      </c>
      <c r="Y794">
        <v>0.5067885175038418</v>
      </c>
      <c r="Z794">
        <v>0.46807698951896715</v>
      </c>
      <c r="AA794">
        <v>0.65096222592967146</v>
      </c>
      <c r="AB794">
        <v>0.6952018305577129</v>
      </c>
      <c r="AC794">
        <v>0.65225809835157833</v>
      </c>
      <c r="AD794">
        <v>0.71008745384939465</v>
      </c>
      <c r="AE794">
        <v>168.98497688393692</v>
      </c>
      <c r="AF794">
        <v>1081.5538447890556</v>
      </c>
      <c r="AG794">
        <v>1265.7030996276562</v>
      </c>
      <c r="AH794">
        <v>15711.994251521963</v>
      </c>
      <c r="AI794">
        <v>8721.9643740717293</v>
      </c>
      <c r="AJ794">
        <v>44646.309206230224</v>
      </c>
      <c r="AK794">
        <v>11422.232792320923</v>
      </c>
      <c r="AL794">
        <v>1445.6860478847857</v>
      </c>
      <c r="AM794">
        <v>416.32035857294727</v>
      </c>
      <c r="AO794">
        <v>45476.235074368095</v>
      </c>
      <c r="AP794">
        <v>11.67111926012244</v>
      </c>
      <c r="AQ794">
        <v>46882.723456473672</v>
      </c>
      <c r="AR794">
        <v>11.803761508154903</v>
      </c>
      <c r="AS794" s="2">
        <f t="shared" si="85"/>
        <v>1406.4883821055773</v>
      </c>
      <c r="AT794" s="2">
        <f t="shared" si="86"/>
        <v>0.13264224803246272</v>
      </c>
      <c r="AV794">
        <f t="shared" si="87"/>
        <v>1121635.690937876</v>
      </c>
      <c r="AW794">
        <f t="shared" si="88"/>
        <v>1133493.4273590166</v>
      </c>
      <c r="AY794">
        <f t="shared" si="89"/>
        <v>0</v>
      </c>
      <c r="AZ794">
        <f t="shared" si="90"/>
        <v>1</v>
      </c>
    </row>
    <row r="795" spans="1:52" x14ac:dyDescent="0.2">
      <c r="A795">
        <f t="shared" si="84"/>
        <v>791</v>
      </c>
      <c r="B795">
        <v>2.4867242208617579E-2</v>
      </c>
      <c r="C795">
        <v>4.4708845487872795E-2</v>
      </c>
      <c r="D795">
        <v>3.592438036940062E-2</v>
      </c>
      <c r="E795">
        <v>1.5116536534651726E-2</v>
      </c>
      <c r="F795">
        <v>3.3422056666794209E-3</v>
      </c>
      <c r="G795">
        <v>2.7043086482526723E-3</v>
      </c>
      <c r="H795">
        <v>2.9623383840510442E-2</v>
      </c>
      <c r="I795">
        <v>0.15404697167232473</v>
      </c>
      <c r="J795">
        <v>0</v>
      </c>
      <c r="K795">
        <v>0.41641031229722647</v>
      </c>
      <c r="L795">
        <v>0.30057767639144273</v>
      </c>
      <c r="M795">
        <v>0.69942232360855727</v>
      </c>
      <c r="N795">
        <v>5.7557732728171551E-2</v>
      </c>
      <c r="O795" s="72">
        <v>0.99956847041882047</v>
      </c>
      <c r="P795">
        <v>0.99989146495841585</v>
      </c>
      <c r="Q795">
        <v>0.85111866585900753</v>
      </c>
      <c r="R795">
        <v>0.45847119827213689</v>
      </c>
      <c r="S795">
        <v>0.43902846414781393</v>
      </c>
      <c r="T795">
        <v>0.2830890057251686</v>
      </c>
      <c r="U795">
        <v>0.77050903546756355</v>
      </c>
      <c r="V795">
        <v>0.59973277461114305</v>
      </c>
      <c r="W795">
        <v>0.49270120479379859</v>
      </c>
      <c r="X795">
        <v>0.46224342397100837</v>
      </c>
      <c r="Y795">
        <v>0.43865402114124158</v>
      </c>
      <c r="Z795">
        <v>0.49164449760785167</v>
      </c>
      <c r="AA795">
        <v>0.55165678554271624</v>
      </c>
      <c r="AB795">
        <v>0.7815223486759314</v>
      </c>
      <c r="AC795">
        <v>0.80897857164294928</v>
      </c>
      <c r="AD795">
        <v>0.60393201949522901</v>
      </c>
      <c r="AE795">
        <v>188.57126729430001</v>
      </c>
      <c r="AF795">
        <v>1103.7839218582326</v>
      </c>
      <c r="AG795">
        <v>1770.5247907334524</v>
      </c>
      <c r="AH795">
        <v>11803.234379992484</v>
      </c>
      <c r="AI795">
        <v>10309.039958816875</v>
      </c>
      <c r="AJ795">
        <v>42716.794367322553</v>
      </c>
      <c r="AK795">
        <v>15105.764151528847</v>
      </c>
      <c r="AL795">
        <v>1898.9830814558952</v>
      </c>
      <c r="AM795">
        <v>407.88456516002356</v>
      </c>
      <c r="AO795">
        <v>43669.661062662104</v>
      </c>
      <c r="AP795">
        <v>12.996210896683893</v>
      </c>
      <c r="AQ795">
        <v>47287.883625774128</v>
      </c>
      <c r="AR795">
        <v>13.131636710336505</v>
      </c>
      <c r="AS795" s="2">
        <f t="shared" si="85"/>
        <v>3618.2225631120236</v>
      </c>
      <c r="AT795" s="2">
        <f t="shared" si="86"/>
        <v>0.13542581365261164</v>
      </c>
      <c r="AV795">
        <f t="shared" si="87"/>
        <v>1255951.4286057274</v>
      </c>
      <c r="AW795">
        <f t="shared" si="88"/>
        <v>1265875.7874078762</v>
      </c>
      <c r="AY795">
        <f t="shared" si="89"/>
        <v>0</v>
      </c>
      <c r="AZ795">
        <f t="shared" si="90"/>
        <v>1</v>
      </c>
    </row>
    <row r="796" spans="1:52" x14ac:dyDescent="0.2">
      <c r="A796">
        <f t="shared" si="84"/>
        <v>792</v>
      </c>
      <c r="B796">
        <v>1.7999963954522663E-2</v>
      </c>
      <c r="C796">
        <v>3.2278375559432616E-2</v>
      </c>
      <c r="D796">
        <v>3.4750915273978264E-2</v>
      </c>
      <c r="E796">
        <v>2.9002511426031274E-2</v>
      </c>
      <c r="F796">
        <v>3.4478829696272806E-3</v>
      </c>
      <c r="G796">
        <v>1.7857166635517951E-2</v>
      </c>
      <c r="H796">
        <v>2.5741079277004319E-2</v>
      </c>
      <c r="I796">
        <v>0.13818134815185468</v>
      </c>
      <c r="J796">
        <v>0</v>
      </c>
      <c r="K796">
        <v>0.40330750623069106</v>
      </c>
      <c r="L796">
        <v>0.20774011330085185</v>
      </c>
      <c r="M796">
        <v>0.79225988669914815</v>
      </c>
      <c r="N796">
        <v>7.1051429092556684E-2</v>
      </c>
      <c r="O796" s="72">
        <v>0.99538910422943028</v>
      </c>
      <c r="P796">
        <v>0.94025589702064771</v>
      </c>
      <c r="Q796">
        <v>0.95638885642990257</v>
      </c>
      <c r="R796">
        <v>0.53155947797641945</v>
      </c>
      <c r="S796">
        <v>0.44076866828826056</v>
      </c>
      <c r="T796">
        <v>0.31105172859100538</v>
      </c>
      <c r="U796">
        <v>0.74929610823288961</v>
      </c>
      <c r="V796">
        <v>0.63364223805371112</v>
      </c>
      <c r="W796">
        <v>0.54191229956635312</v>
      </c>
      <c r="X796">
        <v>0.44915986671203156</v>
      </c>
      <c r="Y796">
        <v>0.47602406999023217</v>
      </c>
      <c r="Z796">
        <v>0.42917497222350343</v>
      </c>
      <c r="AA796">
        <v>0.64091400216657124</v>
      </c>
      <c r="AB796">
        <v>0.82719054784831059</v>
      </c>
      <c r="AC796">
        <v>0.69982694517326749</v>
      </c>
      <c r="AD796">
        <v>0.67450807159092674</v>
      </c>
      <c r="AE796">
        <v>212.16008874117159</v>
      </c>
      <c r="AF796">
        <v>1007.3787858474162</v>
      </c>
      <c r="AG796">
        <v>1164.4278384401211</v>
      </c>
      <c r="AH796">
        <v>10824.24275292001</v>
      </c>
      <c r="AI796">
        <v>10776.90170216184</v>
      </c>
      <c r="AJ796">
        <v>45177.477011201641</v>
      </c>
      <c r="AK796">
        <v>7267.4819308496735</v>
      </c>
      <c r="AL796">
        <v>3206.6791071787552</v>
      </c>
      <c r="AM796">
        <v>353.59141748419063</v>
      </c>
      <c r="AO796">
        <v>38710.071687893695</v>
      </c>
      <c r="AP796">
        <v>13.476478724551857</v>
      </c>
      <c r="AQ796">
        <v>47934.683756660255</v>
      </c>
      <c r="AR796">
        <v>13.662107833876766</v>
      </c>
      <c r="AS796" s="2">
        <f t="shared" si="85"/>
        <v>9224.6120687665607</v>
      </c>
      <c r="AT796" s="2">
        <f t="shared" si="86"/>
        <v>0.18562910932490873</v>
      </c>
      <c r="AV796">
        <f t="shared" si="87"/>
        <v>1308937.800767292</v>
      </c>
      <c r="AW796">
        <f t="shared" si="88"/>
        <v>1318276.0996310164</v>
      </c>
      <c r="AY796">
        <f t="shared" si="89"/>
        <v>0</v>
      </c>
      <c r="AZ796">
        <f t="shared" si="90"/>
        <v>1</v>
      </c>
    </row>
    <row r="797" spans="1:52" x14ac:dyDescent="0.2">
      <c r="A797">
        <f t="shared" si="84"/>
        <v>793</v>
      </c>
      <c r="B797">
        <v>2.1718046799634037E-2</v>
      </c>
      <c r="C797">
        <v>3.2794277595272786E-2</v>
      </c>
      <c r="D797">
        <v>4.3448947554618478E-2</v>
      </c>
      <c r="E797">
        <v>7.7337773692688315E-3</v>
      </c>
      <c r="F797">
        <v>3.4203837783178814E-3</v>
      </c>
      <c r="G797">
        <v>4.8821689703182677E-3</v>
      </c>
      <c r="H797">
        <v>2.3845004299382577E-2</v>
      </c>
      <c r="I797">
        <v>0.12849448843229436</v>
      </c>
      <c r="J797">
        <v>0</v>
      </c>
      <c r="K797">
        <v>0.43401571029222941</v>
      </c>
      <c r="L797">
        <v>0.16839317754408908</v>
      </c>
      <c r="M797">
        <v>0.83160682245591089</v>
      </c>
      <c r="N797">
        <v>4.7162389735215977E-2</v>
      </c>
      <c r="O797" s="72">
        <v>0.99889742180143326</v>
      </c>
      <c r="P797">
        <v>0.99999745003816276</v>
      </c>
      <c r="Q797">
        <v>0.95624874707387941</v>
      </c>
      <c r="R797">
        <v>0.48332029257290388</v>
      </c>
      <c r="S797">
        <v>0.47045206818207663</v>
      </c>
      <c r="T797">
        <v>0.28724588222274039</v>
      </c>
      <c r="U797">
        <v>0.74620897753013171</v>
      </c>
      <c r="V797">
        <v>0.62769240148287286</v>
      </c>
      <c r="W797">
        <v>0.45663628684849211</v>
      </c>
      <c r="X797">
        <v>0.43672469537894754</v>
      </c>
      <c r="Y797">
        <v>0.42150196062702816</v>
      </c>
      <c r="Z797">
        <v>0.3892951507043847</v>
      </c>
      <c r="AA797">
        <v>0.72200407675799483</v>
      </c>
      <c r="AB797">
        <v>0.81260800634441066</v>
      </c>
      <c r="AC797">
        <v>0.77020379730576038</v>
      </c>
      <c r="AD797">
        <v>0.61174822927902017</v>
      </c>
      <c r="AE797">
        <v>235.74789078019271</v>
      </c>
      <c r="AF797">
        <v>1043.0591456518553</v>
      </c>
      <c r="AG797">
        <v>1018.2553367647808</v>
      </c>
      <c r="AH797">
        <v>15457.942922398823</v>
      </c>
      <c r="AI797">
        <v>14069.871521461895</v>
      </c>
      <c r="AJ797">
        <v>43246.021585177012</v>
      </c>
      <c r="AK797">
        <v>17358.427489396425</v>
      </c>
      <c r="AL797">
        <v>2492.8643365945254</v>
      </c>
      <c r="AM797">
        <v>462.61867366636346</v>
      </c>
      <c r="AO797">
        <v>43045.95553172713</v>
      </c>
      <c r="AP797">
        <v>13.329422560180866</v>
      </c>
      <c r="AQ797">
        <v>47813.245637284512</v>
      </c>
      <c r="AR797">
        <v>13.509104426692582</v>
      </c>
      <c r="AS797" s="2">
        <f t="shared" si="85"/>
        <v>4767.290105557382</v>
      </c>
      <c r="AT797" s="2">
        <f t="shared" si="86"/>
        <v>0.17968186651171614</v>
      </c>
      <c r="AV797">
        <f t="shared" si="87"/>
        <v>1289896.3004863595</v>
      </c>
      <c r="AW797">
        <f t="shared" si="88"/>
        <v>1303097.1970319736</v>
      </c>
      <c r="AY797">
        <f t="shared" si="89"/>
        <v>0</v>
      </c>
      <c r="AZ797">
        <f t="shared" si="90"/>
        <v>1</v>
      </c>
    </row>
    <row r="798" spans="1:52" x14ac:dyDescent="0.2">
      <c r="A798">
        <f t="shared" si="84"/>
        <v>794</v>
      </c>
      <c r="B798">
        <v>2.7533529608763541E-2</v>
      </c>
      <c r="C798">
        <v>3.3139917028493143E-2</v>
      </c>
      <c r="D798">
        <v>5.5272788202078926E-2</v>
      </c>
      <c r="E798">
        <v>2.3096038489985871E-2</v>
      </c>
      <c r="F798">
        <v>3.3479175866834021E-3</v>
      </c>
      <c r="G798">
        <v>1.1179124988812569E-2</v>
      </c>
      <c r="H798">
        <v>4.4484341356345714E-2</v>
      </c>
      <c r="I798">
        <v>0.12738992176491037</v>
      </c>
      <c r="J798">
        <v>0</v>
      </c>
      <c r="K798">
        <v>0.39790645921074452</v>
      </c>
      <c r="L798">
        <v>0.2463520052186442</v>
      </c>
      <c r="M798">
        <v>0.7536479947813558</v>
      </c>
      <c r="N798">
        <v>4.9928984131656549E-2</v>
      </c>
      <c r="O798" s="72">
        <v>0.98946922402891324</v>
      </c>
      <c r="P798">
        <v>0.99665086649232937</v>
      </c>
      <c r="Q798">
        <v>0.93602969107210776</v>
      </c>
      <c r="R798">
        <v>0.47484540326392521</v>
      </c>
      <c r="S798">
        <v>0.52027323329466646</v>
      </c>
      <c r="T798">
        <v>0.21439637807629253</v>
      </c>
      <c r="U798">
        <v>0.80107760959466123</v>
      </c>
      <c r="V798">
        <v>0.70238714172819472</v>
      </c>
      <c r="W798">
        <v>0.60643538794133223</v>
      </c>
      <c r="X798">
        <v>0.46750493718910213</v>
      </c>
      <c r="Y798">
        <v>0.40522819172090507</v>
      </c>
      <c r="Z798">
        <v>0.49398746551096706</v>
      </c>
      <c r="AA798">
        <v>0.69628414830084695</v>
      </c>
      <c r="AB798">
        <v>0.83086205800552593</v>
      </c>
      <c r="AC798">
        <v>0.73135112462677754</v>
      </c>
      <c r="AD798">
        <v>0.62023468250158831</v>
      </c>
      <c r="AE798">
        <v>204.86008583196889</v>
      </c>
      <c r="AF798">
        <v>973.61992460663691</v>
      </c>
      <c r="AG798">
        <v>1832.2322789395239</v>
      </c>
      <c r="AH798">
        <v>17901.524996238812</v>
      </c>
      <c r="AI798">
        <v>11815.268609900413</v>
      </c>
      <c r="AJ798">
        <v>46356.333252743192</v>
      </c>
      <c r="AK798">
        <v>11866.214428905812</v>
      </c>
      <c r="AL798">
        <v>1677.5461452936993</v>
      </c>
      <c r="AM798">
        <v>293.78761328214483</v>
      </c>
      <c r="AO798">
        <v>42014.446309223174</v>
      </c>
      <c r="AP798">
        <v>13.507770214362514</v>
      </c>
      <c r="AQ798">
        <v>45453.488948991107</v>
      </c>
      <c r="AR798">
        <v>13.703198799802374</v>
      </c>
      <c r="AS798" s="2">
        <f t="shared" si="85"/>
        <v>3439.042639767933</v>
      </c>
      <c r="AT798" s="2">
        <f t="shared" si="86"/>
        <v>0.19542858543985986</v>
      </c>
      <c r="AV798">
        <f t="shared" si="87"/>
        <v>1308762.5751270284</v>
      </c>
      <c r="AW798">
        <f t="shared" si="88"/>
        <v>1324866.3910312464</v>
      </c>
      <c r="AY798">
        <f t="shared" si="89"/>
        <v>0</v>
      </c>
      <c r="AZ798">
        <f t="shared" si="90"/>
        <v>1</v>
      </c>
    </row>
    <row r="799" spans="1:52" x14ac:dyDescent="0.2">
      <c r="A799">
        <f t="shared" si="84"/>
        <v>795</v>
      </c>
      <c r="B799">
        <v>2.2847005763432703E-2</v>
      </c>
      <c r="C799">
        <v>5.2295544253649351E-2</v>
      </c>
      <c r="D799">
        <v>3.6697233225352864E-2</v>
      </c>
      <c r="E799">
        <v>5.092639288565951E-3</v>
      </c>
      <c r="F799">
        <v>3.5399100030979458E-3</v>
      </c>
      <c r="G799">
        <v>3.7407145473013603E-2</v>
      </c>
      <c r="H799">
        <v>2.9845627139474806E-2</v>
      </c>
      <c r="I799">
        <v>0.12031658440200285</v>
      </c>
      <c r="J799">
        <v>0</v>
      </c>
      <c r="K799">
        <v>0.43502099396768057</v>
      </c>
      <c r="L799">
        <v>0.27025004980100209</v>
      </c>
      <c r="M799">
        <v>0.72974995019899791</v>
      </c>
      <c r="N799">
        <v>5.3605756973479704E-2</v>
      </c>
      <c r="O799" s="72">
        <v>0.96088759218301734</v>
      </c>
      <c r="P799">
        <v>0.99998446308824351</v>
      </c>
      <c r="Q799">
        <v>0.98621006558829594</v>
      </c>
      <c r="R799">
        <v>0.47265643443478922</v>
      </c>
      <c r="S799">
        <v>0.40547518203652588</v>
      </c>
      <c r="T799">
        <v>0.30128256970306144</v>
      </c>
      <c r="U799">
        <v>0.78130669960550692</v>
      </c>
      <c r="V799">
        <v>0.61184891293736232</v>
      </c>
      <c r="W799">
        <v>0.52197279796405205</v>
      </c>
      <c r="X799">
        <v>0.42590709388163356</v>
      </c>
      <c r="Y799">
        <v>0.44616515399417328</v>
      </c>
      <c r="Z799">
        <v>0.48591515634393845</v>
      </c>
      <c r="AA799">
        <v>0.72681778969550714</v>
      </c>
      <c r="AB799">
        <v>0.78806601473915849</v>
      </c>
      <c r="AC799">
        <v>0.70356736089178262</v>
      </c>
      <c r="AD799">
        <v>0.553881438643825</v>
      </c>
      <c r="AE799">
        <v>157.68024120524774</v>
      </c>
      <c r="AF799">
        <v>1095.5980254086585</v>
      </c>
      <c r="AG799">
        <v>1979.1907901388597</v>
      </c>
      <c r="AH799">
        <v>10944.40566097734</v>
      </c>
      <c r="AI799">
        <v>11067.786000143778</v>
      </c>
      <c r="AJ799">
        <v>41293.772397286644</v>
      </c>
      <c r="AK799">
        <v>14496.772663668962</v>
      </c>
      <c r="AL799">
        <v>1287.6608763354122</v>
      </c>
      <c r="AM799">
        <v>341.08201309262603</v>
      </c>
      <c r="AO799">
        <v>42105.617006829285</v>
      </c>
      <c r="AP799">
        <v>12.849948734156294</v>
      </c>
      <c r="AQ799">
        <v>45875.872508780194</v>
      </c>
      <c r="AR799">
        <v>12.968247286362558</v>
      </c>
      <c r="AS799" s="2">
        <f t="shared" si="85"/>
        <v>3770.2555019509091</v>
      </c>
      <c r="AT799" s="2">
        <f t="shared" si="86"/>
        <v>0.11829855220626406</v>
      </c>
      <c r="AV799">
        <f t="shared" si="87"/>
        <v>1242889.2564088001</v>
      </c>
      <c r="AW799">
        <f t="shared" si="88"/>
        <v>1250948.8561274759</v>
      </c>
      <c r="AY799">
        <f t="shared" si="89"/>
        <v>0</v>
      </c>
      <c r="AZ799">
        <f t="shared" si="90"/>
        <v>1</v>
      </c>
    </row>
    <row r="800" spans="1:52" x14ac:dyDescent="0.2">
      <c r="A800">
        <f t="shared" si="84"/>
        <v>796</v>
      </c>
      <c r="B800">
        <v>2.652826731078306E-2</v>
      </c>
      <c r="C800">
        <v>3.7693417394107365E-2</v>
      </c>
      <c r="D800">
        <v>4.7340309932234481E-2</v>
      </c>
      <c r="E800">
        <v>2.1306786345236528E-2</v>
      </c>
      <c r="F800">
        <v>3.3207563573594214E-3</v>
      </c>
      <c r="G800">
        <v>5.8428147238180489E-3</v>
      </c>
      <c r="H800">
        <v>3.5673766015131392E-2</v>
      </c>
      <c r="I800">
        <v>0.12255332870306655</v>
      </c>
      <c r="J800">
        <v>0</v>
      </c>
      <c r="K800">
        <v>0.38975415880562408</v>
      </c>
      <c r="L800">
        <v>0.19048395061152704</v>
      </c>
      <c r="M800">
        <v>0.80951604938847299</v>
      </c>
      <c r="N800">
        <v>4.2321486815718831E-2</v>
      </c>
      <c r="O800" s="72">
        <v>0.99736349942573421</v>
      </c>
      <c r="P800">
        <v>0.99999661355665759</v>
      </c>
      <c r="Q800">
        <v>0.96540596614475671</v>
      </c>
      <c r="R800">
        <v>0.50141722544439271</v>
      </c>
      <c r="S800">
        <v>0.45738935606475895</v>
      </c>
      <c r="T800">
        <v>0.25669835241850369</v>
      </c>
      <c r="U800">
        <v>0.77668552530053936</v>
      </c>
      <c r="V800">
        <v>0.6420933493735469</v>
      </c>
      <c r="W800">
        <v>0.56564383094392112</v>
      </c>
      <c r="X800">
        <v>0.45719967686580221</v>
      </c>
      <c r="Y800">
        <v>0.44083785245330137</v>
      </c>
      <c r="Z800">
        <v>0.47071339052099892</v>
      </c>
      <c r="AA800">
        <v>0.6704831542090941</v>
      </c>
      <c r="AB800">
        <v>0.76981159425783907</v>
      </c>
      <c r="AC800">
        <v>0.72805076194162255</v>
      </c>
      <c r="AD800">
        <v>0.63867125510189204</v>
      </c>
      <c r="AE800">
        <v>188.26798237173327</v>
      </c>
      <c r="AF800">
        <v>969.34692291446015</v>
      </c>
      <c r="AG800">
        <v>1752.0551148139452</v>
      </c>
      <c r="AH800">
        <v>15681.161076357403</v>
      </c>
      <c r="AI800">
        <v>10784.504111255832</v>
      </c>
      <c r="AJ800">
        <v>43732.639860889532</v>
      </c>
      <c r="AK800">
        <v>17457.217485608468</v>
      </c>
      <c r="AL800">
        <v>977.47515003012393</v>
      </c>
      <c r="AM800">
        <v>331.2783579880815</v>
      </c>
      <c r="AO800">
        <v>40869.165428387816</v>
      </c>
      <c r="AP800">
        <v>12.738326111160367</v>
      </c>
      <c r="AQ800">
        <v>45738.100257339465</v>
      </c>
      <c r="AR800">
        <v>12.878016837366451</v>
      </c>
      <c r="AS800" s="2">
        <f t="shared" si="85"/>
        <v>4868.9348289516493</v>
      </c>
      <c r="AT800" s="2">
        <f t="shared" si="86"/>
        <v>0.13969072620608358</v>
      </c>
      <c r="AV800">
        <f t="shared" si="87"/>
        <v>1232963.4456876488</v>
      </c>
      <c r="AW800">
        <f t="shared" si="88"/>
        <v>1242063.5834793057</v>
      </c>
      <c r="AY800">
        <f t="shared" si="89"/>
        <v>0</v>
      </c>
      <c r="AZ800">
        <f t="shared" si="90"/>
        <v>1</v>
      </c>
    </row>
    <row r="801" spans="1:52" x14ac:dyDescent="0.2">
      <c r="A801">
        <f t="shared" si="84"/>
        <v>797</v>
      </c>
      <c r="B801">
        <v>2.4522100212993034E-2</v>
      </c>
      <c r="C801">
        <v>3.1539704204135939E-2</v>
      </c>
      <c r="D801">
        <v>3.9429526020413941E-2</v>
      </c>
      <c r="E801">
        <v>2.5216597528897704E-3</v>
      </c>
      <c r="F801">
        <v>3.4170619277034131E-3</v>
      </c>
      <c r="G801">
        <v>2.043129838115465E-2</v>
      </c>
      <c r="H801">
        <v>1.5951295993996865E-2</v>
      </c>
      <c r="I801">
        <v>0.1344738033718561</v>
      </c>
      <c r="J801">
        <v>0</v>
      </c>
      <c r="K801">
        <v>0.41522773031894666</v>
      </c>
      <c r="L801">
        <v>0.28157876710348884</v>
      </c>
      <c r="M801">
        <v>0.71842123289651116</v>
      </c>
      <c r="N801">
        <v>5.2418574120184247E-2</v>
      </c>
      <c r="O801" s="72">
        <v>0.99973789485160547</v>
      </c>
      <c r="P801">
        <v>0.99909698305239925</v>
      </c>
      <c r="Q801">
        <v>0.95417410721299378</v>
      </c>
      <c r="R801">
        <v>0.44399076452152808</v>
      </c>
      <c r="S801">
        <v>0.45881968793243244</v>
      </c>
      <c r="T801">
        <v>0.29124522521776353</v>
      </c>
      <c r="U801">
        <v>0.77939307539095981</v>
      </c>
      <c r="V801">
        <v>0.68737518909062723</v>
      </c>
      <c r="W801">
        <v>0.51177835398109695</v>
      </c>
      <c r="X801">
        <v>0.473163949885684</v>
      </c>
      <c r="Y801">
        <v>0.47503359616837004</v>
      </c>
      <c r="Z801">
        <v>0.45070244944620752</v>
      </c>
      <c r="AA801">
        <v>0.65590779425443491</v>
      </c>
      <c r="AB801">
        <v>0.86931979087747624</v>
      </c>
      <c r="AC801">
        <v>0.75678546000841251</v>
      </c>
      <c r="AD801">
        <v>0.55674254529374279</v>
      </c>
      <c r="AE801">
        <v>234.19481327857935</v>
      </c>
      <c r="AF801">
        <v>1165.3783810250284</v>
      </c>
      <c r="AG801">
        <v>1269.1915364453598</v>
      </c>
      <c r="AH801">
        <v>14261.568767212293</v>
      </c>
      <c r="AI801">
        <v>10920.095607768306</v>
      </c>
      <c r="AJ801">
        <v>45753.651016248426</v>
      </c>
      <c r="AK801">
        <v>14437.399992077724</v>
      </c>
      <c r="AL801">
        <v>2413.0875800435183</v>
      </c>
      <c r="AM801">
        <v>407.51413878353003</v>
      </c>
      <c r="AO801">
        <v>44351.112860053159</v>
      </c>
      <c r="AP801">
        <v>13.997230311231901</v>
      </c>
      <c r="AQ801">
        <v>46959.323892070082</v>
      </c>
      <c r="AR801">
        <v>14.196094045905982</v>
      </c>
      <c r="AS801" s="2">
        <f t="shared" si="85"/>
        <v>2608.2110320169231</v>
      </c>
      <c r="AT801" s="2">
        <f t="shared" si="86"/>
        <v>0.19886373467408092</v>
      </c>
      <c r="AV801">
        <f t="shared" si="87"/>
        <v>1355371.9182631371</v>
      </c>
      <c r="AW801">
        <f t="shared" si="88"/>
        <v>1372650.0806985281</v>
      </c>
      <c r="AY801">
        <f t="shared" si="89"/>
        <v>0</v>
      </c>
      <c r="AZ801">
        <f t="shared" si="90"/>
        <v>1</v>
      </c>
    </row>
    <row r="802" spans="1:52" x14ac:dyDescent="0.2">
      <c r="A802">
        <f t="shared" si="84"/>
        <v>798</v>
      </c>
      <c r="B802">
        <v>2.8864040153264825E-2</v>
      </c>
      <c r="C802">
        <v>2.7793200810563211E-2</v>
      </c>
      <c r="D802">
        <v>4.4174903830628942E-2</v>
      </c>
      <c r="E802">
        <v>1.2223205643888124E-2</v>
      </c>
      <c r="F802">
        <v>3.4056932059729483E-3</v>
      </c>
      <c r="G802">
        <v>2.9121377612922661E-2</v>
      </c>
      <c r="H802">
        <v>3.4271750267142909E-2</v>
      </c>
      <c r="I802">
        <v>0.12240483734895176</v>
      </c>
      <c r="J802">
        <v>0</v>
      </c>
      <c r="K802">
        <v>0.45733390403951335</v>
      </c>
      <c r="L802">
        <v>0.25718851776543838</v>
      </c>
      <c r="M802">
        <v>0.74281148223456162</v>
      </c>
      <c r="N802">
        <v>5.3124975412571294E-2</v>
      </c>
      <c r="O802" s="72">
        <v>0.99955703981177257</v>
      </c>
      <c r="P802">
        <v>0.98927521658007556</v>
      </c>
      <c r="Q802">
        <v>0.96797287814810873</v>
      </c>
      <c r="R802">
        <v>0.51289456645340525</v>
      </c>
      <c r="S802">
        <v>0.47203219649550432</v>
      </c>
      <c r="T802">
        <v>0.3579886266161737</v>
      </c>
      <c r="U802">
        <v>0.75631891327965317</v>
      </c>
      <c r="V802">
        <v>0.7205174705961086</v>
      </c>
      <c r="W802">
        <v>0.51147945038291265</v>
      </c>
      <c r="X802">
        <v>0.42694368488786272</v>
      </c>
      <c r="Y802">
        <v>0.44038818863554591</v>
      </c>
      <c r="Z802">
        <v>0.40330955657007078</v>
      </c>
      <c r="AA802">
        <v>0.60455271634619201</v>
      </c>
      <c r="AB802">
        <v>0.81862575831379103</v>
      </c>
      <c r="AC802">
        <v>0.76428887065535012</v>
      </c>
      <c r="AD802">
        <v>0.60382007893289313</v>
      </c>
      <c r="AE802">
        <v>142.10036086245665</v>
      </c>
      <c r="AF802">
        <v>1175.9465852344063</v>
      </c>
      <c r="AG802">
        <v>2744.4595772700941</v>
      </c>
      <c r="AH802">
        <v>11940.522206234244</v>
      </c>
      <c r="AI802">
        <v>10467.938975567231</v>
      </c>
      <c r="AJ802">
        <v>43572.543235769088</v>
      </c>
      <c r="AK802">
        <v>14722.221483288162</v>
      </c>
      <c r="AL802">
        <v>1495.2060731589841</v>
      </c>
      <c r="AM802">
        <v>434.42451888058781</v>
      </c>
      <c r="AO802">
        <v>40404.655670180946</v>
      </c>
      <c r="AP802">
        <v>13.429636056343671</v>
      </c>
      <c r="AQ802">
        <v>47647.443759668189</v>
      </c>
      <c r="AR802">
        <v>13.56995771874753</v>
      </c>
      <c r="AS802" s="2">
        <f t="shared" si="85"/>
        <v>7242.7880894872433</v>
      </c>
      <c r="AT802" s="2">
        <f t="shared" si="86"/>
        <v>0.14032166240385813</v>
      </c>
      <c r="AV802">
        <f t="shared" si="87"/>
        <v>1302558.9499641862</v>
      </c>
      <c r="AW802">
        <f t="shared" si="88"/>
        <v>1309348.3281150849</v>
      </c>
      <c r="AY802">
        <f t="shared" si="89"/>
        <v>0</v>
      </c>
      <c r="AZ802">
        <f t="shared" si="90"/>
        <v>1</v>
      </c>
    </row>
    <row r="803" spans="1:52" x14ac:dyDescent="0.2">
      <c r="A803">
        <f t="shared" si="84"/>
        <v>799</v>
      </c>
      <c r="B803">
        <v>2.6313948261902809E-2</v>
      </c>
      <c r="C803">
        <v>4.3849868407323522E-2</v>
      </c>
      <c r="D803">
        <v>5.2460832689505854E-2</v>
      </c>
      <c r="E803">
        <v>1.0321066906103203E-2</v>
      </c>
      <c r="F803">
        <v>3.4046567057713917E-3</v>
      </c>
      <c r="G803">
        <v>2.7935036435200233E-2</v>
      </c>
      <c r="H803">
        <v>2.4052722598702041E-2</v>
      </c>
      <c r="I803">
        <v>0.12425420315756804</v>
      </c>
      <c r="J803">
        <v>0</v>
      </c>
      <c r="K803">
        <v>0.45500128729204103</v>
      </c>
      <c r="L803">
        <v>0.24420416643187137</v>
      </c>
      <c r="M803">
        <v>0.75579583356812863</v>
      </c>
      <c r="N803">
        <v>4.1965755406571957E-2</v>
      </c>
      <c r="O803" s="72">
        <v>0.99987178422218415</v>
      </c>
      <c r="P803">
        <v>0.99905083322077304</v>
      </c>
      <c r="Q803">
        <v>0.94809045495182709</v>
      </c>
      <c r="R803">
        <v>0.47606598597350713</v>
      </c>
      <c r="S803">
        <v>0.39508171897925903</v>
      </c>
      <c r="T803">
        <v>0.1296230852657615</v>
      </c>
      <c r="U803">
        <v>0.7439630418967994</v>
      </c>
      <c r="V803">
        <v>0.7070799980277872</v>
      </c>
      <c r="W803">
        <v>0.50863714074966326</v>
      </c>
      <c r="X803">
        <v>0.41063329159846834</v>
      </c>
      <c r="Y803">
        <v>0.4775621796006696</v>
      </c>
      <c r="Z803">
        <v>0.48272869164153576</v>
      </c>
      <c r="AA803">
        <v>0.6291609893841098</v>
      </c>
      <c r="AB803">
        <v>0.79149535614702182</v>
      </c>
      <c r="AC803">
        <v>0.67872935978643167</v>
      </c>
      <c r="AD803">
        <v>0.57663221218192207</v>
      </c>
      <c r="AE803">
        <v>219.11423175057445</v>
      </c>
      <c r="AF803">
        <v>1080.0685235405931</v>
      </c>
      <c r="AG803">
        <v>2046.2587395636203</v>
      </c>
      <c r="AH803">
        <v>16116.353700405449</v>
      </c>
      <c r="AI803">
        <v>12931.85522518751</v>
      </c>
      <c r="AJ803">
        <v>41396.735698392731</v>
      </c>
      <c r="AK803">
        <v>29021.837227391577</v>
      </c>
      <c r="AL803">
        <v>1081.4960941191364</v>
      </c>
      <c r="AM803">
        <v>332.43950906660911</v>
      </c>
      <c r="AO803">
        <v>46478.579111814848</v>
      </c>
      <c r="AP803">
        <v>12.751217254384661</v>
      </c>
      <c r="AQ803">
        <v>45902.588908935926</v>
      </c>
      <c r="AR803">
        <v>13.001220501857301</v>
      </c>
      <c r="AS803" s="2">
        <f t="shared" si="85"/>
        <v>-575.99020287892199</v>
      </c>
      <c r="AT803" s="2">
        <f t="shared" si="86"/>
        <v>0.25000324747263925</v>
      </c>
      <c r="AV803">
        <f t="shared" si="87"/>
        <v>1228643.1463266513</v>
      </c>
      <c r="AW803">
        <f t="shared" si="88"/>
        <v>1254219.4612767941</v>
      </c>
      <c r="AY803">
        <f t="shared" si="89"/>
        <v>0</v>
      </c>
      <c r="AZ803">
        <f t="shared" si="90"/>
        <v>1</v>
      </c>
    </row>
    <row r="804" spans="1:52" x14ac:dyDescent="0.2">
      <c r="A804">
        <f t="shared" si="84"/>
        <v>800</v>
      </c>
      <c r="B804">
        <v>2.3799492583007106E-2</v>
      </c>
      <c r="C804">
        <v>3.2046493423592198E-2</v>
      </c>
      <c r="D804">
        <v>4.5501273210840854E-2</v>
      </c>
      <c r="E804">
        <v>2.2780667231220741E-2</v>
      </c>
      <c r="F804">
        <v>3.3920010995566185E-3</v>
      </c>
      <c r="G804">
        <v>1.8948629290690633E-2</v>
      </c>
      <c r="H804">
        <v>2.6622851272141677E-2</v>
      </c>
      <c r="I804">
        <v>0.12741325605196951</v>
      </c>
      <c r="J804">
        <v>0</v>
      </c>
      <c r="K804">
        <v>0.45881173802159547</v>
      </c>
      <c r="L804">
        <v>0.27160369620959446</v>
      </c>
      <c r="M804">
        <v>0.72839630379040554</v>
      </c>
      <c r="N804">
        <v>5.6121368300602603E-2</v>
      </c>
      <c r="O804" s="72">
        <v>0.99238024951951165</v>
      </c>
      <c r="P804">
        <v>0.99994097903157397</v>
      </c>
      <c r="Q804">
        <v>0.97283694969018775</v>
      </c>
      <c r="R804">
        <v>0.43518780255703138</v>
      </c>
      <c r="S804">
        <v>0.38153682789281274</v>
      </c>
      <c r="T804">
        <v>0.34041303617659124</v>
      </c>
      <c r="U804">
        <v>0.73803195441505931</v>
      </c>
      <c r="V804">
        <v>0.67914528500184113</v>
      </c>
      <c r="W804">
        <v>0.58312289997834577</v>
      </c>
      <c r="X804">
        <v>0.46703079371378931</v>
      </c>
      <c r="Y804">
        <v>0.48096635174430324</v>
      </c>
      <c r="Z804">
        <v>0.40170790079496155</v>
      </c>
      <c r="AA804">
        <v>0.60077719881205227</v>
      </c>
      <c r="AB804">
        <v>0.80474968999646734</v>
      </c>
      <c r="AC804">
        <v>0.78870888690894492</v>
      </c>
      <c r="AD804">
        <v>0.65679112457945976</v>
      </c>
      <c r="AE804">
        <v>193.73579809957485</v>
      </c>
      <c r="AF804">
        <v>1074.1735146234344</v>
      </c>
      <c r="AG804">
        <v>1420.7022649898106</v>
      </c>
      <c r="AH804">
        <v>14456.03699853133</v>
      </c>
      <c r="AI804">
        <v>11872.278255710647</v>
      </c>
      <c r="AJ804">
        <v>44011.975149108155</v>
      </c>
      <c r="AK804">
        <v>11976.932449017742</v>
      </c>
      <c r="AL804">
        <v>1999.3478842834877</v>
      </c>
      <c r="AM804">
        <v>350.03926427565705</v>
      </c>
      <c r="AO804">
        <v>44165.188970875766</v>
      </c>
      <c r="AP804">
        <v>13.305439816622108</v>
      </c>
      <c r="AQ804">
        <v>45975.595996951823</v>
      </c>
      <c r="AR804">
        <v>13.495352523203263</v>
      </c>
      <c r="AS804" s="2">
        <f t="shared" si="85"/>
        <v>1810.4070260760564</v>
      </c>
      <c r="AT804" s="2">
        <f t="shared" si="86"/>
        <v>0.18991270658115411</v>
      </c>
      <c r="AV804">
        <f t="shared" si="87"/>
        <v>1286378.7926913351</v>
      </c>
      <c r="AW804">
        <f t="shared" si="88"/>
        <v>1303559.6563233742</v>
      </c>
      <c r="AY804">
        <f t="shared" si="89"/>
        <v>0</v>
      </c>
      <c r="AZ804">
        <f t="shared" si="90"/>
        <v>1</v>
      </c>
    </row>
    <row r="805" spans="1:52" x14ac:dyDescent="0.2">
      <c r="A805">
        <f t="shared" si="84"/>
        <v>801</v>
      </c>
      <c r="B805">
        <v>2.6903464697753177E-2</v>
      </c>
      <c r="C805">
        <v>5.0915099646596906E-2</v>
      </c>
      <c r="D805">
        <v>4.2390078651417196E-2</v>
      </c>
      <c r="E805">
        <v>7.8862899525910263E-3</v>
      </c>
      <c r="F805">
        <v>3.2419036965554543E-3</v>
      </c>
      <c r="G805">
        <v>1.9410457922777863E-3</v>
      </c>
      <c r="H805">
        <v>3.0381136192378144E-2</v>
      </c>
      <c r="I805">
        <v>0.12375224858524059</v>
      </c>
      <c r="J805">
        <v>0</v>
      </c>
      <c r="K805">
        <v>0.40905506828540661</v>
      </c>
      <c r="L805">
        <v>0.23339926748415551</v>
      </c>
      <c r="M805">
        <v>0.76660073251584449</v>
      </c>
      <c r="N805">
        <v>6.2692606353800584E-2</v>
      </c>
      <c r="O805" s="72">
        <v>0.99987285722941421</v>
      </c>
      <c r="P805">
        <v>0.99334211862946453</v>
      </c>
      <c r="Q805">
        <v>0.96531349308820402</v>
      </c>
      <c r="R805">
        <v>0.48317340645221407</v>
      </c>
      <c r="S805">
        <v>0.49171311973111653</v>
      </c>
      <c r="T805">
        <v>0.19221720346885773</v>
      </c>
      <c r="U805">
        <v>0.77133992697774356</v>
      </c>
      <c r="V805">
        <v>0.58905035083517943</v>
      </c>
      <c r="W805">
        <v>0.6506756199888668</v>
      </c>
      <c r="X805">
        <v>0.41629860529713147</v>
      </c>
      <c r="Y805">
        <v>0.41000952704580818</v>
      </c>
      <c r="Z805">
        <v>0.51790179142250437</v>
      </c>
      <c r="AA805">
        <v>0.72099621444444362</v>
      </c>
      <c r="AB805">
        <v>0.78450689674047425</v>
      </c>
      <c r="AC805">
        <v>0.76838558995690454</v>
      </c>
      <c r="AD805">
        <v>0.63904490205858</v>
      </c>
      <c r="AE805">
        <v>183.11266133775342</v>
      </c>
      <c r="AF805">
        <v>1003.7876304005978</v>
      </c>
      <c r="AG805">
        <v>1236.1536722813246</v>
      </c>
      <c r="AH805">
        <v>10982.875623908092</v>
      </c>
      <c r="AI805">
        <v>8493.5360035341164</v>
      </c>
      <c r="AJ805">
        <v>38924.02073115774</v>
      </c>
      <c r="AK805">
        <v>13027.855428954204</v>
      </c>
      <c r="AL805">
        <v>1561.2196221821366</v>
      </c>
      <c r="AM805">
        <v>268.05894340004812</v>
      </c>
      <c r="AO805">
        <v>41491.7185520618</v>
      </c>
      <c r="AP805">
        <v>13.009755087493652</v>
      </c>
      <c r="AQ805">
        <v>44789.002729166714</v>
      </c>
      <c r="AR805">
        <v>13.155131555325141</v>
      </c>
      <c r="AS805" s="2">
        <f t="shared" si="85"/>
        <v>3297.2841771049134</v>
      </c>
      <c r="AT805" s="2">
        <f t="shared" si="86"/>
        <v>0.14537646783148972</v>
      </c>
      <c r="AV805">
        <f t="shared" si="87"/>
        <v>1259483.7901973033</v>
      </c>
      <c r="AW805">
        <f t="shared" si="88"/>
        <v>1270724.1528033474</v>
      </c>
      <c r="AY805">
        <f t="shared" si="89"/>
        <v>0</v>
      </c>
      <c r="AZ805">
        <f t="shared" si="90"/>
        <v>1</v>
      </c>
    </row>
    <row r="806" spans="1:52" x14ac:dyDescent="0.2">
      <c r="A806">
        <f t="shared" si="84"/>
        <v>802</v>
      </c>
      <c r="B806">
        <v>3.0787382925939522E-2</v>
      </c>
      <c r="C806">
        <v>3.7870999565486785E-2</v>
      </c>
      <c r="D806">
        <v>3.3762939260775955E-2</v>
      </c>
      <c r="E806">
        <v>1.4958423900839346E-2</v>
      </c>
      <c r="F806">
        <v>3.3252773216662971E-3</v>
      </c>
      <c r="G806">
        <v>3.0042801683261566E-2</v>
      </c>
      <c r="H806">
        <v>5.3646395429663762E-2</v>
      </c>
      <c r="I806">
        <v>0.13156713539233023</v>
      </c>
      <c r="J806">
        <v>0</v>
      </c>
      <c r="K806">
        <v>0.36878835706232088</v>
      </c>
      <c r="L806">
        <v>0.22740394121607643</v>
      </c>
      <c r="M806">
        <v>0.77259605878392357</v>
      </c>
      <c r="N806">
        <v>5.579591134002071E-2</v>
      </c>
      <c r="O806" s="72">
        <v>0.99980537509122502</v>
      </c>
      <c r="P806">
        <v>0.99994483270872736</v>
      </c>
      <c r="Q806">
        <v>0.95176943610924825</v>
      </c>
      <c r="R806">
        <v>0.55190507584250237</v>
      </c>
      <c r="S806">
        <v>0.43599824770309314</v>
      </c>
      <c r="T806">
        <v>0.20174601276426896</v>
      </c>
      <c r="U806">
        <v>0.75521222975354463</v>
      </c>
      <c r="V806">
        <v>0.67308551966880592</v>
      </c>
      <c r="W806">
        <v>0.50008042983205703</v>
      </c>
      <c r="X806">
        <v>0.43846926343630005</v>
      </c>
      <c r="Y806">
        <v>0.42029354749992653</v>
      </c>
      <c r="Z806">
        <v>0.40876615002024341</v>
      </c>
      <c r="AA806">
        <v>0.66092844787173755</v>
      </c>
      <c r="AB806">
        <v>0.7156602929994742</v>
      </c>
      <c r="AC806">
        <v>0.61538538595856396</v>
      </c>
      <c r="AD806">
        <v>0.63447495682293553</v>
      </c>
      <c r="AE806">
        <v>222.61636872794693</v>
      </c>
      <c r="AF806">
        <v>1066.7551762479688</v>
      </c>
      <c r="AG806">
        <v>1445.7118186359621</v>
      </c>
      <c r="AH806">
        <v>11587.958175805275</v>
      </c>
      <c r="AI806">
        <v>14533.52892127296</v>
      </c>
      <c r="AJ806">
        <v>42009.928946554312</v>
      </c>
      <c r="AK806">
        <v>17135.359376836928</v>
      </c>
      <c r="AL806">
        <v>1802.9834768643409</v>
      </c>
      <c r="AM806">
        <v>377.27832940809691</v>
      </c>
      <c r="AO806">
        <v>40426.027641776323</v>
      </c>
      <c r="AP806">
        <v>11.793516997453311</v>
      </c>
      <c r="AQ806">
        <v>46408.28415961453</v>
      </c>
      <c r="AR806">
        <v>11.915817832075188</v>
      </c>
      <c r="AS806" s="2">
        <f t="shared" si="85"/>
        <v>5982.2565178382065</v>
      </c>
      <c r="AT806" s="2">
        <f t="shared" si="86"/>
        <v>0.12230083462187658</v>
      </c>
      <c r="AV806">
        <f t="shared" si="87"/>
        <v>1138925.6721035549</v>
      </c>
      <c r="AW806">
        <f t="shared" si="88"/>
        <v>1145173.4990479043</v>
      </c>
      <c r="AY806">
        <f t="shared" si="89"/>
        <v>0</v>
      </c>
      <c r="AZ806">
        <f t="shared" si="90"/>
        <v>1</v>
      </c>
    </row>
    <row r="807" spans="1:52" x14ac:dyDescent="0.2">
      <c r="A807">
        <f t="shared" si="84"/>
        <v>803</v>
      </c>
      <c r="B807">
        <v>2.8049817289696133E-2</v>
      </c>
      <c r="C807">
        <v>3.2048733773296721E-2</v>
      </c>
      <c r="D807">
        <v>3.3734667369448745E-2</v>
      </c>
      <c r="E807">
        <v>1.4105373348414441E-2</v>
      </c>
      <c r="F807">
        <v>3.4120400475211587E-3</v>
      </c>
      <c r="G807">
        <v>8.1582224631278639E-3</v>
      </c>
      <c r="H807">
        <v>3.1456062161887899E-2</v>
      </c>
      <c r="I807">
        <v>0.13989976080771727</v>
      </c>
      <c r="J807">
        <v>0</v>
      </c>
      <c r="K807">
        <v>0.42627664413639182</v>
      </c>
      <c r="L807">
        <v>0.17278516123138474</v>
      </c>
      <c r="M807">
        <v>0.82721483876861523</v>
      </c>
      <c r="N807">
        <v>6.6122138340802383E-2</v>
      </c>
      <c r="O807" s="72">
        <v>0.99956548921914434</v>
      </c>
      <c r="P807">
        <v>0.99991964504815134</v>
      </c>
      <c r="Q807">
        <v>0.99217885611815593</v>
      </c>
      <c r="R807">
        <v>0.46297956335459334</v>
      </c>
      <c r="S807">
        <v>0.45451990241212037</v>
      </c>
      <c r="T807">
        <v>0.14574318347626225</v>
      </c>
      <c r="U807">
        <v>0.76113021570802408</v>
      </c>
      <c r="V807">
        <v>0.67411249519787042</v>
      </c>
      <c r="W807">
        <v>0.5988042007463743</v>
      </c>
      <c r="X807">
        <v>0.41465786798130289</v>
      </c>
      <c r="Y807">
        <v>0.46170625824006761</v>
      </c>
      <c r="Z807">
        <v>0.4881528700722364</v>
      </c>
      <c r="AA807">
        <v>0.75476888582630142</v>
      </c>
      <c r="AB807">
        <v>0.80300321783138995</v>
      </c>
      <c r="AC807">
        <v>0.69027452055805005</v>
      </c>
      <c r="AD807">
        <v>0.59381463408172808</v>
      </c>
      <c r="AE807">
        <v>163.39050144440648</v>
      </c>
      <c r="AF807">
        <v>920.74344280165315</v>
      </c>
      <c r="AG807">
        <v>1561.0890001039306</v>
      </c>
      <c r="AH807">
        <v>11660.699553524813</v>
      </c>
      <c r="AI807">
        <v>10975.423262414508</v>
      </c>
      <c r="AJ807">
        <v>44705.041466625778</v>
      </c>
      <c r="AK807">
        <v>12622.987813101934</v>
      </c>
      <c r="AL807">
        <v>1332.5505580779684</v>
      </c>
      <c r="AM807">
        <v>570.80502563120638</v>
      </c>
      <c r="AO807">
        <v>48555.75349329484</v>
      </c>
      <c r="AP807">
        <v>13.011923418047221</v>
      </c>
      <c r="AQ807">
        <v>49249.141121026332</v>
      </c>
      <c r="AR807">
        <v>13.207700906178959</v>
      </c>
      <c r="AS807" s="2">
        <f t="shared" si="85"/>
        <v>693.3876277314921</v>
      </c>
      <c r="AT807" s="2">
        <f t="shared" si="86"/>
        <v>0.19577748813173734</v>
      </c>
      <c r="AV807">
        <f t="shared" si="87"/>
        <v>1252636.5883114273</v>
      </c>
      <c r="AW807">
        <f t="shared" si="88"/>
        <v>1271520.9494968695</v>
      </c>
      <c r="AY807">
        <f t="shared" si="89"/>
        <v>0</v>
      </c>
      <c r="AZ807">
        <f t="shared" si="90"/>
        <v>1</v>
      </c>
    </row>
    <row r="808" spans="1:52" x14ac:dyDescent="0.2">
      <c r="A808">
        <f t="shared" si="84"/>
        <v>804</v>
      </c>
      <c r="B808">
        <v>2.1598117893894812E-2</v>
      </c>
      <c r="C808">
        <v>2.8525465224287415E-2</v>
      </c>
      <c r="D808">
        <v>5.3911553194311734E-2</v>
      </c>
      <c r="E808">
        <v>1.9279654666324642E-2</v>
      </c>
      <c r="F808">
        <v>3.3137898764415909E-3</v>
      </c>
      <c r="G808">
        <v>5.3658300503610376E-3</v>
      </c>
      <c r="H808">
        <v>3.7091116898418153E-2</v>
      </c>
      <c r="I808">
        <v>0.13323276998046163</v>
      </c>
      <c r="J808">
        <v>0</v>
      </c>
      <c r="K808">
        <v>0.42888552216862647</v>
      </c>
      <c r="L808">
        <v>0.25320487879558673</v>
      </c>
      <c r="M808">
        <v>0.74679512120441327</v>
      </c>
      <c r="N808">
        <v>4.9108686253162004E-2</v>
      </c>
      <c r="O808" s="72">
        <v>0.97440784331126729</v>
      </c>
      <c r="P808">
        <v>0.99835853140311281</v>
      </c>
      <c r="Q808">
        <v>0.98544365211499874</v>
      </c>
      <c r="R808">
        <v>0.4233200567679356</v>
      </c>
      <c r="S808">
        <v>0.44029615020201163</v>
      </c>
      <c r="T808">
        <v>0.17553374147903422</v>
      </c>
      <c r="U808">
        <v>0.78067488324756762</v>
      </c>
      <c r="V808">
        <v>0.69073302201531428</v>
      </c>
      <c r="W808">
        <v>0.47940835657578401</v>
      </c>
      <c r="X808">
        <v>0.51436200337510973</v>
      </c>
      <c r="Y808">
        <v>0.44815474723803123</v>
      </c>
      <c r="Z808">
        <v>0.42874609953679421</v>
      </c>
      <c r="AA808">
        <v>0.6383721458350986</v>
      </c>
      <c r="AB808">
        <v>0.79986123058647585</v>
      </c>
      <c r="AC808">
        <v>0.74469309672025408</v>
      </c>
      <c r="AD808">
        <v>0.69274975456799959</v>
      </c>
      <c r="AE808">
        <v>146.6393636767254</v>
      </c>
      <c r="AF808">
        <v>1057.2358780618056</v>
      </c>
      <c r="AG808">
        <v>1633.6689264978443</v>
      </c>
      <c r="AH808">
        <v>17220.917128157165</v>
      </c>
      <c r="AI808">
        <v>14301.025512535691</v>
      </c>
      <c r="AJ808">
        <v>32378.811459954362</v>
      </c>
      <c r="AK808">
        <v>10783.602748646101</v>
      </c>
      <c r="AL808">
        <v>1137.5697682557416</v>
      </c>
      <c r="AM808">
        <v>404.63894461142507</v>
      </c>
      <c r="AO808">
        <v>47963.693529221746</v>
      </c>
      <c r="AP808">
        <v>13.139741244513818</v>
      </c>
      <c r="AQ808">
        <v>46930.977290526738</v>
      </c>
      <c r="AR808">
        <v>13.399581113517739</v>
      </c>
      <c r="AS808" s="2">
        <f t="shared" si="85"/>
        <v>-1032.7162386950076</v>
      </c>
      <c r="AT808" s="2">
        <f t="shared" si="86"/>
        <v>0.25983986900392075</v>
      </c>
      <c r="AV808">
        <f t="shared" si="87"/>
        <v>1266010.4309221602</v>
      </c>
      <c r="AW808">
        <f t="shared" si="88"/>
        <v>1293027.1340612471</v>
      </c>
      <c r="AY808">
        <f t="shared" si="89"/>
        <v>0</v>
      </c>
      <c r="AZ808">
        <f t="shared" si="90"/>
        <v>1</v>
      </c>
    </row>
    <row r="809" spans="1:52" x14ac:dyDescent="0.2">
      <c r="A809">
        <f t="shared" si="84"/>
        <v>805</v>
      </c>
      <c r="B809">
        <v>2.7723849764039965E-2</v>
      </c>
      <c r="C809">
        <v>3.7449452624190305E-2</v>
      </c>
      <c r="D809">
        <v>2.791663109620228E-2</v>
      </c>
      <c r="E809">
        <v>7.758328896213992E-3</v>
      </c>
      <c r="F809">
        <v>3.2501331324182679E-3</v>
      </c>
      <c r="G809">
        <v>1.1926243165480965E-2</v>
      </c>
      <c r="H809">
        <v>3.4171378449058154E-2</v>
      </c>
      <c r="I809">
        <v>0.12924853775563599</v>
      </c>
      <c r="J809">
        <v>0</v>
      </c>
      <c r="K809">
        <v>0.429921305922352</v>
      </c>
      <c r="L809">
        <v>0.1922053312378772</v>
      </c>
      <c r="M809">
        <v>0.8077946687621228</v>
      </c>
      <c r="N809">
        <v>4.1744586147581239E-2</v>
      </c>
      <c r="O809" s="72">
        <v>0.99990871717131158</v>
      </c>
      <c r="P809">
        <v>0.99990053629132858</v>
      </c>
      <c r="Q809">
        <v>0.99721263951679573</v>
      </c>
      <c r="R809">
        <v>0.48707502106381806</v>
      </c>
      <c r="S809">
        <v>0.37105506309638225</v>
      </c>
      <c r="T809">
        <v>0.26253562563800414</v>
      </c>
      <c r="U809">
        <v>0.78112530015641402</v>
      </c>
      <c r="V809">
        <v>0.67029857077862065</v>
      </c>
      <c r="W809">
        <v>0.5643094550614689</v>
      </c>
      <c r="X809">
        <v>0.42682048669612621</v>
      </c>
      <c r="Y809">
        <v>0.40968011144125754</v>
      </c>
      <c r="Z809">
        <v>0.46203973244762453</v>
      </c>
      <c r="AA809">
        <v>0.71613270799192763</v>
      </c>
      <c r="AB809">
        <v>0.85111792024686483</v>
      </c>
      <c r="AC809">
        <v>0.68896533113806768</v>
      </c>
      <c r="AD809">
        <v>0.64392385272274</v>
      </c>
      <c r="AE809">
        <v>171.85595563855185</v>
      </c>
      <c r="AF809">
        <v>1108.755812578069</v>
      </c>
      <c r="AG809">
        <v>1671.2499736804618</v>
      </c>
      <c r="AH809">
        <v>15351.36260680363</v>
      </c>
      <c r="AI809">
        <v>17057.648866620391</v>
      </c>
      <c r="AJ809">
        <v>38165.312569839509</v>
      </c>
      <c r="AK809">
        <v>13910.077345021742</v>
      </c>
      <c r="AL809">
        <v>1721.4198369429394</v>
      </c>
      <c r="AM809">
        <v>434.50694787887858</v>
      </c>
      <c r="AO809">
        <v>43894.968673899588</v>
      </c>
      <c r="AP809">
        <v>13.751283784549042</v>
      </c>
      <c r="AQ809">
        <v>47200.05298307701</v>
      </c>
      <c r="AR809">
        <v>13.943199695993732</v>
      </c>
      <c r="AS809" s="2">
        <f t="shared" si="85"/>
        <v>3305.0843091774223</v>
      </c>
      <c r="AT809" s="2">
        <f t="shared" si="86"/>
        <v>0.19191591144469022</v>
      </c>
      <c r="AV809">
        <f t="shared" si="87"/>
        <v>1331233.4097810045</v>
      </c>
      <c r="AW809">
        <f t="shared" si="88"/>
        <v>1347119.9166162962</v>
      </c>
      <c r="AY809">
        <f t="shared" si="89"/>
        <v>0</v>
      </c>
      <c r="AZ809">
        <f t="shared" si="90"/>
        <v>1</v>
      </c>
    </row>
    <row r="810" spans="1:52" x14ac:dyDescent="0.2">
      <c r="A810">
        <f t="shared" si="84"/>
        <v>806</v>
      </c>
      <c r="B810">
        <v>2.7877638892487622E-2</v>
      </c>
      <c r="C810">
        <v>3.874311666922281E-2</v>
      </c>
      <c r="D810">
        <v>3.6192106803893648E-2</v>
      </c>
      <c r="E810">
        <v>9.177843298416739E-3</v>
      </c>
      <c r="F810">
        <v>3.4174268889204384E-3</v>
      </c>
      <c r="G810">
        <v>9.2616188303569821E-3</v>
      </c>
      <c r="H810">
        <v>1.9648581026139877E-2</v>
      </c>
      <c r="I810">
        <v>0.11207342644836636</v>
      </c>
      <c r="J810">
        <v>0</v>
      </c>
      <c r="K810">
        <v>0.40131035005704563</v>
      </c>
      <c r="L810">
        <v>0.18914939581513823</v>
      </c>
      <c r="M810">
        <v>0.81085060418486177</v>
      </c>
      <c r="N810">
        <v>5.8531576668751861E-2</v>
      </c>
      <c r="O810" s="72">
        <v>0.99946653065939206</v>
      </c>
      <c r="P810">
        <v>0.99992656745177266</v>
      </c>
      <c r="Q810">
        <v>0.98440194482550436</v>
      </c>
      <c r="R810">
        <v>0.41307808642204602</v>
      </c>
      <c r="S810">
        <v>0.45173641732013325</v>
      </c>
      <c r="T810">
        <v>0.20631569894787827</v>
      </c>
      <c r="U810">
        <v>0.7666439741125981</v>
      </c>
      <c r="V810">
        <v>0.61062027555161047</v>
      </c>
      <c r="W810">
        <v>0.65229746097327523</v>
      </c>
      <c r="X810">
        <v>0.4499326838355272</v>
      </c>
      <c r="Y810">
        <v>0.45983866739919688</v>
      </c>
      <c r="Z810">
        <v>0.44675212755224303</v>
      </c>
      <c r="AA810">
        <v>0.7394337529393602</v>
      </c>
      <c r="AB810">
        <v>0.79829185470669706</v>
      </c>
      <c r="AC810">
        <v>0.66599169441046902</v>
      </c>
      <c r="AD810">
        <v>0.56907720829509212</v>
      </c>
      <c r="AE810">
        <v>231.88059629875767</v>
      </c>
      <c r="AF810">
        <v>1052.5183210651294</v>
      </c>
      <c r="AG810">
        <v>1736.5742391389681</v>
      </c>
      <c r="AH810">
        <v>12894.008597345795</v>
      </c>
      <c r="AI810">
        <v>18061.636205806994</v>
      </c>
      <c r="AJ810">
        <v>32169.941344853498</v>
      </c>
      <c r="AK810">
        <v>15107.404941230187</v>
      </c>
      <c r="AL810">
        <v>2897.8984380500119</v>
      </c>
      <c r="AM810">
        <v>500.67127565909169</v>
      </c>
      <c r="AO810">
        <v>49362.673418701663</v>
      </c>
      <c r="AP810">
        <v>12.903082945183609</v>
      </c>
      <c r="AQ810">
        <v>48327.289699172521</v>
      </c>
      <c r="AR810">
        <v>13.06614614423442</v>
      </c>
      <c r="AS810" s="2">
        <f t="shared" si="85"/>
        <v>-1035.3837195291417</v>
      </c>
      <c r="AT810" s="2">
        <f t="shared" si="86"/>
        <v>0.16306319905081068</v>
      </c>
      <c r="AV810">
        <f t="shared" si="87"/>
        <v>1240945.6210996592</v>
      </c>
      <c r="AW810">
        <f t="shared" si="88"/>
        <v>1258287.3247242693</v>
      </c>
      <c r="AY810">
        <f t="shared" si="89"/>
        <v>0</v>
      </c>
      <c r="AZ810">
        <f t="shared" si="90"/>
        <v>1</v>
      </c>
    </row>
    <row r="811" spans="1:52" x14ac:dyDescent="0.2">
      <c r="A811">
        <f t="shared" si="84"/>
        <v>807</v>
      </c>
      <c r="B811">
        <v>1.6285814213234454E-2</v>
      </c>
      <c r="C811">
        <v>3.1702039205646897E-2</v>
      </c>
      <c r="D811">
        <v>3.740710295008122E-2</v>
      </c>
      <c r="E811">
        <v>9.1175023266047914E-3</v>
      </c>
      <c r="F811">
        <v>3.3468292613519912E-3</v>
      </c>
      <c r="G811">
        <v>1.8941843924616464E-3</v>
      </c>
      <c r="H811">
        <v>1.0282700073863893E-2</v>
      </c>
      <c r="I811">
        <v>0.13977780642685245</v>
      </c>
      <c r="J811">
        <v>0</v>
      </c>
      <c r="K811">
        <v>0.4285772370482494</v>
      </c>
      <c r="L811">
        <v>0.16842501972941271</v>
      </c>
      <c r="M811">
        <v>0.83157498027058729</v>
      </c>
      <c r="N811">
        <v>5.361379255773438E-2</v>
      </c>
      <c r="O811" s="72">
        <v>0.98769875873038693</v>
      </c>
      <c r="P811">
        <v>0.99545221448925703</v>
      </c>
      <c r="Q811">
        <v>0.86584573141261711</v>
      </c>
      <c r="R811">
        <v>0.50046825426134811</v>
      </c>
      <c r="S811">
        <v>0.50235475953007991</v>
      </c>
      <c r="T811">
        <v>0.25479067123928933</v>
      </c>
      <c r="U811">
        <v>0.77894707318699208</v>
      </c>
      <c r="V811">
        <v>0.59951296909695317</v>
      </c>
      <c r="W811">
        <v>0.47335667002774046</v>
      </c>
      <c r="X811">
        <v>0.42506192582912772</v>
      </c>
      <c r="Y811">
        <v>0.51679167158647377</v>
      </c>
      <c r="Z811">
        <v>0.41320461035116762</v>
      </c>
      <c r="AA811">
        <v>0.67187053967533128</v>
      </c>
      <c r="AB811">
        <v>0.86439817330548585</v>
      </c>
      <c r="AC811">
        <v>0.76888935230146616</v>
      </c>
      <c r="AD811">
        <v>0.47438167277362553</v>
      </c>
      <c r="AE811">
        <v>172.90092171778912</v>
      </c>
      <c r="AF811">
        <v>1077.2929279516547</v>
      </c>
      <c r="AG811">
        <v>2190.8308494847424</v>
      </c>
      <c r="AH811">
        <v>12158.238374577802</v>
      </c>
      <c r="AI811">
        <v>13929.053003496942</v>
      </c>
      <c r="AJ811">
        <v>32665.733084938343</v>
      </c>
      <c r="AK811">
        <v>16399.454341868877</v>
      </c>
      <c r="AL811">
        <v>2274.7102699932057</v>
      </c>
      <c r="AM811">
        <v>396.56970509287368</v>
      </c>
      <c r="AO811">
        <v>41421.435542384468</v>
      </c>
      <c r="AP811">
        <v>13.871615103407665</v>
      </c>
      <c r="AQ811">
        <v>47282.810044149919</v>
      </c>
      <c r="AR811">
        <v>14.033878542224635</v>
      </c>
      <c r="AS811" s="2">
        <f t="shared" si="85"/>
        <v>5861.374501765451</v>
      </c>
      <c r="AT811" s="2">
        <f t="shared" si="86"/>
        <v>0.1622634388169697</v>
      </c>
      <c r="AV811">
        <f t="shared" si="87"/>
        <v>1345740.0747983821</v>
      </c>
      <c r="AW811">
        <f t="shared" si="88"/>
        <v>1356105.0441783136</v>
      </c>
      <c r="AY811">
        <f t="shared" si="89"/>
        <v>0</v>
      </c>
      <c r="AZ811">
        <f t="shared" si="90"/>
        <v>1</v>
      </c>
    </row>
    <row r="812" spans="1:52" x14ac:dyDescent="0.2">
      <c r="A812">
        <f t="shared" si="84"/>
        <v>808</v>
      </c>
      <c r="B812">
        <v>2.7145126282501875E-2</v>
      </c>
      <c r="C812">
        <v>4.1178039609852557E-2</v>
      </c>
      <c r="D812">
        <v>4.0419655092134188E-2</v>
      </c>
      <c r="E812">
        <v>1.9760479420918964E-2</v>
      </c>
      <c r="F812">
        <v>3.3939625156693687E-3</v>
      </c>
      <c r="G812">
        <v>1.5264603708975089E-2</v>
      </c>
      <c r="H812">
        <v>8.7810339117478445E-3</v>
      </c>
      <c r="I812">
        <v>0.13638022384003545</v>
      </c>
      <c r="J812">
        <v>0</v>
      </c>
      <c r="K812">
        <v>0.43001843024401532</v>
      </c>
      <c r="L812">
        <v>0.25029571751862145</v>
      </c>
      <c r="M812">
        <v>0.74970428248137855</v>
      </c>
      <c r="N812">
        <v>6.6662785041262884E-2</v>
      </c>
      <c r="O812" s="72">
        <v>0.97346452942813833</v>
      </c>
      <c r="P812">
        <v>0.99999117303493978</v>
      </c>
      <c r="Q812">
        <v>0.90890718948386473</v>
      </c>
      <c r="R812">
        <v>0.49498713801545757</v>
      </c>
      <c r="S812">
        <v>0.43458256581088361</v>
      </c>
      <c r="T812">
        <v>0.18296465094691616</v>
      </c>
      <c r="U812">
        <v>0.78100031242607648</v>
      </c>
      <c r="V812">
        <v>0.65486201710990732</v>
      </c>
      <c r="W812">
        <v>0.55167495954399448</v>
      </c>
      <c r="X812">
        <v>0.46128132009402956</v>
      </c>
      <c r="Y812">
        <v>0.46160123283479382</v>
      </c>
      <c r="Z812">
        <v>0.43273971530487515</v>
      </c>
      <c r="AA812">
        <v>0.65698102574596529</v>
      </c>
      <c r="AB812">
        <v>0.76254658745264459</v>
      </c>
      <c r="AC812">
        <v>0.70716991576065602</v>
      </c>
      <c r="AD812">
        <v>0.61034367837858527</v>
      </c>
      <c r="AE812">
        <v>191.30951485478218</v>
      </c>
      <c r="AF812">
        <v>1169.6908380494699</v>
      </c>
      <c r="AG812">
        <v>1866.0271858778176</v>
      </c>
      <c r="AH812">
        <v>14715.251491552135</v>
      </c>
      <c r="AI812">
        <v>9984.8276220369517</v>
      </c>
      <c r="AJ812">
        <v>40902.505805220942</v>
      </c>
      <c r="AK812">
        <v>16344.685524102757</v>
      </c>
      <c r="AL812">
        <v>1975.7852344380542</v>
      </c>
      <c r="AM812">
        <v>345.52120887076524</v>
      </c>
      <c r="AO812">
        <v>43063.211798177712</v>
      </c>
      <c r="AP812">
        <v>12.540120964992257</v>
      </c>
      <c r="AQ812">
        <v>46269.016038567941</v>
      </c>
      <c r="AR812">
        <v>12.695232968742463</v>
      </c>
      <c r="AS812" s="2">
        <f t="shared" si="85"/>
        <v>3205.8042403902291</v>
      </c>
      <c r="AT812" s="2">
        <f t="shared" si="86"/>
        <v>0.15511200375020628</v>
      </c>
      <c r="AV812">
        <f t="shared" si="87"/>
        <v>1210948.8847010478</v>
      </c>
      <c r="AW812">
        <f t="shared" si="88"/>
        <v>1223254.2808356783</v>
      </c>
      <c r="AY812">
        <f t="shared" si="89"/>
        <v>0</v>
      </c>
      <c r="AZ812">
        <f t="shared" si="90"/>
        <v>1</v>
      </c>
    </row>
    <row r="813" spans="1:52" x14ac:dyDescent="0.2">
      <c r="A813">
        <f t="shared" si="84"/>
        <v>809</v>
      </c>
      <c r="B813">
        <v>2.4610585523981848E-2</v>
      </c>
      <c r="C813">
        <v>3.3386583325239555E-2</v>
      </c>
      <c r="D813">
        <v>3.9271705053722128E-2</v>
      </c>
      <c r="E813">
        <v>2.3162299485115926E-3</v>
      </c>
      <c r="F813">
        <v>3.488593117786154E-3</v>
      </c>
      <c r="G813">
        <v>5.13011598373719E-3</v>
      </c>
      <c r="H813">
        <v>1.2338970050362925E-2</v>
      </c>
      <c r="I813">
        <v>0.13272953554976119</v>
      </c>
      <c r="J813">
        <v>0</v>
      </c>
      <c r="K813">
        <v>0.41507066253760933</v>
      </c>
      <c r="L813">
        <v>0.23255311915620491</v>
      </c>
      <c r="M813">
        <v>0.76744688084379509</v>
      </c>
      <c r="N813">
        <v>3.4060637730114522E-2</v>
      </c>
      <c r="O813" s="72">
        <v>0.99999225706987416</v>
      </c>
      <c r="P813">
        <v>0.99907800193678098</v>
      </c>
      <c r="Q813">
        <v>0.97612522074064723</v>
      </c>
      <c r="R813">
        <v>0.47985995942078374</v>
      </c>
      <c r="S813">
        <v>0.52743917052421652</v>
      </c>
      <c r="T813">
        <v>0.23545833739150912</v>
      </c>
      <c r="U813">
        <v>0.78170323491848048</v>
      </c>
      <c r="V813">
        <v>0.62565943419657233</v>
      </c>
      <c r="W813">
        <v>0.54182265598375778</v>
      </c>
      <c r="X813">
        <v>0.43114569558716581</v>
      </c>
      <c r="Y813">
        <v>0.45507219583852598</v>
      </c>
      <c r="Z813">
        <v>0.45999467064305299</v>
      </c>
      <c r="AA813">
        <v>0.59016591810756969</v>
      </c>
      <c r="AB813">
        <v>0.79870208369222317</v>
      </c>
      <c r="AC813">
        <v>0.70272678382130815</v>
      </c>
      <c r="AD813">
        <v>0.61233545771967823</v>
      </c>
      <c r="AE813">
        <v>181.76374009848053</v>
      </c>
      <c r="AF813">
        <v>1204.6033358941602</v>
      </c>
      <c r="AG813">
        <v>1643.8885286035418</v>
      </c>
      <c r="AH813">
        <v>10302.863724345387</v>
      </c>
      <c r="AI813">
        <v>10646.494716498335</v>
      </c>
      <c r="AJ813">
        <v>36190.321669556397</v>
      </c>
      <c r="AK813">
        <v>15778.752744978641</v>
      </c>
      <c r="AL813">
        <v>2622.2442860491815</v>
      </c>
      <c r="AM813">
        <v>470.89448715975567</v>
      </c>
      <c r="AO813">
        <v>43543.694514939103</v>
      </c>
      <c r="AP813">
        <v>13.058532480758521</v>
      </c>
      <c r="AQ813">
        <v>47797.883122384948</v>
      </c>
      <c r="AR813">
        <v>13.194603421770884</v>
      </c>
      <c r="AS813" s="2">
        <f t="shared" si="85"/>
        <v>4254.1886074458453</v>
      </c>
      <c r="AT813" s="2">
        <f t="shared" si="86"/>
        <v>0.13607094101236328</v>
      </c>
      <c r="AV813">
        <f t="shared" si="87"/>
        <v>1262309.5535609131</v>
      </c>
      <c r="AW813">
        <f t="shared" si="88"/>
        <v>1271662.4590547034</v>
      </c>
      <c r="AY813">
        <f t="shared" si="89"/>
        <v>0</v>
      </c>
      <c r="AZ813">
        <f t="shared" si="90"/>
        <v>1</v>
      </c>
    </row>
    <row r="814" spans="1:52" x14ac:dyDescent="0.2">
      <c r="A814">
        <f t="shared" si="84"/>
        <v>810</v>
      </c>
      <c r="B814">
        <v>2.7719480194228208E-2</v>
      </c>
      <c r="C814">
        <v>2.9650528573533719E-2</v>
      </c>
      <c r="D814">
        <v>4.3464063187209079E-2</v>
      </c>
      <c r="E814">
        <v>1.340668869467887E-2</v>
      </c>
      <c r="F814">
        <v>3.3238032048544326E-3</v>
      </c>
      <c r="G814">
        <v>1.4722859055623205E-2</v>
      </c>
      <c r="H814">
        <v>4.8332313855507958E-2</v>
      </c>
      <c r="I814">
        <v>0.12220291462645098</v>
      </c>
      <c r="J814">
        <v>0</v>
      </c>
      <c r="K814">
        <v>0.39027098383227082</v>
      </c>
      <c r="L814">
        <v>0.2159253531445301</v>
      </c>
      <c r="M814">
        <v>0.7840746468554699</v>
      </c>
      <c r="N814">
        <v>7.864044814143345E-2</v>
      </c>
      <c r="O814" s="72">
        <v>0.99785322912992047</v>
      </c>
      <c r="P814">
        <v>0.99977605972094263</v>
      </c>
      <c r="Q814">
        <v>0.97323902257524286</v>
      </c>
      <c r="R814">
        <v>0.50865613500118512</v>
      </c>
      <c r="S814">
        <v>0.30079824481721451</v>
      </c>
      <c r="T814">
        <v>0.16034355187237259</v>
      </c>
      <c r="U814">
        <v>0.76018892958758688</v>
      </c>
      <c r="V814">
        <v>0.60805167374805469</v>
      </c>
      <c r="W814">
        <v>0.60007708544473548</v>
      </c>
      <c r="X814">
        <v>0.46066592467347189</v>
      </c>
      <c r="Y814">
        <v>0.46289615037420673</v>
      </c>
      <c r="Z814">
        <v>0.47486478188448289</v>
      </c>
      <c r="AA814">
        <v>0.64692460526644957</v>
      </c>
      <c r="AB814">
        <v>0.77749207159375744</v>
      </c>
      <c r="AC814">
        <v>0.77797978389147582</v>
      </c>
      <c r="AD814">
        <v>0.66538240767201484</v>
      </c>
      <c r="AE814">
        <v>304.80144064339299</v>
      </c>
      <c r="AF814">
        <v>1211.0235894727732</v>
      </c>
      <c r="AG814">
        <v>1404.793043014854</v>
      </c>
      <c r="AH814">
        <v>13351.228681279841</v>
      </c>
      <c r="AI814">
        <v>14737.845025518251</v>
      </c>
      <c r="AJ814">
        <v>45452.485519875831</v>
      </c>
      <c r="AK814">
        <v>11046.483652632054</v>
      </c>
      <c r="AL814">
        <v>2356.3648391616753</v>
      </c>
      <c r="AM814">
        <v>434.19704633553579</v>
      </c>
      <c r="AO814">
        <v>46366.19709585901</v>
      </c>
      <c r="AP814">
        <v>12.890452226181047</v>
      </c>
      <c r="AQ814">
        <v>47365.304724672431</v>
      </c>
      <c r="AR814">
        <v>13.11133939977063</v>
      </c>
      <c r="AS814" s="2">
        <f t="shared" si="85"/>
        <v>999.10762881342089</v>
      </c>
      <c r="AT814" s="2">
        <f t="shared" si="86"/>
        <v>0.22088717358958299</v>
      </c>
      <c r="AV814">
        <f t="shared" si="87"/>
        <v>1242679.0255222456</v>
      </c>
      <c r="AW814">
        <f t="shared" si="88"/>
        <v>1263768.6352523908</v>
      </c>
      <c r="AY814">
        <f t="shared" si="89"/>
        <v>0</v>
      </c>
      <c r="AZ814">
        <f t="shared" si="90"/>
        <v>1</v>
      </c>
    </row>
    <row r="815" spans="1:52" x14ac:dyDescent="0.2">
      <c r="A815">
        <f t="shared" si="84"/>
        <v>811</v>
      </c>
      <c r="B815">
        <v>2.070025311332745E-2</v>
      </c>
      <c r="C815">
        <v>5.2215941585371572E-2</v>
      </c>
      <c r="D815">
        <v>5.5638399182820653E-2</v>
      </c>
      <c r="E815">
        <v>1.1741540972069586E-2</v>
      </c>
      <c r="F815">
        <v>3.367080052354865E-3</v>
      </c>
      <c r="G815">
        <v>1.0844130480122791E-2</v>
      </c>
      <c r="H815">
        <v>4.468668892605776E-2</v>
      </c>
      <c r="I815">
        <v>0.13896817952287244</v>
      </c>
      <c r="J815">
        <v>0</v>
      </c>
      <c r="K815">
        <v>0.41129322274574542</v>
      </c>
      <c r="L815">
        <v>0.20465492118136766</v>
      </c>
      <c r="M815">
        <v>0.79534507881863237</v>
      </c>
      <c r="N815">
        <v>6.2196859653853687E-2</v>
      </c>
      <c r="O815" s="72">
        <v>0.99366667428490296</v>
      </c>
      <c r="P815">
        <v>0.99969171873896523</v>
      </c>
      <c r="Q815">
        <v>0.9879765956887101</v>
      </c>
      <c r="R815">
        <v>0.47588332974222347</v>
      </c>
      <c r="S815">
        <v>0.32803897449318675</v>
      </c>
      <c r="T815">
        <v>0.26380765633718439</v>
      </c>
      <c r="U815">
        <v>0.7426893952212027</v>
      </c>
      <c r="V815">
        <v>0.62875057525677547</v>
      </c>
      <c r="W815">
        <v>0.59766918215484588</v>
      </c>
      <c r="X815">
        <v>0.44230713018560169</v>
      </c>
      <c r="Y815">
        <v>0.4115755442005849</v>
      </c>
      <c r="Z815">
        <v>0.45328876617118186</v>
      </c>
      <c r="AA815">
        <v>0.63496866192023105</v>
      </c>
      <c r="AB815">
        <v>0.85022642639467416</v>
      </c>
      <c r="AC815">
        <v>0.68650198558468756</v>
      </c>
      <c r="AD815">
        <v>0.64380913326206013</v>
      </c>
      <c r="AE815">
        <v>208.62690201375713</v>
      </c>
      <c r="AF815">
        <v>985.76218521860915</v>
      </c>
      <c r="AG815">
        <v>1556.4407130857683</v>
      </c>
      <c r="AH815">
        <v>13900.129829612086</v>
      </c>
      <c r="AI815">
        <v>11245.083827532075</v>
      </c>
      <c r="AJ815">
        <v>43330.751680401969</v>
      </c>
      <c r="AK815">
        <v>15243.037162986571</v>
      </c>
      <c r="AL815">
        <v>1709.8173155242816</v>
      </c>
      <c r="AM815">
        <v>426.90219320317203</v>
      </c>
      <c r="AO815">
        <v>44819.680656200311</v>
      </c>
      <c r="AP815">
        <v>13.659951276028622</v>
      </c>
      <c r="AQ815">
        <v>47124.109718972424</v>
      </c>
      <c r="AR815">
        <v>13.924403321875397</v>
      </c>
      <c r="AS815" s="2">
        <f t="shared" si="85"/>
        <v>2304.429062772113</v>
      </c>
      <c r="AT815" s="2">
        <f t="shared" si="86"/>
        <v>0.26445204584677562</v>
      </c>
      <c r="AV815">
        <f t="shared" si="87"/>
        <v>1321175.4469466619</v>
      </c>
      <c r="AW815">
        <f t="shared" si="88"/>
        <v>1345316.2224685673</v>
      </c>
      <c r="AY815">
        <f t="shared" si="89"/>
        <v>0</v>
      </c>
      <c r="AZ815">
        <f t="shared" si="90"/>
        <v>1</v>
      </c>
    </row>
    <row r="816" spans="1:52" x14ac:dyDescent="0.2">
      <c r="A816">
        <f t="shared" si="84"/>
        <v>812</v>
      </c>
      <c r="B816">
        <v>2.4359323588468006E-2</v>
      </c>
      <c r="C816">
        <v>3.841073059360034E-2</v>
      </c>
      <c r="D816">
        <v>2.0228700910157219E-2</v>
      </c>
      <c r="E816">
        <v>5.9552055071186768E-3</v>
      </c>
      <c r="F816">
        <v>3.3677314601239239E-3</v>
      </c>
      <c r="G816">
        <v>1.0325713880765277E-2</v>
      </c>
      <c r="H816">
        <v>2.6970992330703734E-2</v>
      </c>
      <c r="I816">
        <v>0.11303485359040244</v>
      </c>
      <c r="J816">
        <v>0</v>
      </c>
      <c r="K816">
        <v>0.42794956471099255</v>
      </c>
      <c r="L816">
        <v>0.17574938626316394</v>
      </c>
      <c r="M816">
        <v>0.82425061373683606</v>
      </c>
      <c r="N816">
        <v>5.0612694513513842E-2</v>
      </c>
      <c r="O816" s="72">
        <v>0.99977909586567382</v>
      </c>
      <c r="P816">
        <v>0.99984212423613872</v>
      </c>
      <c r="Q816">
        <v>0.98551794533871595</v>
      </c>
      <c r="R816">
        <v>0.51515514791624017</v>
      </c>
      <c r="S816">
        <v>0.38072795056180186</v>
      </c>
      <c r="T816">
        <v>0.23954706220965438</v>
      </c>
      <c r="U816">
        <v>0.76089273932741486</v>
      </c>
      <c r="V816">
        <v>0.62643306239677088</v>
      </c>
      <c r="W816">
        <v>0.44736302127896288</v>
      </c>
      <c r="X816">
        <v>0.47537223419424735</v>
      </c>
      <c r="Y816">
        <v>0.37607211376045213</v>
      </c>
      <c r="Z816">
        <v>0.47506623077554955</v>
      </c>
      <c r="AA816">
        <v>0.66857525194516942</v>
      </c>
      <c r="AB816">
        <v>0.82763526843248036</v>
      </c>
      <c r="AC816">
        <v>0.73680792120543348</v>
      </c>
      <c r="AD816">
        <v>0.60689960471412374</v>
      </c>
      <c r="AE816">
        <v>236.35727234633566</v>
      </c>
      <c r="AF816">
        <v>1224.9847574795022</v>
      </c>
      <c r="AG816">
        <v>1609.3634417225549</v>
      </c>
      <c r="AH816">
        <v>9493.307188398685</v>
      </c>
      <c r="AI816">
        <v>12746.794910352599</v>
      </c>
      <c r="AJ816">
        <v>37840.497294990259</v>
      </c>
      <c r="AK816">
        <v>14315.273924857376</v>
      </c>
      <c r="AL816">
        <v>2844.1994446188437</v>
      </c>
      <c r="AM816">
        <v>313.76417836554054</v>
      </c>
      <c r="AO816">
        <v>40973.91684545474</v>
      </c>
      <c r="AP816">
        <v>13.471936711029064</v>
      </c>
      <c r="AQ816">
        <v>45320.961133049263</v>
      </c>
      <c r="AR816">
        <v>13.653713458190982</v>
      </c>
      <c r="AS816" s="2">
        <f t="shared" si="85"/>
        <v>4347.0442875945228</v>
      </c>
      <c r="AT816" s="2">
        <f t="shared" si="86"/>
        <v>0.18177674716191738</v>
      </c>
      <c r="AV816">
        <f t="shared" si="87"/>
        <v>1306219.7542574515</v>
      </c>
      <c r="AW816">
        <f t="shared" si="88"/>
        <v>1320050.3846860488</v>
      </c>
      <c r="AY816">
        <f t="shared" si="89"/>
        <v>0</v>
      </c>
      <c r="AZ816">
        <f t="shared" si="90"/>
        <v>1</v>
      </c>
    </row>
    <row r="817" spans="1:52" x14ac:dyDescent="0.2">
      <c r="A817">
        <f t="shared" si="84"/>
        <v>813</v>
      </c>
      <c r="B817">
        <v>1.9478829576058228E-2</v>
      </c>
      <c r="C817">
        <v>2.9276321028924815E-2</v>
      </c>
      <c r="D817">
        <v>3.4839501652370937E-2</v>
      </c>
      <c r="E817">
        <v>1.5416902308484248E-2</v>
      </c>
      <c r="F817">
        <v>3.3591867582404289E-3</v>
      </c>
      <c r="G817">
        <v>8.5715004497687822E-3</v>
      </c>
      <c r="H817">
        <v>4.4667007935753067E-2</v>
      </c>
      <c r="I817">
        <v>0.12138519271335797</v>
      </c>
      <c r="J817">
        <v>0</v>
      </c>
      <c r="K817">
        <v>0.41623469544782932</v>
      </c>
      <c r="L817">
        <v>0.22440143101519616</v>
      </c>
      <c r="M817">
        <v>0.77559856898480384</v>
      </c>
      <c r="N817">
        <v>7.086370388429275E-2</v>
      </c>
      <c r="O817" s="72">
        <v>0.99984348693425351</v>
      </c>
      <c r="P817">
        <v>0.9999327429814423</v>
      </c>
      <c r="Q817">
        <v>0.98616743940768614</v>
      </c>
      <c r="R817">
        <v>0.48968088476075877</v>
      </c>
      <c r="S817">
        <v>0.37342936839324903</v>
      </c>
      <c r="T817">
        <v>0.28658299593696202</v>
      </c>
      <c r="U817">
        <v>0.79145995482485376</v>
      </c>
      <c r="V817">
        <v>0.68209368191756714</v>
      </c>
      <c r="W817">
        <v>0.50277935009193353</v>
      </c>
      <c r="X817">
        <v>0.4817766381782288</v>
      </c>
      <c r="Y817">
        <v>0.46591107921417996</v>
      </c>
      <c r="Z817">
        <v>0.44555305755594082</v>
      </c>
      <c r="AA817">
        <v>0.6996954605948843</v>
      </c>
      <c r="AB817">
        <v>0.83598467268878895</v>
      </c>
      <c r="AC817">
        <v>0.68994761226775936</v>
      </c>
      <c r="AD817">
        <v>0.61913029002791053</v>
      </c>
      <c r="AE817">
        <v>173.54544295052997</v>
      </c>
      <c r="AF817">
        <v>1074.1174204619979</v>
      </c>
      <c r="AG817">
        <v>1813.7455227022563</v>
      </c>
      <c r="AH817">
        <v>12267.688430965443</v>
      </c>
      <c r="AI817">
        <v>11365.464349849544</v>
      </c>
      <c r="AJ817">
        <v>41868.970624464338</v>
      </c>
      <c r="AK817">
        <v>7215.4202176295057</v>
      </c>
      <c r="AL817">
        <v>1962.9455751010805</v>
      </c>
      <c r="AM817">
        <v>438.520389174314</v>
      </c>
      <c r="AO817">
        <v>43189.16642061108</v>
      </c>
      <c r="AP817">
        <v>13.539191853347338</v>
      </c>
      <c r="AQ817">
        <v>47265.426102234771</v>
      </c>
      <c r="AR817">
        <v>13.701288297451388</v>
      </c>
      <c r="AS817" s="2">
        <f t="shared" si="85"/>
        <v>4076.259681623691</v>
      </c>
      <c r="AT817" s="2">
        <f t="shared" si="86"/>
        <v>0.16209644410404955</v>
      </c>
      <c r="AV817">
        <f t="shared" si="87"/>
        <v>1310730.0189141228</v>
      </c>
      <c r="AW817">
        <f t="shared" si="88"/>
        <v>1322863.403642904</v>
      </c>
      <c r="AY817">
        <f t="shared" si="89"/>
        <v>0</v>
      </c>
      <c r="AZ817">
        <f t="shared" si="90"/>
        <v>1</v>
      </c>
    </row>
    <row r="818" spans="1:52" x14ac:dyDescent="0.2">
      <c r="A818">
        <f t="shared" si="84"/>
        <v>814</v>
      </c>
      <c r="B818">
        <v>2.0030683086451232E-2</v>
      </c>
      <c r="C818">
        <v>4.3162257463225995E-2</v>
      </c>
      <c r="D818">
        <v>3.2415512034991163E-2</v>
      </c>
      <c r="E818">
        <v>2.3596873399634011E-2</v>
      </c>
      <c r="F818">
        <v>3.3382863404245837E-3</v>
      </c>
      <c r="G818">
        <v>1.0048411176401314E-2</v>
      </c>
      <c r="H818">
        <v>3.1837632146915706E-2</v>
      </c>
      <c r="I818">
        <v>0.13078047314129659</v>
      </c>
      <c r="J818">
        <v>0</v>
      </c>
      <c r="K818">
        <v>0.48093262168176398</v>
      </c>
      <c r="L818">
        <v>0.18182894442774861</v>
      </c>
      <c r="M818">
        <v>0.81817105557225145</v>
      </c>
      <c r="N818">
        <v>9.1451536933872979E-2</v>
      </c>
      <c r="O818" s="72">
        <v>0.9980320979793128</v>
      </c>
      <c r="P818">
        <v>0.99256930292233847</v>
      </c>
      <c r="Q818">
        <v>0.96044509893791685</v>
      </c>
      <c r="R818">
        <v>0.48731163985775916</v>
      </c>
      <c r="S818">
        <v>0.44913654344596421</v>
      </c>
      <c r="T818">
        <v>0.29539338540856719</v>
      </c>
      <c r="U818">
        <v>0.76192924460196632</v>
      </c>
      <c r="V818">
        <v>0.64846515368352553</v>
      </c>
      <c r="W818">
        <v>0.60302950093352981</v>
      </c>
      <c r="X818">
        <v>0.41191973329228776</v>
      </c>
      <c r="Y818">
        <v>0.41816125843102786</v>
      </c>
      <c r="Z818">
        <v>0.46725286912798425</v>
      </c>
      <c r="AA818">
        <v>0.61029400921706212</v>
      </c>
      <c r="AB818">
        <v>0.84100595913410015</v>
      </c>
      <c r="AC818">
        <v>0.6373256202681985</v>
      </c>
      <c r="AD818">
        <v>0.63958238218657337</v>
      </c>
      <c r="AE818">
        <v>195.02991117212244</v>
      </c>
      <c r="AF818">
        <v>849.69377749753971</v>
      </c>
      <c r="AG818">
        <v>1798.7626052776886</v>
      </c>
      <c r="AH818">
        <v>11592.35291372044</v>
      </c>
      <c r="AI818">
        <v>14628.990902801863</v>
      </c>
      <c r="AJ818">
        <v>40041.416789177791</v>
      </c>
      <c r="AK818">
        <v>12868.426996684644</v>
      </c>
      <c r="AL818">
        <v>1885.1779161492875</v>
      </c>
      <c r="AM818">
        <v>522.16025661575009</v>
      </c>
      <c r="AO818">
        <v>43524.151333999202</v>
      </c>
      <c r="AP818">
        <v>13.503477641328089</v>
      </c>
      <c r="AQ818">
        <v>48869.762264789089</v>
      </c>
      <c r="AR818">
        <v>13.699171258619904</v>
      </c>
      <c r="AS818" s="2">
        <f t="shared" si="85"/>
        <v>5345.6109307898878</v>
      </c>
      <c r="AT818" s="2">
        <f t="shared" si="86"/>
        <v>0.19569361729181445</v>
      </c>
      <c r="AV818">
        <f t="shared" si="87"/>
        <v>1306823.6127988098</v>
      </c>
      <c r="AW818">
        <f t="shared" si="88"/>
        <v>1321047.3635972014</v>
      </c>
      <c r="AY818">
        <f t="shared" si="89"/>
        <v>0</v>
      </c>
      <c r="AZ818">
        <f t="shared" si="90"/>
        <v>1</v>
      </c>
    </row>
    <row r="819" spans="1:52" x14ac:dyDescent="0.2">
      <c r="A819">
        <f t="shared" si="84"/>
        <v>815</v>
      </c>
      <c r="B819">
        <v>2.6116213308377656E-2</v>
      </c>
      <c r="C819">
        <v>2.9258326124429468E-2</v>
      </c>
      <c r="D819">
        <v>3.6642559689485973E-2</v>
      </c>
      <c r="E819">
        <v>1.5150560930809687E-2</v>
      </c>
      <c r="F819">
        <v>3.5059567262507585E-3</v>
      </c>
      <c r="G819">
        <v>1.6542076595794097E-2</v>
      </c>
      <c r="H819">
        <v>2.6031223642713437E-2</v>
      </c>
      <c r="I819">
        <v>0.12759657544130212</v>
      </c>
      <c r="J819">
        <v>0</v>
      </c>
      <c r="K819">
        <v>0.36908744200678861</v>
      </c>
      <c r="L819">
        <v>0.14727624057982328</v>
      </c>
      <c r="M819">
        <v>0.85272375942017675</v>
      </c>
      <c r="N819">
        <v>8.1612005932174436E-2</v>
      </c>
      <c r="O819" s="72">
        <v>0.99990056343979661</v>
      </c>
      <c r="P819">
        <v>0.99939312582975393</v>
      </c>
      <c r="Q819">
        <v>0.92735844189840955</v>
      </c>
      <c r="R819">
        <v>0.45251839425545526</v>
      </c>
      <c r="S819">
        <v>0.40669620091604253</v>
      </c>
      <c r="T819">
        <v>0.16612025676654507</v>
      </c>
      <c r="U819">
        <v>0.78754653395145213</v>
      </c>
      <c r="V819">
        <v>0.69064595519270711</v>
      </c>
      <c r="W819">
        <v>0.53579821548633544</v>
      </c>
      <c r="X819">
        <v>0.44623375474613186</v>
      </c>
      <c r="Y819">
        <v>0.43169833941347263</v>
      </c>
      <c r="Z819">
        <v>0.42093152057032407</v>
      </c>
      <c r="AA819">
        <v>0.69526896029113283</v>
      </c>
      <c r="AB819">
        <v>0.77161622120295326</v>
      </c>
      <c r="AC819">
        <v>0.68960075292229317</v>
      </c>
      <c r="AD819">
        <v>0.62927577934104062</v>
      </c>
      <c r="AE819">
        <v>214.33070859950644</v>
      </c>
      <c r="AF819">
        <v>920.58771132415961</v>
      </c>
      <c r="AG819">
        <v>2316.4232012077641</v>
      </c>
      <c r="AH819">
        <v>13771.248059448804</v>
      </c>
      <c r="AI819">
        <v>10889.496408579202</v>
      </c>
      <c r="AJ819">
        <v>39984.100160131893</v>
      </c>
      <c r="AK819">
        <v>9499.4664467946495</v>
      </c>
      <c r="AL819">
        <v>1944.1403531944729</v>
      </c>
      <c r="AM819">
        <v>430.50048441022204</v>
      </c>
      <c r="AO819">
        <v>47428.776292456001</v>
      </c>
      <c r="AP819">
        <v>12.657250892340581</v>
      </c>
      <c r="AQ819">
        <v>47465.944420016494</v>
      </c>
      <c r="AR819">
        <v>12.816651573211644</v>
      </c>
      <c r="AS819" s="2">
        <f t="shared" si="85"/>
        <v>37.168127560493303</v>
      </c>
      <c r="AT819" s="2">
        <f t="shared" si="86"/>
        <v>0.15940068087106241</v>
      </c>
      <c r="AV819">
        <f t="shared" si="87"/>
        <v>1218296.312941602</v>
      </c>
      <c r="AW819">
        <f t="shared" si="88"/>
        <v>1234199.2129011478</v>
      </c>
      <c r="AY819">
        <f t="shared" si="89"/>
        <v>0</v>
      </c>
      <c r="AZ819">
        <f t="shared" si="90"/>
        <v>1</v>
      </c>
    </row>
    <row r="820" spans="1:52" x14ac:dyDescent="0.2">
      <c r="A820">
        <f t="shared" si="84"/>
        <v>816</v>
      </c>
      <c r="B820">
        <v>2.3508991331177918E-2</v>
      </c>
      <c r="C820">
        <v>2.697315506130453E-2</v>
      </c>
      <c r="D820">
        <v>4.7432897066924773E-2</v>
      </c>
      <c r="E820">
        <v>1.0956939919975499E-2</v>
      </c>
      <c r="F820">
        <v>3.338609280399711E-3</v>
      </c>
      <c r="G820">
        <v>9.8027472604816056E-3</v>
      </c>
      <c r="H820">
        <v>1.1706441668599812E-2</v>
      </c>
      <c r="I820">
        <v>0.11582880045450475</v>
      </c>
      <c r="J820">
        <v>0</v>
      </c>
      <c r="K820">
        <v>0.42866499339808872</v>
      </c>
      <c r="L820">
        <v>0.19285770681293571</v>
      </c>
      <c r="M820">
        <v>0.80714229318706432</v>
      </c>
      <c r="N820">
        <v>5.0993014095274063E-2</v>
      </c>
      <c r="O820" s="72">
        <v>0.99999880913682804</v>
      </c>
      <c r="P820">
        <v>0.99994056432987233</v>
      </c>
      <c r="Q820">
        <v>0.96425579306341724</v>
      </c>
      <c r="R820">
        <v>0.51324464609853526</v>
      </c>
      <c r="S820">
        <v>0.39967355951511507</v>
      </c>
      <c r="T820">
        <v>0.19313222440145816</v>
      </c>
      <c r="U820">
        <v>0.77846204400621766</v>
      </c>
      <c r="V820">
        <v>0.69893177421825525</v>
      </c>
      <c r="W820">
        <v>0.54061760244850299</v>
      </c>
      <c r="X820">
        <v>0.5093659742025165</v>
      </c>
      <c r="Y820">
        <v>0.50731352413833841</v>
      </c>
      <c r="Z820">
        <v>0.47206724611820194</v>
      </c>
      <c r="AA820">
        <v>0.61924047423051676</v>
      </c>
      <c r="AB820">
        <v>0.86909385191003585</v>
      </c>
      <c r="AC820">
        <v>0.72701837019307469</v>
      </c>
      <c r="AD820">
        <v>0.58649476664600764</v>
      </c>
      <c r="AE820">
        <v>146.65674552107976</v>
      </c>
      <c r="AF820">
        <v>1046.0464254342839</v>
      </c>
      <c r="AG820">
        <v>1563.7434356687988</v>
      </c>
      <c r="AH820">
        <v>12170.760915397621</v>
      </c>
      <c r="AI820">
        <v>14280.688340633968</v>
      </c>
      <c r="AJ820">
        <v>40114.983576298677</v>
      </c>
      <c r="AK820">
        <v>10468.706334904768</v>
      </c>
      <c r="AL820">
        <v>2680.1381871446929</v>
      </c>
      <c r="AM820">
        <v>294.92009149415753</v>
      </c>
      <c r="AO820">
        <v>41401.345237191432</v>
      </c>
      <c r="AP820">
        <v>13.961176099182463</v>
      </c>
      <c r="AQ820">
        <v>45054.969280729478</v>
      </c>
      <c r="AR820">
        <v>14.182321193775779</v>
      </c>
      <c r="AS820" s="2">
        <f t="shared" si="85"/>
        <v>3653.624043538046</v>
      </c>
      <c r="AT820" s="2">
        <f t="shared" si="86"/>
        <v>0.22114509459331622</v>
      </c>
      <c r="AV820">
        <f t="shared" si="87"/>
        <v>1354716.2646810547</v>
      </c>
      <c r="AW820">
        <f t="shared" si="88"/>
        <v>1373177.1500968484</v>
      </c>
      <c r="AY820">
        <f t="shared" si="89"/>
        <v>0</v>
      </c>
      <c r="AZ820">
        <f t="shared" si="90"/>
        <v>1</v>
      </c>
    </row>
    <row r="821" spans="1:52" x14ac:dyDescent="0.2">
      <c r="A821">
        <f t="shared" si="84"/>
        <v>817</v>
      </c>
      <c r="B821">
        <v>2.0196776852452566E-2</v>
      </c>
      <c r="C821">
        <v>3.2742634991943811E-2</v>
      </c>
      <c r="D821">
        <v>2.6360462740010485E-2</v>
      </c>
      <c r="E821">
        <v>2.7679801262919801E-2</v>
      </c>
      <c r="F821">
        <v>3.3483823599168572E-3</v>
      </c>
      <c r="G821">
        <v>2.5576257027501881E-2</v>
      </c>
      <c r="H821">
        <v>2.5027026602745646E-2</v>
      </c>
      <c r="I821">
        <v>0.13396615531076994</v>
      </c>
      <c r="J821">
        <v>0</v>
      </c>
      <c r="K821">
        <v>0.47963336087226938</v>
      </c>
      <c r="L821">
        <v>0.13089415626245537</v>
      </c>
      <c r="M821">
        <v>0.86910584373754463</v>
      </c>
      <c r="N821">
        <v>5.3472809999086143E-2</v>
      </c>
      <c r="O821" s="72">
        <v>0.95166285190103972</v>
      </c>
      <c r="P821">
        <v>0.99771668647468004</v>
      </c>
      <c r="Q821">
        <v>0.98606617724228907</v>
      </c>
      <c r="R821">
        <v>0.50305099431255129</v>
      </c>
      <c r="S821">
        <v>0.46354472697274729</v>
      </c>
      <c r="T821">
        <v>0.2897706262367109</v>
      </c>
      <c r="U821">
        <v>0.76728684634487498</v>
      </c>
      <c r="V821">
        <v>0.62671287743909465</v>
      </c>
      <c r="W821">
        <v>0.62755378854037525</v>
      </c>
      <c r="X821">
        <v>0.47993461341581301</v>
      </c>
      <c r="Y821">
        <v>0.46969684873008777</v>
      </c>
      <c r="Z821">
        <v>0.51178430307621769</v>
      </c>
      <c r="AA821">
        <v>0.63881118947697368</v>
      </c>
      <c r="AB821">
        <v>0.87051454325660571</v>
      </c>
      <c r="AC821">
        <v>0.76478277331369382</v>
      </c>
      <c r="AD821">
        <v>0.59098018036645616</v>
      </c>
      <c r="AE821">
        <v>178.73367090791115</v>
      </c>
      <c r="AF821">
        <v>978.25043749287374</v>
      </c>
      <c r="AG821">
        <v>1737.1853916604664</v>
      </c>
      <c r="AH821">
        <v>13290.55111822505</v>
      </c>
      <c r="AI821">
        <v>11097.171744982041</v>
      </c>
      <c r="AJ821">
        <v>46866.490480082422</v>
      </c>
      <c r="AK821">
        <v>12929.363665207764</v>
      </c>
      <c r="AL821">
        <v>1489.5475585350098</v>
      </c>
      <c r="AM821">
        <v>328.86500674572608</v>
      </c>
      <c r="AO821">
        <v>39820.921001520524</v>
      </c>
      <c r="AP821">
        <v>14.08104447456733</v>
      </c>
      <c r="AQ821">
        <v>45805.041641925185</v>
      </c>
      <c r="AR821">
        <v>14.274208885639348</v>
      </c>
      <c r="AS821" s="2">
        <f t="shared" si="85"/>
        <v>5984.1206404046607</v>
      </c>
      <c r="AT821" s="2">
        <f t="shared" si="86"/>
        <v>0.19316441107201854</v>
      </c>
      <c r="AV821">
        <f t="shared" si="87"/>
        <v>1368283.5264552126</v>
      </c>
      <c r="AW821">
        <f t="shared" si="88"/>
        <v>1381615.8469220097</v>
      </c>
      <c r="AY821">
        <f t="shared" si="89"/>
        <v>0</v>
      </c>
      <c r="AZ821">
        <f t="shared" si="90"/>
        <v>1</v>
      </c>
    </row>
    <row r="822" spans="1:52" x14ac:dyDescent="0.2">
      <c r="A822">
        <f t="shared" si="84"/>
        <v>818</v>
      </c>
      <c r="B822">
        <v>1.6932693142756878E-2</v>
      </c>
      <c r="C822">
        <v>4.5113752891140391E-2</v>
      </c>
      <c r="D822">
        <v>5.84444002524378E-2</v>
      </c>
      <c r="E822">
        <v>1.7345141043671466E-3</v>
      </c>
      <c r="F822">
        <v>3.274299490415277E-3</v>
      </c>
      <c r="G822">
        <v>3.4174951890529586E-3</v>
      </c>
      <c r="H822">
        <v>3.9824684756899709E-2</v>
      </c>
      <c r="I822">
        <v>0.12606511855089278</v>
      </c>
      <c r="J822">
        <v>0</v>
      </c>
      <c r="K822">
        <v>0.41793692583450925</v>
      </c>
      <c r="L822">
        <v>0.16545447945481268</v>
      </c>
      <c r="M822">
        <v>0.83454552054518727</v>
      </c>
      <c r="N822">
        <v>5.2125061230549531E-2</v>
      </c>
      <c r="O822" s="72">
        <v>0.99708097599836853</v>
      </c>
      <c r="P822">
        <v>0.99497781986958933</v>
      </c>
      <c r="Q822">
        <v>0.98168673752287272</v>
      </c>
      <c r="R822">
        <v>0.48213947779794664</v>
      </c>
      <c r="S822">
        <v>0.44827006764289623</v>
      </c>
      <c r="T822">
        <v>0.22573640198742728</v>
      </c>
      <c r="U822">
        <v>0.78975325154499865</v>
      </c>
      <c r="V822">
        <v>0.71705392820835367</v>
      </c>
      <c r="W822">
        <v>0.55882254015150123</v>
      </c>
      <c r="X822">
        <v>0.46347512427435444</v>
      </c>
      <c r="Y822">
        <v>0.41345155956552804</v>
      </c>
      <c r="Z822">
        <v>0.40716998725585563</v>
      </c>
      <c r="AA822">
        <v>0.61472000044115194</v>
      </c>
      <c r="AB822">
        <v>0.80242415560826019</v>
      </c>
      <c r="AC822">
        <v>0.64187550724597153</v>
      </c>
      <c r="AD822">
        <v>0.58954062771316174</v>
      </c>
      <c r="AE822">
        <v>206.44043226480105</v>
      </c>
      <c r="AF822">
        <v>757.46223335989976</v>
      </c>
      <c r="AG822">
        <v>1596.3875507219057</v>
      </c>
      <c r="AH822">
        <v>15548.552163623694</v>
      </c>
      <c r="AI822">
        <v>12460.314181244208</v>
      </c>
      <c r="AJ822">
        <v>38099.097705198001</v>
      </c>
      <c r="AK822">
        <v>10513.500191432699</v>
      </c>
      <c r="AL822">
        <v>1746.0922921073316</v>
      </c>
      <c r="AM822">
        <v>435.33937730451123</v>
      </c>
      <c r="AO822">
        <v>44100.638007005989</v>
      </c>
      <c r="AP822">
        <v>12.978111698409274</v>
      </c>
      <c r="AQ822">
        <v>47430.353162496882</v>
      </c>
      <c r="AR822">
        <v>13.10812464614215</v>
      </c>
      <c r="AS822" s="2">
        <f t="shared" si="85"/>
        <v>3329.7151554908924</v>
      </c>
      <c r="AT822" s="2">
        <f t="shared" si="86"/>
        <v>0.13001294773287597</v>
      </c>
      <c r="AV822">
        <f t="shared" si="87"/>
        <v>1253710.5318339216</v>
      </c>
      <c r="AW822">
        <f t="shared" si="88"/>
        <v>1263382.1114517183</v>
      </c>
      <c r="AY822">
        <f t="shared" si="89"/>
        <v>0</v>
      </c>
      <c r="AZ822">
        <f t="shared" si="90"/>
        <v>1</v>
      </c>
    </row>
    <row r="823" spans="1:52" x14ac:dyDescent="0.2">
      <c r="A823">
        <f t="shared" si="84"/>
        <v>819</v>
      </c>
      <c r="B823">
        <v>2.8944320548961344E-2</v>
      </c>
      <c r="C823">
        <v>3.7087434516256623E-2</v>
      </c>
      <c r="D823">
        <v>2.5167294538371375E-2</v>
      </c>
      <c r="E823">
        <v>2.969001006778893E-2</v>
      </c>
      <c r="F823">
        <v>3.2899573578603243E-3</v>
      </c>
      <c r="G823">
        <v>1.4200402711954441E-2</v>
      </c>
      <c r="H823">
        <v>2.656328302954724E-2</v>
      </c>
      <c r="I823">
        <v>0.12976183267672994</v>
      </c>
      <c r="J823">
        <v>0</v>
      </c>
      <c r="K823">
        <v>0.41776133287027289</v>
      </c>
      <c r="L823">
        <v>0.21766282995599406</v>
      </c>
      <c r="M823">
        <v>0.78233717004400594</v>
      </c>
      <c r="N823">
        <v>6.1260662199603244E-2</v>
      </c>
      <c r="O823" s="72">
        <v>0.99935825387011168</v>
      </c>
      <c r="P823">
        <v>0.99920357431543105</v>
      </c>
      <c r="Q823">
        <v>0.97396161296147166</v>
      </c>
      <c r="R823">
        <v>0.46282197828175442</v>
      </c>
      <c r="S823">
        <v>0.45808535283740148</v>
      </c>
      <c r="T823">
        <v>0.2379581298613902</v>
      </c>
      <c r="U823">
        <v>0.76587499782667801</v>
      </c>
      <c r="V823">
        <v>0.64591400010508493</v>
      </c>
      <c r="W823">
        <v>0.55643274039185031</v>
      </c>
      <c r="X823">
        <v>0.39757309000454077</v>
      </c>
      <c r="Y823">
        <v>0.43941337882756371</v>
      </c>
      <c r="Z823">
        <v>0.39682797810550191</v>
      </c>
      <c r="AA823">
        <v>0.60765635488498504</v>
      </c>
      <c r="AB823">
        <v>0.86716299567951582</v>
      </c>
      <c r="AC823">
        <v>0.69088880287372301</v>
      </c>
      <c r="AD823">
        <v>0.56479857189548666</v>
      </c>
      <c r="AE823">
        <v>216.19962556977518</v>
      </c>
      <c r="AF823">
        <v>1033.8605662038581</v>
      </c>
      <c r="AG823">
        <v>1738.4458865401227</v>
      </c>
      <c r="AH823">
        <v>9823.4937417223027</v>
      </c>
      <c r="AI823">
        <v>11330.383856907056</v>
      </c>
      <c r="AJ823">
        <v>36892.388998305578</v>
      </c>
      <c r="AK823">
        <v>22358.659299312221</v>
      </c>
      <c r="AL823">
        <v>2096.6664226173252</v>
      </c>
      <c r="AM823">
        <v>540.41389434688722</v>
      </c>
      <c r="AO823">
        <v>45765.897733881706</v>
      </c>
      <c r="AP823">
        <v>13.797656470251779</v>
      </c>
      <c r="AQ823">
        <v>48890.319915960215</v>
      </c>
      <c r="AR823">
        <v>14.057995095944303</v>
      </c>
      <c r="AS823" s="2">
        <f t="shared" si="85"/>
        <v>3124.4221820785096</v>
      </c>
      <c r="AT823" s="2">
        <f t="shared" si="86"/>
        <v>0.26033862569252442</v>
      </c>
      <c r="AV823">
        <f t="shared" si="87"/>
        <v>1333999.7492912963</v>
      </c>
      <c r="AW823">
        <f t="shared" si="88"/>
        <v>1356909.1896784699</v>
      </c>
      <c r="AY823">
        <f t="shared" si="89"/>
        <v>0</v>
      </c>
      <c r="AZ823">
        <f t="shared" si="90"/>
        <v>1</v>
      </c>
    </row>
    <row r="824" spans="1:52" x14ac:dyDescent="0.2">
      <c r="A824">
        <f t="shared" si="84"/>
        <v>820</v>
      </c>
      <c r="B824">
        <v>3.4416573989174415E-2</v>
      </c>
      <c r="C824">
        <v>3.3639205191402122E-2</v>
      </c>
      <c r="D824">
        <v>4.3286845696604237E-2</v>
      </c>
      <c r="E824">
        <v>1.9170687269745024E-2</v>
      </c>
      <c r="F824">
        <v>3.403753282055666E-3</v>
      </c>
      <c r="G824">
        <v>1.7230223405159451E-2</v>
      </c>
      <c r="H824">
        <v>3.7870878472880065E-2</v>
      </c>
      <c r="I824">
        <v>0.13053433304316042</v>
      </c>
      <c r="J824">
        <v>0</v>
      </c>
      <c r="K824">
        <v>0.45843367313305905</v>
      </c>
      <c r="L824">
        <v>0.21905847109587295</v>
      </c>
      <c r="M824">
        <v>0.78094152890412705</v>
      </c>
      <c r="N824">
        <v>6.5138242067045993E-2</v>
      </c>
      <c r="O824" s="72">
        <v>0.99991165665795534</v>
      </c>
      <c r="P824">
        <v>0.99977860886392012</v>
      </c>
      <c r="Q824">
        <v>0.97997688622830426</v>
      </c>
      <c r="R824">
        <v>0.49459771360907823</v>
      </c>
      <c r="S824">
        <v>0.37031685163855033</v>
      </c>
      <c r="T824">
        <v>0.31878339690818769</v>
      </c>
      <c r="U824">
        <v>0.77309701528911279</v>
      </c>
      <c r="V824">
        <v>0.62367085805333078</v>
      </c>
      <c r="W824">
        <v>0.39467856595337064</v>
      </c>
      <c r="X824">
        <v>0.43068845008580481</v>
      </c>
      <c r="Y824">
        <v>0.50505123427935827</v>
      </c>
      <c r="Z824">
        <v>0.4391921474331773</v>
      </c>
      <c r="AA824">
        <v>0.68800652937076301</v>
      </c>
      <c r="AB824">
        <v>0.8522788616626612</v>
      </c>
      <c r="AC824">
        <v>0.85498168645795103</v>
      </c>
      <c r="AD824">
        <v>0.46940414598337721</v>
      </c>
      <c r="AE824">
        <v>231.85967401742462</v>
      </c>
      <c r="AF824">
        <v>1255.3555196769162</v>
      </c>
      <c r="AG824">
        <v>1552.9139029812466</v>
      </c>
      <c r="AH824">
        <v>16738.486985652224</v>
      </c>
      <c r="AI824">
        <v>10264.126663201396</v>
      </c>
      <c r="AJ824">
        <v>40002.381829869802</v>
      </c>
      <c r="AK824">
        <v>12102.026468938418</v>
      </c>
      <c r="AL824">
        <v>1746.4736035366229</v>
      </c>
      <c r="AM824">
        <v>389.24950015588405</v>
      </c>
      <c r="AO824">
        <v>42236.270590429231</v>
      </c>
      <c r="AP824">
        <v>13.81045736769239</v>
      </c>
      <c r="AQ824">
        <v>46637.832266551457</v>
      </c>
      <c r="AR824">
        <v>14.018784265153544</v>
      </c>
      <c r="AS824" s="2">
        <f t="shared" si="85"/>
        <v>4401.5616761222263</v>
      </c>
      <c r="AT824" s="2">
        <f t="shared" si="86"/>
        <v>0.20832689746115385</v>
      </c>
      <c r="AV824">
        <f t="shared" si="87"/>
        <v>1338809.4661788098</v>
      </c>
      <c r="AW824">
        <f t="shared" si="88"/>
        <v>1355240.5942488029</v>
      </c>
      <c r="AY824">
        <f t="shared" si="89"/>
        <v>0</v>
      </c>
      <c r="AZ824">
        <f t="shared" si="90"/>
        <v>1</v>
      </c>
    </row>
    <row r="825" spans="1:52" x14ac:dyDescent="0.2">
      <c r="A825">
        <f t="shared" si="84"/>
        <v>821</v>
      </c>
      <c r="B825">
        <v>2.8805967305560287E-2</v>
      </c>
      <c r="C825">
        <v>4.6562621237070334E-2</v>
      </c>
      <c r="D825">
        <v>3.8848059663930345E-2</v>
      </c>
      <c r="E825">
        <v>1.0420702198857667E-2</v>
      </c>
      <c r="F825">
        <v>3.310562170621853E-3</v>
      </c>
      <c r="G825">
        <v>8.5454040555666636E-3</v>
      </c>
      <c r="H825">
        <v>4.9363470371302842E-2</v>
      </c>
      <c r="I825">
        <v>0.13922056926476356</v>
      </c>
      <c r="J825">
        <v>0</v>
      </c>
      <c r="K825">
        <v>0.39798717984759263</v>
      </c>
      <c r="L825">
        <v>0.26601875373641182</v>
      </c>
      <c r="M825">
        <v>0.73398124626358818</v>
      </c>
      <c r="N825">
        <v>6.0604399157422217E-2</v>
      </c>
      <c r="O825" s="72">
        <v>0.99987022885114774</v>
      </c>
      <c r="P825">
        <v>0.95044778517174111</v>
      </c>
      <c r="Q825">
        <v>0.99016945769335207</v>
      </c>
      <c r="R825">
        <v>0.46462665413245807</v>
      </c>
      <c r="S825">
        <v>0.38054367382345045</v>
      </c>
      <c r="T825">
        <v>0.27598371686089185</v>
      </c>
      <c r="U825">
        <v>0.74689268201526027</v>
      </c>
      <c r="V825">
        <v>0.66650329926167706</v>
      </c>
      <c r="W825">
        <v>0.56304861957817931</v>
      </c>
      <c r="X825">
        <v>0.46173150426024845</v>
      </c>
      <c r="Y825">
        <v>0.42714283526637475</v>
      </c>
      <c r="Z825">
        <v>0.42114635642058745</v>
      </c>
      <c r="AA825">
        <v>0.68611074145056916</v>
      </c>
      <c r="AB825">
        <v>0.82262494635056216</v>
      </c>
      <c r="AC825">
        <v>0.73769913954853839</v>
      </c>
      <c r="AD825">
        <v>0.67821531707278415</v>
      </c>
      <c r="AE825">
        <v>275.50126501185071</v>
      </c>
      <c r="AF825">
        <v>1166.232537417764</v>
      </c>
      <c r="AG825">
        <v>1277.6333390622447</v>
      </c>
      <c r="AH825">
        <v>11468.706365871578</v>
      </c>
      <c r="AI825">
        <v>14963.581960993259</v>
      </c>
      <c r="AJ825">
        <v>39153.651657707014</v>
      </c>
      <c r="AK825">
        <v>6844.7429188519936</v>
      </c>
      <c r="AL825">
        <v>1391.1600695896268</v>
      </c>
      <c r="AM825">
        <v>425.59185368464171</v>
      </c>
      <c r="AO825">
        <v>44463.666162491936</v>
      </c>
      <c r="AP825">
        <v>13.465117838734409</v>
      </c>
      <c r="AQ825">
        <v>48656.531468725894</v>
      </c>
      <c r="AR825">
        <v>13.677689726398755</v>
      </c>
      <c r="AS825" s="2">
        <f t="shared" si="85"/>
        <v>4192.8653062339581</v>
      </c>
      <c r="AT825" s="2">
        <f t="shared" si="86"/>
        <v>0.21257188766434609</v>
      </c>
      <c r="AV825">
        <f t="shared" si="87"/>
        <v>1302048.1177109489</v>
      </c>
      <c r="AW825">
        <f t="shared" si="88"/>
        <v>1319112.4411711495</v>
      </c>
      <c r="AY825">
        <f t="shared" si="89"/>
        <v>0</v>
      </c>
      <c r="AZ825">
        <f t="shared" si="90"/>
        <v>1</v>
      </c>
    </row>
    <row r="826" spans="1:52" x14ac:dyDescent="0.2">
      <c r="A826">
        <f t="shared" si="84"/>
        <v>822</v>
      </c>
      <c r="B826">
        <v>2.8460640960753625E-2</v>
      </c>
      <c r="C826">
        <v>4.3931059604707223E-2</v>
      </c>
      <c r="D826">
        <v>3.9416988026064748E-2</v>
      </c>
      <c r="E826">
        <v>3.6619333399398935E-2</v>
      </c>
      <c r="F826">
        <v>3.3182782032463161E-3</v>
      </c>
      <c r="G826">
        <v>8.1914773747836112E-3</v>
      </c>
      <c r="H826">
        <v>3.9971368679518671E-2</v>
      </c>
      <c r="I826">
        <v>0.12844531734985923</v>
      </c>
      <c r="J826">
        <v>0</v>
      </c>
      <c r="K826">
        <v>0.41043537201529362</v>
      </c>
      <c r="L826">
        <v>0.19456094850163103</v>
      </c>
      <c r="M826">
        <v>0.80543905149836892</v>
      </c>
      <c r="N826">
        <v>5.5533366343297037E-2</v>
      </c>
      <c r="O826" s="72">
        <v>0.99999229927058619</v>
      </c>
      <c r="P826">
        <v>0.971828077612646</v>
      </c>
      <c r="Q826">
        <v>0.89723310852594729</v>
      </c>
      <c r="R826">
        <v>0.5077565246726562</v>
      </c>
      <c r="S826">
        <v>0.44131584070368768</v>
      </c>
      <c r="T826">
        <v>0.25613384116053539</v>
      </c>
      <c r="U826">
        <v>0.78383844359778232</v>
      </c>
      <c r="V826">
        <v>0.68066429115776628</v>
      </c>
      <c r="W826">
        <v>0.56919413591053636</v>
      </c>
      <c r="X826">
        <v>0.44128156207735802</v>
      </c>
      <c r="Y826">
        <v>0.40923188697996887</v>
      </c>
      <c r="Z826">
        <v>0.44700178446966837</v>
      </c>
      <c r="AA826">
        <v>0.64331656928297309</v>
      </c>
      <c r="AB826">
        <v>0.81704749982905411</v>
      </c>
      <c r="AC826">
        <v>0.7478191715603566</v>
      </c>
      <c r="AD826">
        <v>0.59884677578409173</v>
      </c>
      <c r="AE826">
        <v>212.22117561254512</v>
      </c>
      <c r="AF826">
        <v>947.67397983242665</v>
      </c>
      <c r="AG826">
        <v>1144.4872365160372</v>
      </c>
      <c r="AH826">
        <v>15352.662850157205</v>
      </c>
      <c r="AI826">
        <v>12687.110425811872</v>
      </c>
      <c r="AJ826">
        <v>40407.952497882332</v>
      </c>
      <c r="AK826">
        <v>16312.497783097366</v>
      </c>
      <c r="AL826">
        <v>2525.5569321520343</v>
      </c>
      <c r="AM826">
        <v>281.2318990977713</v>
      </c>
      <c r="AO826">
        <v>39718.63355884936</v>
      </c>
      <c r="AP826">
        <v>13.326490942969317</v>
      </c>
      <c r="AQ826">
        <v>46043.840525265652</v>
      </c>
      <c r="AR826">
        <v>13.507925295968098</v>
      </c>
      <c r="AS826" s="2">
        <f t="shared" si="85"/>
        <v>6325.2069664162918</v>
      </c>
      <c r="AT826" s="2">
        <f t="shared" si="86"/>
        <v>0.18143435299878163</v>
      </c>
      <c r="AV826">
        <f t="shared" si="87"/>
        <v>1292930.4607380824</v>
      </c>
      <c r="AW826">
        <f t="shared" si="88"/>
        <v>1304748.6890715442</v>
      </c>
      <c r="AY826">
        <f t="shared" si="89"/>
        <v>0</v>
      </c>
      <c r="AZ826">
        <f t="shared" si="90"/>
        <v>1</v>
      </c>
    </row>
    <row r="827" spans="1:52" x14ac:dyDescent="0.2">
      <c r="A827">
        <f t="shared" si="84"/>
        <v>823</v>
      </c>
      <c r="B827">
        <v>2.2859003217203605E-2</v>
      </c>
      <c r="C827">
        <v>3.8972017142910431E-2</v>
      </c>
      <c r="D827">
        <v>2.1656551863366905E-2</v>
      </c>
      <c r="E827">
        <v>3.2422279491615247E-2</v>
      </c>
      <c r="F827">
        <v>3.3765257390575565E-3</v>
      </c>
      <c r="G827">
        <v>7.4642883789548583E-3</v>
      </c>
      <c r="H827">
        <v>3.3477367923645862E-2</v>
      </c>
      <c r="I827">
        <v>0.14950855634404259</v>
      </c>
      <c r="J827">
        <v>0</v>
      </c>
      <c r="K827">
        <v>0.42339362170975436</v>
      </c>
      <c r="L827">
        <v>0.2656172865105465</v>
      </c>
      <c r="M827">
        <v>0.7343827134894535</v>
      </c>
      <c r="N827">
        <v>4.2162621101853169E-2</v>
      </c>
      <c r="O827" s="72">
        <v>0.99999586705052101</v>
      </c>
      <c r="P827">
        <v>0.99995766775222306</v>
      </c>
      <c r="Q827">
        <v>0.98630168457271772</v>
      </c>
      <c r="R827">
        <v>0.48435207716686524</v>
      </c>
      <c r="S827">
        <v>0.4322164182241981</v>
      </c>
      <c r="T827">
        <v>0.30115647451748162</v>
      </c>
      <c r="U827">
        <v>0.75657188189929969</v>
      </c>
      <c r="V827">
        <v>0.7116012004750919</v>
      </c>
      <c r="W827">
        <v>0.54694773221665849</v>
      </c>
      <c r="X827">
        <v>0.42800138028575718</v>
      </c>
      <c r="Y827">
        <v>0.47487165591718006</v>
      </c>
      <c r="Z827">
        <v>0.47735077956992633</v>
      </c>
      <c r="AA827">
        <v>0.69825599190917709</v>
      </c>
      <c r="AB827">
        <v>0.82019762407976604</v>
      </c>
      <c r="AC827">
        <v>0.65605220793442376</v>
      </c>
      <c r="AD827">
        <v>0.65170936885840902</v>
      </c>
      <c r="AE827">
        <v>169.48279798226267</v>
      </c>
      <c r="AF827">
        <v>1039.8386671747332</v>
      </c>
      <c r="AG827">
        <v>1991.6236633395486</v>
      </c>
      <c r="AH827">
        <v>9151.766826824316</v>
      </c>
      <c r="AI827">
        <v>15049.844939054914</v>
      </c>
      <c r="AJ827">
        <v>42053.728085924049</v>
      </c>
      <c r="AK827">
        <v>9557.1470982101691</v>
      </c>
      <c r="AL827">
        <v>2207.8096536595122</v>
      </c>
      <c r="AM827">
        <v>397.36442173589518</v>
      </c>
      <c r="AO827">
        <v>41838.299129490675</v>
      </c>
      <c r="AP827">
        <v>13.277809174190246</v>
      </c>
      <c r="AQ827">
        <v>46541.347696176948</v>
      </c>
      <c r="AR827">
        <v>13.46304953458821</v>
      </c>
      <c r="AS827" s="2">
        <f t="shared" si="85"/>
        <v>4703.0485666862733</v>
      </c>
      <c r="AT827" s="2">
        <f t="shared" si="86"/>
        <v>0.18524036039796421</v>
      </c>
      <c r="AV827">
        <f t="shared" si="87"/>
        <v>1285942.6182895338</v>
      </c>
      <c r="AW827">
        <f t="shared" si="88"/>
        <v>1299763.605762644</v>
      </c>
      <c r="AY827">
        <f t="shared" si="89"/>
        <v>0</v>
      </c>
      <c r="AZ827">
        <f t="shared" si="90"/>
        <v>1</v>
      </c>
    </row>
    <row r="828" spans="1:52" x14ac:dyDescent="0.2">
      <c r="A828">
        <f t="shared" si="84"/>
        <v>824</v>
      </c>
      <c r="B828">
        <v>2.6880865366623707E-2</v>
      </c>
      <c r="C828">
        <v>3.9462150738070911E-2</v>
      </c>
      <c r="D828">
        <v>4.0627678648866183E-2</v>
      </c>
      <c r="E828">
        <v>1.6644610389981884E-2</v>
      </c>
      <c r="F828">
        <v>3.4114832605747214E-3</v>
      </c>
      <c r="G828">
        <v>2.4419445986408217E-2</v>
      </c>
      <c r="H828">
        <v>5.0426730144242149E-2</v>
      </c>
      <c r="I828">
        <v>0.14094695200221141</v>
      </c>
      <c r="J828">
        <v>0</v>
      </c>
      <c r="K828">
        <v>0.40618133743635726</v>
      </c>
      <c r="L828">
        <v>0.19701570752961767</v>
      </c>
      <c r="M828">
        <v>0.80298429247038228</v>
      </c>
      <c r="N828">
        <v>4.9433223386061043E-2</v>
      </c>
      <c r="O828" s="72">
        <v>0.99881831177474256</v>
      </c>
      <c r="P828">
        <v>0.9982686243881872</v>
      </c>
      <c r="Q828">
        <v>0.96221222180621113</v>
      </c>
      <c r="R828">
        <v>0.47956970290268497</v>
      </c>
      <c r="S828">
        <v>0.3060255392892901</v>
      </c>
      <c r="T828">
        <v>0.27793273436796373</v>
      </c>
      <c r="U828">
        <v>0.76834743057769628</v>
      </c>
      <c r="V828">
        <v>0.6843910005135907</v>
      </c>
      <c r="W828">
        <v>0.46883513313340963</v>
      </c>
      <c r="X828">
        <v>0.42434155284160618</v>
      </c>
      <c r="Y828">
        <v>0.49229915801313207</v>
      </c>
      <c r="Z828">
        <v>0.4589529991428829</v>
      </c>
      <c r="AA828">
        <v>0.70219273884008016</v>
      </c>
      <c r="AB828">
        <v>0.76474470203431855</v>
      </c>
      <c r="AC828">
        <v>0.76775283061866706</v>
      </c>
      <c r="AD828">
        <v>0.51317593476488232</v>
      </c>
      <c r="AE828">
        <v>163.10064381943698</v>
      </c>
      <c r="AF828">
        <v>1307.982709390425</v>
      </c>
      <c r="AG828">
        <v>1450.96034085668</v>
      </c>
      <c r="AH828">
        <v>14313.925193396475</v>
      </c>
      <c r="AI828">
        <v>13118.039037574445</v>
      </c>
      <c r="AJ828">
        <v>43893.983043564389</v>
      </c>
      <c r="AK828">
        <v>11450.229735812096</v>
      </c>
      <c r="AL828">
        <v>2419.2300596329319</v>
      </c>
      <c r="AM828">
        <v>388.19485077556368</v>
      </c>
      <c r="AO828">
        <v>44223.855009302519</v>
      </c>
      <c r="AP828">
        <v>12.580339880406944</v>
      </c>
      <c r="AQ828">
        <v>46621.081609803725</v>
      </c>
      <c r="AR828">
        <v>12.706515572181265</v>
      </c>
      <c r="AS828" s="2">
        <f t="shared" si="85"/>
        <v>2397.2266005012061</v>
      </c>
      <c r="AT828" s="2">
        <f t="shared" si="86"/>
        <v>0.12617569177432131</v>
      </c>
      <c r="AV828">
        <f t="shared" si="87"/>
        <v>1213810.133031392</v>
      </c>
      <c r="AW828">
        <f t="shared" si="88"/>
        <v>1224030.4756083228</v>
      </c>
      <c r="AY828">
        <f t="shared" si="89"/>
        <v>0</v>
      </c>
      <c r="AZ828">
        <f t="shared" si="90"/>
        <v>1</v>
      </c>
    </row>
    <row r="829" spans="1:52" x14ac:dyDescent="0.2">
      <c r="A829">
        <f t="shared" si="84"/>
        <v>825</v>
      </c>
      <c r="B829">
        <v>1.6792416329541419E-2</v>
      </c>
      <c r="C829">
        <v>3.0481766031146877E-2</v>
      </c>
      <c r="D829">
        <v>2.5682049019445163E-2</v>
      </c>
      <c r="E829">
        <v>2.2596014760314694E-3</v>
      </c>
      <c r="F829">
        <v>3.1978042711641344E-3</v>
      </c>
      <c r="G829">
        <v>2.0789577975489082E-2</v>
      </c>
      <c r="H829">
        <v>2.3477568481328256E-2</v>
      </c>
      <c r="I829">
        <v>0.13725809820615142</v>
      </c>
      <c r="J829">
        <v>0</v>
      </c>
      <c r="K829">
        <v>0.42044430783005354</v>
      </c>
      <c r="L829">
        <v>0.25878878336020628</v>
      </c>
      <c r="M829">
        <v>0.74121121663979372</v>
      </c>
      <c r="N829">
        <v>5.1996631247615187E-2</v>
      </c>
      <c r="O829" s="72">
        <v>0.99945734584246448</v>
      </c>
      <c r="P829">
        <v>0.99944992825193502</v>
      </c>
      <c r="Q829">
        <v>0.97233555349243339</v>
      </c>
      <c r="R829">
        <v>0.51980392285863219</v>
      </c>
      <c r="S829">
        <v>0.37907214628785268</v>
      </c>
      <c r="T829">
        <v>0.26220789710614545</v>
      </c>
      <c r="U829">
        <v>0.7456137612338265</v>
      </c>
      <c r="V829">
        <v>0.66512862937384387</v>
      </c>
      <c r="W829">
        <v>0.55204148861242586</v>
      </c>
      <c r="X829">
        <v>0.4405151346289094</v>
      </c>
      <c r="Y829">
        <v>0.4340225223758768</v>
      </c>
      <c r="Z829">
        <v>0.44270553829351739</v>
      </c>
      <c r="AA829">
        <v>0.65049051229323529</v>
      </c>
      <c r="AB829">
        <v>0.83141249719593358</v>
      </c>
      <c r="AC829">
        <v>0.75303763047184036</v>
      </c>
      <c r="AD829">
        <v>0.57256162701751634</v>
      </c>
      <c r="AE829">
        <v>157.7784056383301</v>
      </c>
      <c r="AF829">
        <v>1011.268330523842</v>
      </c>
      <c r="AG829">
        <v>1737.9980859105062</v>
      </c>
      <c r="AH829">
        <v>14704.097401800938</v>
      </c>
      <c r="AI829">
        <v>10112.940408577431</v>
      </c>
      <c r="AJ829">
        <v>34511.603848107683</v>
      </c>
      <c r="AK829">
        <v>12215.607396953306</v>
      </c>
      <c r="AL829">
        <v>2663.2441255540971</v>
      </c>
      <c r="AM829">
        <v>354.50849637500323</v>
      </c>
      <c r="AO829">
        <v>40881.189685506186</v>
      </c>
      <c r="AP829">
        <v>13.542896459889825</v>
      </c>
      <c r="AQ829">
        <v>45992.952156230589</v>
      </c>
      <c r="AR829">
        <v>13.686703146668524</v>
      </c>
      <c r="AS829" s="2">
        <f t="shared" si="85"/>
        <v>5111.7624707244031</v>
      </c>
      <c r="AT829" s="2">
        <f t="shared" si="86"/>
        <v>0.14380668677869934</v>
      </c>
      <c r="AV829">
        <f t="shared" si="87"/>
        <v>1313408.4563034761</v>
      </c>
      <c r="AW829">
        <f t="shared" si="88"/>
        <v>1322677.3625106218</v>
      </c>
      <c r="AY829">
        <f t="shared" si="89"/>
        <v>0</v>
      </c>
      <c r="AZ829">
        <f t="shared" si="90"/>
        <v>1</v>
      </c>
    </row>
    <row r="830" spans="1:52" x14ac:dyDescent="0.2">
      <c r="A830">
        <f t="shared" si="84"/>
        <v>826</v>
      </c>
      <c r="B830">
        <v>1.7570724148905398E-2</v>
      </c>
      <c r="C830">
        <v>2.9345487016398566E-2</v>
      </c>
      <c r="D830">
        <v>3.8462741118050703E-2</v>
      </c>
      <c r="E830">
        <v>1.869310895501497E-2</v>
      </c>
      <c r="F830">
        <v>3.3138370592248959E-3</v>
      </c>
      <c r="G830">
        <v>2.013868139728392E-2</v>
      </c>
      <c r="H830">
        <v>8.3282273372230375E-2</v>
      </c>
      <c r="I830">
        <v>0.14955638629448786</v>
      </c>
      <c r="J830">
        <v>0</v>
      </c>
      <c r="K830">
        <v>0.41590390820393014</v>
      </c>
      <c r="L830">
        <v>0.26617352811799888</v>
      </c>
      <c r="M830">
        <v>0.73382647188200112</v>
      </c>
      <c r="N830">
        <v>7.8761435485407816E-2</v>
      </c>
      <c r="O830" s="72">
        <v>0.99991123442646379</v>
      </c>
      <c r="P830">
        <v>0.99329456852248355</v>
      </c>
      <c r="Q830">
        <v>0.93307467093978003</v>
      </c>
      <c r="R830">
        <v>0.5114496127991508</v>
      </c>
      <c r="S830">
        <v>0.32160612268717226</v>
      </c>
      <c r="T830">
        <v>0.17095781273445809</v>
      </c>
      <c r="U830">
        <v>0.76219852896548435</v>
      </c>
      <c r="V830">
        <v>0.60403367376523964</v>
      </c>
      <c r="W830">
        <v>0.59773103778623349</v>
      </c>
      <c r="X830">
        <v>0.43897160099727262</v>
      </c>
      <c r="Y830">
        <v>0.45104147923539484</v>
      </c>
      <c r="Z830">
        <v>0.38995349849540034</v>
      </c>
      <c r="AA830">
        <v>0.68398413380412371</v>
      </c>
      <c r="AB830">
        <v>0.71471538850663507</v>
      </c>
      <c r="AC830">
        <v>0.81130249968225754</v>
      </c>
      <c r="AD830">
        <v>0.62753264228757488</v>
      </c>
      <c r="AE830">
        <v>228.66474593349608</v>
      </c>
      <c r="AF830">
        <v>1064.608878772196</v>
      </c>
      <c r="AG830">
        <v>1399.0217577752137</v>
      </c>
      <c r="AH830">
        <v>12589.911006214063</v>
      </c>
      <c r="AI830">
        <v>10287.899547165198</v>
      </c>
      <c r="AJ830">
        <v>39714.155589305316</v>
      </c>
      <c r="AK830">
        <v>16333.800430929861</v>
      </c>
      <c r="AL830">
        <v>1998.6507583096848</v>
      </c>
      <c r="AM830">
        <v>386.15373973202475</v>
      </c>
      <c r="AO830">
        <v>44197.550843464254</v>
      </c>
      <c r="AP830">
        <v>12.107262033787924</v>
      </c>
      <c r="AQ830">
        <v>46819.795003848783</v>
      </c>
      <c r="AR830">
        <v>12.246975464182928</v>
      </c>
      <c r="AS830" s="2">
        <f t="shared" si="85"/>
        <v>2622.2441603845291</v>
      </c>
      <c r="AT830" s="2">
        <f t="shared" si="86"/>
        <v>0.13971343039500361</v>
      </c>
      <c r="AV830">
        <f t="shared" si="87"/>
        <v>1166528.6525353282</v>
      </c>
      <c r="AW830">
        <f t="shared" si="88"/>
        <v>1177877.7514144438</v>
      </c>
      <c r="AY830">
        <f t="shared" si="89"/>
        <v>0</v>
      </c>
      <c r="AZ830">
        <f t="shared" si="90"/>
        <v>1</v>
      </c>
    </row>
    <row r="831" spans="1:52" x14ac:dyDescent="0.2">
      <c r="A831">
        <f t="shared" si="84"/>
        <v>827</v>
      </c>
      <c r="B831">
        <v>2.9882783072270658E-2</v>
      </c>
      <c r="C831">
        <v>3.4325031059272891E-2</v>
      </c>
      <c r="D831">
        <v>4.6369161351492605E-2</v>
      </c>
      <c r="E831">
        <v>2.1560835450150861E-2</v>
      </c>
      <c r="F831">
        <v>3.308546033096407E-3</v>
      </c>
      <c r="G831">
        <v>1.6574285801110977E-2</v>
      </c>
      <c r="H831">
        <v>5.1779829635107189E-2</v>
      </c>
      <c r="I831">
        <v>0.11364917434197176</v>
      </c>
      <c r="J831">
        <v>0</v>
      </c>
      <c r="K831">
        <v>0.41113020969274439</v>
      </c>
      <c r="L831">
        <v>0.16464431914613037</v>
      </c>
      <c r="M831">
        <v>0.83535568085386958</v>
      </c>
      <c r="N831">
        <v>5.9631681506175371E-2</v>
      </c>
      <c r="O831" s="72">
        <v>0.99675937098747647</v>
      </c>
      <c r="P831">
        <v>0.995352841522539</v>
      </c>
      <c r="Q831">
        <v>0.99355792530747034</v>
      </c>
      <c r="R831">
        <v>0.50903281402330414</v>
      </c>
      <c r="S831">
        <v>0.42631028430109863</v>
      </c>
      <c r="T831">
        <v>0.34222274417446152</v>
      </c>
      <c r="U831">
        <v>0.78547873871941332</v>
      </c>
      <c r="V831">
        <v>0.67530104620077469</v>
      </c>
      <c r="W831">
        <v>0.53899849440197067</v>
      </c>
      <c r="X831">
        <v>0.47029436212414166</v>
      </c>
      <c r="Y831">
        <v>0.40653376723574258</v>
      </c>
      <c r="Z831">
        <v>0.47912316380466857</v>
      </c>
      <c r="AA831">
        <v>0.66493240560222444</v>
      </c>
      <c r="AB831">
        <v>0.79808196558779387</v>
      </c>
      <c r="AC831">
        <v>0.69891319279633279</v>
      </c>
      <c r="AD831">
        <v>0.66704918916098599</v>
      </c>
      <c r="AE831">
        <v>237.41274129193314</v>
      </c>
      <c r="AF831">
        <v>1085.4298996684195</v>
      </c>
      <c r="AG831">
        <v>1080.8404237390396</v>
      </c>
      <c r="AH831">
        <v>15214.897562022357</v>
      </c>
      <c r="AI831">
        <v>15109.793150369034</v>
      </c>
      <c r="AJ831">
        <v>45599.171306263575</v>
      </c>
      <c r="AK831">
        <v>15848.897649357745</v>
      </c>
      <c r="AL831">
        <v>1689.5294441896906</v>
      </c>
      <c r="AM831">
        <v>478.79633175914324</v>
      </c>
      <c r="AO831">
        <v>41825.307534877691</v>
      </c>
      <c r="AP831">
        <v>13.113780056512859</v>
      </c>
      <c r="AQ831">
        <v>48087.328513139379</v>
      </c>
      <c r="AR831">
        <v>13.258077426996811</v>
      </c>
      <c r="AS831" s="2">
        <f t="shared" si="85"/>
        <v>6262.0209782616876</v>
      </c>
      <c r="AT831" s="2">
        <f t="shared" si="86"/>
        <v>0.14429737048395275</v>
      </c>
      <c r="AV831">
        <f t="shared" si="87"/>
        <v>1269552.6981164082</v>
      </c>
      <c r="AW831">
        <f t="shared" si="88"/>
        <v>1277720.4141865417</v>
      </c>
      <c r="AY831">
        <f t="shared" si="89"/>
        <v>0</v>
      </c>
      <c r="AZ831">
        <f t="shared" si="90"/>
        <v>1</v>
      </c>
    </row>
    <row r="832" spans="1:52" x14ac:dyDescent="0.2">
      <c r="A832">
        <f t="shared" ref="A832:A895" si="91">A831+1</f>
        <v>828</v>
      </c>
      <c r="B832">
        <v>2.4366032324560402E-2</v>
      </c>
      <c r="C832">
        <v>2.8088119922612766E-2</v>
      </c>
      <c r="D832">
        <v>3.6041401608033555E-2</v>
      </c>
      <c r="E832">
        <v>1.009219691496935E-2</v>
      </c>
      <c r="F832">
        <v>3.299043596717914E-3</v>
      </c>
      <c r="G832">
        <v>1.7947788680828025E-2</v>
      </c>
      <c r="H832">
        <v>2.4106334974664818E-2</v>
      </c>
      <c r="I832">
        <v>0.13238549340445671</v>
      </c>
      <c r="J832">
        <v>0</v>
      </c>
      <c r="K832">
        <v>0.43404291916681825</v>
      </c>
      <c r="L832">
        <v>0.23952668675314948</v>
      </c>
      <c r="M832">
        <v>0.76047331324685052</v>
      </c>
      <c r="N832">
        <v>8.6086189431056725E-2</v>
      </c>
      <c r="O832" s="72">
        <v>0.98804933283056029</v>
      </c>
      <c r="P832">
        <v>0.99999912667633095</v>
      </c>
      <c r="Q832">
        <v>0.93229884747699121</v>
      </c>
      <c r="R832">
        <v>0.46158719019680394</v>
      </c>
      <c r="S832">
        <v>0.37288835116340868</v>
      </c>
      <c r="T832">
        <v>0.15462077217757508</v>
      </c>
      <c r="U832">
        <v>0.74155360337897103</v>
      </c>
      <c r="V832">
        <v>0.68572606971080519</v>
      </c>
      <c r="W832">
        <v>0.51599846838841712</v>
      </c>
      <c r="X832">
        <v>0.45436531700632177</v>
      </c>
      <c r="Y832">
        <v>0.43092296442629691</v>
      </c>
      <c r="Z832">
        <v>0.4534898280090025</v>
      </c>
      <c r="AA832">
        <v>0.63987857098183609</v>
      </c>
      <c r="AB832">
        <v>0.80896261518346546</v>
      </c>
      <c r="AC832">
        <v>0.68673044813529371</v>
      </c>
      <c r="AD832">
        <v>0.67919986239914865</v>
      </c>
      <c r="AE832">
        <v>186.81256098801612</v>
      </c>
      <c r="AF832">
        <v>917.40435371894011</v>
      </c>
      <c r="AG832">
        <v>2166.9086216984388</v>
      </c>
      <c r="AH832">
        <v>13868.915263184919</v>
      </c>
      <c r="AI832">
        <v>10215.494024916215</v>
      </c>
      <c r="AJ832">
        <v>38553.024809047725</v>
      </c>
      <c r="AK832">
        <v>11343.599561774337</v>
      </c>
      <c r="AL832">
        <v>1518.5953714395059</v>
      </c>
      <c r="AM832">
        <v>408.81774795176909</v>
      </c>
      <c r="AO832">
        <v>47334.253893726091</v>
      </c>
      <c r="AP832">
        <v>13.131380701155951</v>
      </c>
      <c r="AQ832">
        <v>47073.890774152889</v>
      </c>
      <c r="AR832">
        <v>13.398410388064063</v>
      </c>
      <c r="AS832" s="2">
        <f t="shared" si="85"/>
        <v>-260.3631195732014</v>
      </c>
      <c r="AT832" s="2">
        <f t="shared" si="86"/>
        <v>0.26702968690811169</v>
      </c>
      <c r="AV832">
        <f t="shared" si="87"/>
        <v>1265803.8162218691</v>
      </c>
      <c r="AW832">
        <f t="shared" si="88"/>
        <v>1292767.1480322534</v>
      </c>
      <c r="AY832">
        <f t="shared" si="89"/>
        <v>0</v>
      </c>
      <c r="AZ832">
        <f t="shared" si="90"/>
        <v>1</v>
      </c>
    </row>
    <row r="833" spans="1:52" x14ac:dyDescent="0.2">
      <c r="A833">
        <f t="shared" si="91"/>
        <v>829</v>
      </c>
      <c r="B833">
        <v>2.6751013184529326E-2</v>
      </c>
      <c r="C833">
        <v>3.180713869986522E-2</v>
      </c>
      <c r="D833">
        <v>3.3368169915702045E-2</v>
      </c>
      <c r="E833">
        <v>1.0957843155844494E-2</v>
      </c>
      <c r="F833">
        <v>3.204018475579704E-3</v>
      </c>
      <c r="G833">
        <v>2.6122567102736749E-2</v>
      </c>
      <c r="H833">
        <v>3.2292592318059476E-2</v>
      </c>
      <c r="I833">
        <v>0.12140454376872638</v>
      </c>
      <c r="J833">
        <v>0</v>
      </c>
      <c r="K833">
        <v>0.39658804039177337</v>
      </c>
      <c r="L833">
        <v>0.23856132583110201</v>
      </c>
      <c r="M833">
        <v>0.76143867416889799</v>
      </c>
      <c r="N833">
        <v>5.3409346557236892E-2</v>
      </c>
      <c r="O833" s="72">
        <v>0.99999321635278837</v>
      </c>
      <c r="P833">
        <v>0.9999871949818584</v>
      </c>
      <c r="Q833">
        <v>0.9821325060458419</v>
      </c>
      <c r="R833">
        <v>0.46361504291950506</v>
      </c>
      <c r="S833">
        <v>0.4129242957567375</v>
      </c>
      <c r="T833">
        <v>0.2156457788926851</v>
      </c>
      <c r="U833">
        <v>0.78310773465045169</v>
      </c>
      <c r="V833">
        <v>0.63777362927312065</v>
      </c>
      <c r="W833">
        <v>0.52947442284433388</v>
      </c>
      <c r="X833">
        <v>0.45432193692043188</v>
      </c>
      <c r="Y833">
        <v>0.44004199643228981</v>
      </c>
      <c r="Z833">
        <v>0.45449060626747351</v>
      </c>
      <c r="AA833">
        <v>0.64634568290906236</v>
      </c>
      <c r="AB833">
        <v>0.79783496526241748</v>
      </c>
      <c r="AC833">
        <v>0.75983629082387616</v>
      </c>
      <c r="AD833">
        <v>0.57789851420470018</v>
      </c>
      <c r="AE833">
        <v>161.54461712173836</v>
      </c>
      <c r="AF833">
        <v>1050.1205137151978</v>
      </c>
      <c r="AG833">
        <v>1397.4387404769188</v>
      </c>
      <c r="AH833">
        <v>11657.284528664801</v>
      </c>
      <c r="AI833">
        <v>18638.999146466944</v>
      </c>
      <c r="AJ833">
        <v>38240.502027590694</v>
      </c>
      <c r="AK833">
        <v>18937.425023665692</v>
      </c>
      <c r="AL833">
        <v>1692.2495691462993</v>
      </c>
      <c r="AM833">
        <v>329.54804005260058</v>
      </c>
      <c r="AO833">
        <v>43658.921132038879</v>
      </c>
      <c r="AP833">
        <v>13.097185815420294</v>
      </c>
      <c r="AQ833">
        <v>45497.383493439695</v>
      </c>
      <c r="AR833">
        <v>13.241724685325941</v>
      </c>
      <c r="AS833" s="2">
        <f t="shared" si="85"/>
        <v>1838.462361400816</v>
      </c>
      <c r="AT833" s="2">
        <f t="shared" si="86"/>
        <v>0.14453886990564691</v>
      </c>
      <c r="AV833">
        <f t="shared" si="87"/>
        <v>1266059.6604099907</v>
      </c>
      <c r="AW833">
        <f t="shared" si="88"/>
        <v>1278675.0850391544</v>
      </c>
      <c r="AY833">
        <f t="shared" si="89"/>
        <v>0</v>
      </c>
      <c r="AZ833">
        <f t="shared" si="90"/>
        <v>1</v>
      </c>
    </row>
    <row r="834" spans="1:52" x14ac:dyDescent="0.2">
      <c r="A834">
        <f t="shared" si="91"/>
        <v>830</v>
      </c>
      <c r="B834">
        <v>1.650562239063974E-2</v>
      </c>
      <c r="C834">
        <v>3.3128784556000906E-2</v>
      </c>
      <c r="D834">
        <v>5.7064336256922088E-2</v>
      </c>
      <c r="E834">
        <v>2.0577951368903724E-2</v>
      </c>
      <c r="F834">
        <v>3.2467623818532559E-3</v>
      </c>
      <c r="G834">
        <v>1.6118719855088059E-2</v>
      </c>
      <c r="H834">
        <v>2.1892100128058749E-2</v>
      </c>
      <c r="I834">
        <v>0.13472707323105171</v>
      </c>
      <c r="J834">
        <v>0</v>
      </c>
      <c r="K834">
        <v>0.40072470850615283</v>
      </c>
      <c r="L834">
        <v>0.20285134914111572</v>
      </c>
      <c r="M834">
        <v>0.79714865085888431</v>
      </c>
      <c r="N834">
        <v>5.3700493397946789E-2</v>
      </c>
      <c r="O834" s="72">
        <v>0.99842728024129235</v>
      </c>
      <c r="P834">
        <v>0.99994818934018248</v>
      </c>
      <c r="Q834">
        <v>0.95335247287218827</v>
      </c>
      <c r="R834">
        <v>0.46887852804140062</v>
      </c>
      <c r="S834">
        <v>0.37058430903765871</v>
      </c>
      <c r="T834">
        <v>0.2548268833297298</v>
      </c>
      <c r="U834">
        <v>0.78070722416535654</v>
      </c>
      <c r="V834">
        <v>0.70224509094116772</v>
      </c>
      <c r="W834">
        <v>0.57549712968046918</v>
      </c>
      <c r="X834">
        <v>0.45173421248033385</v>
      </c>
      <c r="Y834">
        <v>0.4506078999451526</v>
      </c>
      <c r="Z834">
        <v>0.48571323511860343</v>
      </c>
      <c r="AA834">
        <v>0.61746440440378791</v>
      </c>
      <c r="AB834">
        <v>0.86517147543886685</v>
      </c>
      <c r="AC834">
        <v>0.79715279777147874</v>
      </c>
      <c r="AD834">
        <v>0.61219327076355767</v>
      </c>
      <c r="AE834">
        <v>171.13855133474971</v>
      </c>
      <c r="AF834">
        <v>1049.4283485742085</v>
      </c>
      <c r="AG834">
        <v>2457.573891369565</v>
      </c>
      <c r="AH834">
        <v>9662.4343937968151</v>
      </c>
      <c r="AI834">
        <v>15315.992320272575</v>
      </c>
      <c r="AJ834">
        <v>36378.547740166956</v>
      </c>
      <c r="AK834">
        <v>12888.105580335088</v>
      </c>
      <c r="AL834">
        <v>2500.4265696613006</v>
      </c>
      <c r="AM834">
        <v>305.24204971165852</v>
      </c>
      <c r="AO834">
        <v>42768.322597913284</v>
      </c>
      <c r="AP834">
        <v>14.05107770935469</v>
      </c>
      <c r="AQ834">
        <v>45273.391944029339</v>
      </c>
      <c r="AR834">
        <v>14.287086075931905</v>
      </c>
      <c r="AS834" s="2">
        <f t="shared" si="85"/>
        <v>2505.0693461160554</v>
      </c>
      <c r="AT834" s="2">
        <f t="shared" si="86"/>
        <v>0.2360083665772148</v>
      </c>
      <c r="AV834">
        <f t="shared" si="87"/>
        <v>1362339.4483375559</v>
      </c>
      <c r="AW834">
        <f t="shared" si="88"/>
        <v>1383435.215649161</v>
      </c>
      <c r="AY834">
        <f t="shared" si="89"/>
        <v>0</v>
      </c>
      <c r="AZ834">
        <f t="shared" si="90"/>
        <v>1</v>
      </c>
    </row>
    <row r="835" spans="1:52" x14ac:dyDescent="0.2">
      <c r="A835">
        <f t="shared" si="91"/>
        <v>831</v>
      </c>
      <c r="B835">
        <v>2.4357861514373153E-2</v>
      </c>
      <c r="C835">
        <v>3.8530430976860708E-2</v>
      </c>
      <c r="D835">
        <v>4.6191625216680521E-2</v>
      </c>
      <c r="E835">
        <v>1.0500385286627899E-2</v>
      </c>
      <c r="F835">
        <v>3.3832280677744686E-3</v>
      </c>
      <c r="G835">
        <v>3.4968400449794435E-2</v>
      </c>
      <c r="H835">
        <v>2.0443803625902972E-2</v>
      </c>
      <c r="I835">
        <v>0.12973234972860728</v>
      </c>
      <c r="J835">
        <v>0</v>
      </c>
      <c r="K835">
        <v>0.39871895625439513</v>
      </c>
      <c r="L835">
        <v>0.22456116756675315</v>
      </c>
      <c r="M835">
        <v>0.77543883243324685</v>
      </c>
      <c r="N835">
        <v>6.8557644863817102E-2</v>
      </c>
      <c r="O835" s="72">
        <v>0.99870754285475805</v>
      </c>
      <c r="P835">
        <v>0.99702636907493691</v>
      </c>
      <c r="Q835">
        <v>0.9784605619770298</v>
      </c>
      <c r="R835">
        <v>0.47161595408874135</v>
      </c>
      <c r="S835">
        <v>0.35353397768485295</v>
      </c>
      <c r="T835">
        <v>0.17180616518744829</v>
      </c>
      <c r="U835">
        <v>0.79217173624450443</v>
      </c>
      <c r="V835">
        <v>0.6048883591667753</v>
      </c>
      <c r="W835">
        <v>0.5510730495491849</v>
      </c>
      <c r="X835">
        <v>0.47384468032572691</v>
      </c>
      <c r="Y835">
        <v>0.47998306866099427</v>
      </c>
      <c r="Z835">
        <v>0.43429461076184989</v>
      </c>
      <c r="AA835">
        <v>0.6972387681528458</v>
      </c>
      <c r="AB835">
        <v>0.78013890524039864</v>
      </c>
      <c r="AC835">
        <v>0.76963049361430802</v>
      </c>
      <c r="AD835">
        <v>0.54311605217663528</v>
      </c>
      <c r="AE835">
        <v>208.51366021561429</v>
      </c>
      <c r="AF835">
        <v>1156.9578643113084</v>
      </c>
      <c r="AG835">
        <v>2263.1031410645719</v>
      </c>
      <c r="AH835">
        <v>13919.05147392507</v>
      </c>
      <c r="AI835">
        <v>12272.828460386316</v>
      </c>
      <c r="AJ835">
        <v>35461.906041600683</v>
      </c>
      <c r="AK835">
        <v>16140.952508169134</v>
      </c>
      <c r="AL835">
        <v>1083.2932998095953</v>
      </c>
      <c r="AM835">
        <v>457.90251625396905</v>
      </c>
      <c r="AO835">
        <v>47405.251771844385</v>
      </c>
      <c r="AP835">
        <v>12.811838272251748</v>
      </c>
      <c r="AQ835">
        <v>47774.116066451956</v>
      </c>
      <c r="AR835">
        <v>12.964789807231138</v>
      </c>
      <c r="AS835" s="2">
        <f t="shared" si="85"/>
        <v>368.86429460757063</v>
      </c>
      <c r="AT835" s="2">
        <f t="shared" si="86"/>
        <v>0.1529515349793904</v>
      </c>
      <c r="AV835">
        <f t="shared" si="87"/>
        <v>1233778.5754533303</v>
      </c>
      <c r="AW835">
        <f t="shared" si="88"/>
        <v>1248704.8646566619</v>
      </c>
      <c r="AY835">
        <f t="shared" si="89"/>
        <v>0</v>
      </c>
      <c r="AZ835">
        <f t="shared" si="90"/>
        <v>1</v>
      </c>
    </row>
    <row r="836" spans="1:52" x14ac:dyDescent="0.2">
      <c r="A836">
        <f t="shared" si="91"/>
        <v>832</v>
      </c>
      <c r="B836">
        <v>1.9387167076047096E-2</v>
      </c>
      <c r="C836">
        <v>4.2054740072922536E-2</v>
      </c>
      <c r="D836">
        <v>4.9533198181753613E-2</v>
      </c>
      <c r="E836">
        <v>8.633661584444504E-3</v>
      </c>
      <c r="F836">
        <v>3.3226044132989119E-3</v>
      </c>
      <c r="G836">
        <v>1.2563422342568575E-2</v>
      </c>
      <c r="H836">
        <v>4.083897182316587E-2</v>
      </c>
      <c r="I836">
        <v>0.1279392532722296</v>
      </c>
      <c r="J836">
        <v>0</v>
      </c>
      <c r="K836">
        <v>0.45626901999879621</v>
      </c>
      <c r="L836">
        <v>0.15166299075509698</v>
      </c>
      <c r="M836">
        <v>0.84833700924490296</v>
      </c>
      <c r="N836">
        <v>5.0349674188703647E-2</v>
      </c>
      <c r="O836" s="72">
        <v>0.9833536367012804</v>
      </c>
      <c r="P836">
        <v>0.97543075667737833</v>
      </c>
      <c r="Q836">
        <v>0.90132839487818073</v>
      </c>
      <c r="R836">
        <v>0.48636986742678456</v>
      </c>
      <c r="S836">
        <v>0.48192429164349992</v>
      </c>
      <c r="T836">
        <v>0.27558768549772894</v>
      </c>
      <c r="U836">
        <v>0.77900303610774846</v>
      </c>
      <c r="V836">
        <v>0.65816693089398404</v>
      </c>
      <c r="W836">
        <v>0.45461670335312687</v>
      </c>
      <c r="X836">
        <v>0.47107032573117791</v>
      </c>
      <c r="Y836">
        <v>0.43083129306848555</v>
      </c>
      <c r="Z836">
        <v>0.4521198136134652</v>
      </c>
      <c r="AA836">
        <v>0.65327839896714324</v>
      </c>
      <c r="AB836">
        <v>0.78378487523443952</v>
      </c>
      <c r="AC836">
        <v>0.68648766742865874</v>
      </c>
      <c r="AD836">
        <v>0.62353470023344704</v>
      </c>
      <c r="AE836">
        <v>192.87021563923722</v>
      </c>
      <c r="AF836">
        <v>1230.2082035849674</v>
      </c>
      <c r="AG836">
        <v>1397.5102906132715</v>
      </c>
      <c r="AH836">
        <v>15417.932732319949</v>
      </c>
      <c r="AI836">
        <v>12861.46190859795</v>
      </c>
      <c r="AJ836">
        <v>38388.974203472542</v>
      </c>
      <c r="AK836">
        <v>11937.430326989468</v>
      </c>
      <c r="AL836">
        <v>2800.7625727688956</v>
      </c>
      <c r="AM836">
        <v>394.52091305739248</v>
      </c>
      <c r="AO836">
        <v>42021.496872773998</v>
      </c>
      <c r="AP836">
        <v>12.836866732131673</v>
      </c>
      <c r="AQ836">
        <v>47794.984820588805</v>
      </c>
      <c r="AR836">
        <v>12.9715207683888</v>
      </c>
      <c r="AS836" s="2">
        <f t="shared" si="85"/>
        <v>5773.4879478148068</v>
      </c>
      <c r="AT836" s="2">
        <f t="shared" si="86"/>
        <v>0.13465403625712646</v>
      </c>
      <c r="AV836">
        <f t="shared" si="87"/>
        <v>1241665.1763403933</v>
      </c>
      <c r="AW836">
        <f t="shared" si="88"/>
        <v>1249357.0920182914</v>
      </c>
      <c r="AY836">
        <f t="shared" si="89"/>
        <v>0</v>
      </c>
      <c r="AZ836">
        <f t="shared" si="90"/>
        <v>1</v>
      </c>
    </row>
    <row r="837" spans="1:52" x14ac:dyDescent="0.2">
      <c r="A837">
        <f t="shared" si="91"/>
        <v>833</v>
      </c>
      <c r="B837">
        <v>2.5087471012993245E-2</v>
      </c>
      <c r="C837">
        <v>4.2213817862205016E-2</v>
      </c>
      <c r="D837">
        <v>3.1935935105011547E-2</v>
      </c>
      <c r="E837">
        <v>8.3365634969235075E-3</v>
      </c>
      <c r="F837">
        <v>3.2884531883330789E-3</v>
      </c>
      <c r="G837">
        <v>2.8574423378937897E-2</v>
      </c>
      <c r="H837">
        <v>3.207230142601647E-2</v>
      </c>
      <c r="I837">
        <v>0.13247373983311161</v>
      </c>
      <c r="J837">
        <v>0</v>
      </c>
      <c r="K837">
        <v>0.42326276802209845</v>
      </c>
      <c r="L837">
        <v>0.22965613913951299</v>
      </c>
      <c r="M837">
        <v>0.77034386086048701</v>
      </c>
      <c r="N837">
        <v>5.8476366788391188E-2</v>
      </c>
      <c r="O837" s="72">
        <v>0.99288429236751397</v>
      </c>
      <c r="P837">
        <v>0.99891949141253977</v>
      </c>
      <c r="Q837">
        <v>0.97202674992410509</v>
      </c>
      <c r="R837">
        <v>0.54180091636506367</v>
      </c>
      <c r="S837">
        <v>0.41190162131135344</v>
      </c>
      <c r="T837">
        <v>0.24124085027490616</v>
      </c>
      <c r="U837">
        <v>0.80129513636241101</v>
      </c>
      <c r="V837">
        <v>0.70347542271049823</v>
      </c>
      <c r="W837">
        <v>0.48401786981014677</v>
      </c>
      <c r="X837">
        <v>0.41600389603724941</v>
      </c>
      <c r="Y837">
        <v>0.4761002415212291</v>
      </c>
      <c r="Z837">
        <v>0.46359553345892424</v>
      </c>
      <c r="AA837">
        <v>0.6009624521191389</v>
      </c>
      <c r="AB837">
        <v>0.81586873008170557</v>
      </c>
      <c r="AC837">
        <v>0.62223158590475991</v>
      </c>
      <c r="AD837">
        <v>0.58623146628503797</v>
      </c>
      <c r="AE837">
        <v>243.52456845587267</v>
      </c>
      <c r="AF837">
        <v>919.56370947631683</v>
      </c>
      <c r="AG837">
        <v>1894.8275413042363</v>
      </c>
      <c r="AH837">
        <v>14219.762327676704</v>
      </c>
      <c r="AI837">
        <v>7346.5503644174132</v>
      </c>
      <c r="AJ837">
        <v>43009.662879351206</v>
      </c>
      <c r="AK837">
        <v>12182.783806626856</v>
      </c>
      <c r="AL837">
        <v>2493.4686886572081</v>
      </c>
      <c r="AM837">
        <v>377.70076192473346</v>
      </c>
      <c r="AO837">
        <v>40477.184771779175</v>
      </c>
      <c r="AP837">
        <v>13.117008124525224</v>
      </c>
      <c r="AQ837">
        <v>46473.312371995649</v>
      </c>
      <c r="AR837">
        <v>13.252017585129952</v>
      </c>
      <c r="AS837" s="2">
        <f t="shared" si="85"/>
        <v>5996.1276002164741</v>
      </c>
      <c r="AT837" s="2">
        <f t="shared" si="86"/>
        <v>0.13500946060472785</v>
      </c>
      <c r="AV837">
        <f t="shared" si="87"/>
        <v>1271223.6276807431</v>
      </c>
      <c r="AW837">
        <f t="shared" si="88"/>
        <v>1278728.4461409994</v>
      </c>
      <c r="AY837">
        <f t="shared" si="89"/>
        <v>0</v>
      </c>
      <c r="AZ837">
        <f t="shared" si="90"/>
        <v>1</v>
      </c>
    </row>
    <row r="838" spans="1:52" x14ac:dyDescent="0.2">
      <c r="A838">
        <f t="shared" si="91"/>
        <v>834</v>
      </c>
      <c r="B838">
        <v>2.9947429308778806E-2</v>
      </c>
      <c r="C838">
        <v>3.9151860451344889E-2</v>
      </c>
      <c r="D838">
        <v>3.8496399412034754E-2</v>
      </c>
      <c r="E838">
        <v>3.9632335808665051E-3</v>
      </c>
      <c r="F838">
        <v>3.4140374299934662E-3</v>
      </c>
      <c r="G838">
        <v>4.7777402161153486E-3</v>
      </c>
      <c r="H838">
        <v>6.3682834115915627E-3</v>
      </c>
      <c r="I838">
        <v>0.13491268940744139</v>
      </c>
      <c r="J838">
        <v>0</v>
      </c>
      <c r="K838">
        <v>0.39697568621214313</v>
      </c>
      <c r="L838">
        <v>0.16078134540553451</v>
      </c>
      <c r="M838">
        <v>0.83921865459446554</v>
      </c>
      <c r="N838">
        <v>6.784096165151865E-2</v>
      </c>
      <c r="O838" s="72">
        <v>0.94795022840501331</v>
      </c>
      <c r="P838">
        <v>0.99998806461617273</v>
      </c>
      <c r="Q838">
        <v>0.95885427187935135</v>
      </c>
      <c r="R838">
        <v>0.53544796635578729</v>
      </c>
      <c r="S838">
        <v>0.40403004068925585</v>
      </c>
      <c r="T838">
        <v>0.14011219217559479</v>
      </c>
      <c r="U838">
        <v>0.78362044413822107</v>
      </c>
      <c r="V838">
        <v>0.65574999219214425</v>
      </c>
      <c r="W838">
        <v>0.52603968547831959</v>
      </c>
      <c r="X838">
        <v>0.38434985430864976</v>
      </c>
      <c r="Y838">
        <v>0.44421719939290399</v>
      </c>
      <c r="Z838">
        <v>0.52311373343877932</v>
      </c>
      <c r="AA838">
        <v>0.68563843404385239</v>
      </c>
      <c r="AB838">
        <v>0.87716834923925768</v>
      </c>
      <c r="AC838">
        <v>0.68344937982231979</v>
      </c>
      <c r="AD838">
        <v>0.73346504627664455</v>
      </c>
      <c r="AE838">
        <v>163.09276281495912</v>
      </c>
      <c r="AF838">
        <v>1234.1055312198034</v>
      </c>
      <c r="AG838">
        <v>1941.2002422526577</v>
      </c>
      <c r="AH838">
        <v>12924.179354896758</v>
      </c>
      <c r="AI838">
        <v>13709.434525830267</v>
      </c>
      <c r="AJ838">
        <v>45581.367262652522</v>
      </c>
      <c r="AK838">
        <v>15661.106355607895</v>
      </c>
      <c r="AL838">
        <v>2731.4082916814978</v>
      </c>
      <c r="AM838">
        <v>356.80090203610973</v>
      </c>
      <c r="AO838">
        <v>43441.04475419064</v>
      </c>
      <c r="AP838">
        <v>14.086345840551552</v>
      </c>
      <c r="AQ838">
        <v>46335.822858034953</v>
      </c>
      <c r="AR838">
        <v>14.411248514194387</v>
      </c>
      <c r="AS838" s="2">
        <f t="shared" ref="AS838:AS901" si="92">AQ838-AO838</f>
        <v>2894.7781038443136</v>
      </c>
      <c r="AT838" s="2">
        <f t="shared" ref="AT838:AT901" si="93">AR838-AP838</f>
        <v>0.32490267364283554</v>
      </c>
      <c r="AV838">
        <f t="shared" ref="AV838:AV901" si="94">$AW$1*AP838-AO838</f>
        <v>1365193.5393009644</v>
      </c>
      <c r="AW838">
        <f t="shared" ref="AW838:AW901" si="95">$AW$1*AR838-AQ838</f>
        <v>1394789.0285614037</v>
      </c>
      <c r="AY838">
        <f t="shared" ref="AY838:AY901" si="96">IF(AV838=MAX($AV838:$AW838),1,0)</f>
        <v>0</v>
      </c>
      <c r="AZ838">
        <f t="shared" ref="AZ838:AZ901" si="97">IF(AW838=MAX($AV838:$AW838),1,0)</f>
        <v>1</v>
      </c>
    </row>
    <row r="839" spans="1:52" x14ac:dyDescent="0.2">
      <c r="A839">
        <f t="shared" si="91"/>
        <v>835</v>
      </c>
      <c r="B839">
        <v>2.1299220634545226E-2</v>
      </c>
      <c r="C839">
        <v>3.2240480531437597E-2</v>
      </c>
      <c r="D839">
        <v>2.3650724819962176E-2</v>
      </c>
      <c r="E839">
        <v>1.9873707967510201E-2</v>
      </c>
      <c r="F839">
        <v>3.2978475841868148E-3</v>
      </c>
      <c r="G839">
        <v>3.730362262830801E-3</v>
      </c>
      <c r="H839">
        <v>2.5537460764220692E-2</v>
      </c>
      <c r="I839">
        <v>0.12645949271529924</v>
      </c>
      <c r="J839">
        <v>0</v>
      </c>
      <c r="K839">
        <v>0.42493166313713887</v>
      </c>
      <c r="L839">
        <v>0.13273020144739961</v>
      </c>
      <c r="M839">
        <v>0.86726979855260034</v>
      </c>
      <c r="N839">
        <v>6.6450792206145248E-2</v>
      </c>
      <c r="O839" s="72">
        <v>0.99740320115972458</v>
      </c>
      <c r="P839">
        <v>0.99988927447720621</v>
      </c>
      <c r="Q839">
        <v>0.9207056045538371</v>
      </c>
      <c r="R839">
        <v>0.46740639640202997</v>
      </c>
      <c r="S839">
        <v>0.44178906534789919</v>
      </c>
      <c r="T839">
        <v>0.20490658489119706</v>
      </c>
      <c r="U839">
        <v>0.77090559829486494</v>
      </c>
      <c r="V839">
        <v>0.61235238728989438</v>
      </c>
      <c r="W839">
        <v>0.54982315465018716</v>
      </c>
      <c r="X839">
        <v>0.48957611807829515</v>
      </c>
      <c r="Y839">
        <v>0.4388488391875825</v>
      </c>
      <c r="Z839">
        <v>0.48627193475810526</v>
      </c>
      <c r="AA839">
        <v>0.60266066555422515</v>
      </c>
      <c r="AB839">
        <v>0.86458712273263538</v>
      </c>
      <c r="AC839">
        <v>0.66714665674005247</v>
      </c>
      <c r="AD839">
        <v>0.60855597408369444</v>
      </c>
      <c r="AE839">
        <v>217.15066242702142</v>
      </c>
      <c r="AF839">
        <v>916.83951745569027</v>
      </c>
      <c r="AG839">
        <v>1528.2311597604887</v>
      </c>
      <c r="AH839">
        <v>11265.046662103481</v>
      </c>
      <c r="AI839">
        <v>9439.4604639008103</v>
      </c>
      <c r="AJ839">
        <v>41018.158743220141</v>
      </c>
      <c r="AK839">
        <v>21689.222703519186</v>
      </c>
      <c r="AL839">
        <v>739.45916072928412</v>
      </c>
      <c r="AM839">
        <v>442.79218134193388</v>
      </c>
      <c r="AO839">
        <v>44933.838515316544</v>
      </c>
      <c r="AP839">
        <v>13.798566959419077</v>
      </c>
      <c r="AQ839">
        <v>47549.520515948527</v>
      </c>
      <c r="AR839">
        <v>14.03996456292891</v>
      </c>
      <c r="AS839" s="2">
        <f t="shared" si="92"/>
        <v>2615.6820006319831</v>
      </c>
      <c r="AT839" s="2">
        <f t="shared" si="93"/>
        <v>0.2413976035098333</v>
      </c>
      <c r="AV839">
        <f t="shared" si="94"/>
        <v>1334922.857426591</v>
      </c>
      <c r="AW839">
        <f t="shared" si="95"/>
        <v>1356446.9357769424</v>
      </c>
      <c r="AY839">
        <f t="shared" si="96"/>
        <v>0</v>
      </c>
      <c r="AZ839">
        <f t="shared" si="97"/>
        <v>1</v>
      </c>
    </row>
    <row r="840" spans="1:52" x14ac:dyDescent="0.2">
      <c r="A840">
        <f t="shared" si="91"/>
        <v>836</v>
      </c>
      <c r="B840">
        <v>3.4841703483957209E-2</v>
      </c>
      <c r="C840">
        <v>3.8864242878392075E-2</v>
      </c>
      <c r="D840">
        <v>3.8332036775148737E-2</v>
      </c>
      <c r="E840">
        <v>5.5748286598478053E-3</v>
      </c>
      <c r="F840">
        <v>3.3701362615334851E-3</v>
      </c>
      <c r="G840">
        <v>1.3176793732999292E-2</v>
      </c>
      <c r="H840">
        <v>3.7926229911141474E-2</v>
      </c>
      <c r="I840">
        <v>0.12495645613699115</v>
      </c>
      <c r="J840">
        <v>0</v>
      </c>
      <c r="K840">
        <v>0.40826662746214365</v>
      </c>
      <c r="L840">
        <v>0.21573855780690221</v>
      </c>
      <c r="M840">
        <v>0.78426144219309779</v>
      </c>
      <c r="N840">
        <v>5.9189566174479347E-2</v>
      </c>
      <c r="O840" s="72">
        <v>0.99937527271341808</v>
      </c>
      <c r="P840">
        <v>0.99979684524702883</v>
      </c>
      <c r="Q840">
        <v>0.97882572616822494</v>
      </c>
      <c r="R840">
        <v>0.49010611371629298</v>
      </c>
      <c r="S840">
        <v>0.38358055216801656</v>
      </c>
      <c r="T840">
        <v>0.16189284638760626</v>
      </c>
      <c r="U840">
        <v>0.74858834664614837</v>
      </c>
      <c r="V840">
        <v>0.67630374014710026</v>
      </c>
      <c r="W840">
        <v>0.60009170359210584</v>
      </c>
      <c r="X840">
        <v>0.43703499527477618</v>
      </c>
      <c r="Y840">
        <v>0.43943955024115933</v>
      </c>
      <c r="Z840">
        <v>0.43625788027833273</v>
      </c>
      <c r="AA840">
        <v>0.7217411453381396</v>
      </c>
      <c r="AB840">
        <v>0.89179907299433947</v>
      </c>
      <c r="AC840">
        <v>0.7357497954763188</v>
      </c>
      <c r="AD840">
        <v>0.64048671372502808</v>
      </c>
      <c r="AE840">
        <v>252.86595088945481</v>
      </c>
      <c r="AF840">
        <v>1078.1075926103813</v>
      </c>
      <c r="AG840">
        <v>1723.3902571923995</v>
      </c>
      <c r="AH840">
        <v>16755.304177726113</v>
      </c>
      <c r="AI840">
        <v>12798.756647073573</v>
      </c>
      <c r="AJ840">
        <v>49653.456015153875</v>
      </c>
      <c r="AK840">
        <v>20750.281406517312</v>
      </c>
      <c r="AL840">
        <v>1918.2807582208488</v>
      </c>
      <c r="AM840">
        <v>283.49780824426023</v>
      </c>
      <c r="AO840">
        <v>44231.250421754958</v>
      </c>
      <c r="AP840">
        <v>14.277090512577912</v>
      </c>
      <c r="AQ840">
        <v>45024.581036255928</v>
      </c>
      <c r="AR840">
        <v>14.58608832233462</v>
      </c>
      <c r="AS840" s="2">
        <f t="shared" si="92"/>
        <v>793.33061450097011</v>
      </c>
      <c r="AT840" s="2">
        <f t="shared" si="93"/>
        <v>0.30899780975670765</v>
      </c>
      <c r="AV840">
        <f t="shared" si="94"/>
        <v>1383477.8008360362</v>
      </c>
      <c r="AW840">
        <f t="shared" si="95"/>
        <v>1413584.2511972061</v>
      </c>
      <c r="AY840">
        <f t="shared" si="96"/>
        <v>0</v>
      </c>
      <c r="AZ840">
        <f t="shared" si="97"/>
        <v>1</v>
      </c>
    </row>
    <row r="841" spans="1:52" x14ac:dyDescent="0.2">
      <c r="A841">
        <f t="shared" si="91"/>
        <v>837</v>
      </c>
      <c r="B841">
        <v>2.4239188878090512E-2</v>
      </c>
      <c r="C841">
        <v>4.0815529980263943E-2</v>
      </c>
      <c r="D841">
        <v>3.2502514740890893E-2</v>
      </c>
      <c r="E841">
        <v>2.1118994457711656E-3</v>
      </c>
      <c r="F841">
        <v>3.285467782817185E-3</v>
      </c>
      <c r="G841">
        <v>3.9795353792416832E-2</v>
      </c>
      <c r="H841">
        <v>2.7388734114597788E-2</v>
      </c>
      <c r="I841">
        <v>0.12553564215939683</v>
      </c>
      <c r="J841">
        <v>0</v>
      </c>
      <c r="K841">
        <v>0.43156519648879377</v>
      </c>
      <c r="L841">
        <v>0.28464381061126365</v>
      </c>
      <c r="M841">
        <v>0.71535618938873635</v>
      </c>
      <c r="N841">
        <v>4.7584626745467901E-2</v>
      </c>
      <c r="O841" s="72">
        <v>0.9995459690310281</v>
      </c>
      <c r="P841">
        <v>0.9985096996735412</v>
      </c>
      <c r="Q841">
        <v>0.97990808552404851</v>
      </c>
      <c r="R841">
        <v>0.46269779992901783</v>
      </c>
      <c r="S841">
        <v>0.42978686502892027</v>
      </c>
      <c r="T841">
        <v>0.2035279250091212</v>
      </c>
      <c r="U841">
        <v>0.75310967747521929</v>
      </c>
      <c r="V841">
        <v>0.67471409445065655</v>
      </c>
      <c r="W841">
        <v>0.51589887472524842</v>
      </c>
      <c r="X841">
        <v>0.4367242932641785</v>
      </c>
      <c r="Y841">
        <v>0.40239220553400534</v>
      </c>
      <c r="Z841">
        <v>0.4245030580869894</v>
      </c>
      <c r="AA841">
        <v>0.69353435352437698</v>
      </c>
      <c r="AB841">
        <v>0.83891889726310398</v>
      </c>
      <c r="AC841">
        <v>0.66038487728362905</v>
      </c>
      <c r="AD841">
        <v>0.64745104704408973</v>
      </c>
      <c r="AE841">
        <v>219.10928631174502</v>
      </c>
      <c r="AF841">
        <v>964.65675899643543</v>
      </c>
      <c r="AG841">
        <v>1496.7987915670035</v>
      </c>
      <c r="AH841">
        <v>11995.782935891226</v>
      </c>
      <c r="AI841">
        <v>11442.961884789172</v>
      </c>
      <c r="AJ841">
        <v>40901.843617304119</v>
      </c>
      <c r="AK841">
        <v>12646.940739827505</v>
      </c>
      <c r="AL841">
        <v>1816.5317339128021</v>
      </c>
      <c r="AM841">
        <v>350.66837246325218</v>
      </c>
      <c r="AO841">
        <v>44253.07768212221</v>
      </c>
      <c r="AP841">
        <v>13.491535596368397</v>
      </c>
      <c r="AQ841">
        <v>45918.564667758219</v>
      </c>
      <c r="AR841">
        <v>13.725034458294626</v>
      </c>
      <c r="AS841" s="2">
        <f t="shared" si="92"/>
        <v>1665.4869856360092</v>
      </c>
      <c r="AT841" s="2">
        <f t="shared" si="93"/>
        <v>0.23349886192622904</v>
      </c>
      <c r="AV841">
        <f t="shared" si="94"/>
        <v>1304900.4819547175</v>
      </c>
      <c r="AW841">
        <f t="shared" si="95"/>
        <v>1326584.8811617044</v>
      </c>
      <c r="AY841">
        <f t="shared" si="96"/>
        <v>0</v>
      </c>
      <c r="AZ841">
        <f t="shared" si="97"/>
        <v>1</v>
      </c>
    </row>
    <row r="842" spans="1:52" x14ac:dyDescent="0.2">
      <c r="A842">
        <f t="shared" si="91"/>
        <v>838</v>
      </c>
      <c r="B842">
        <v>2.4223250729558009E-2</v>
      </c>
      <c r="C842">
        <v>4.0951046947948488E-2</v>
      </c>
      <c r="D842">
        <v>2.6620024758267951E-2</v>
      </c>
      <c r="E842">
        <v>6.4952275666076381E-4</v>
      </c>
      <c r="F842">
        <v>3.4088614426900365E-3</v>
      </c>
      <c r="G842">
        <v>5.3921268488337252E-3</v>
      </c>
      <c r="H842">
        <v>2.1565610041710679E-2</v>
      </c>
      <c r="I842">
        <v>0.13928401382362632</v>
      </c>
      <c r="J842">
        <v>0</v>
      </c>
      <c r="K842">
        <v>0.43165649219326818</v>
      </c>
      <c r="L842">
        <v>0.18671388607651423</v>
      </c>
      <c r="M842">
        <v>0.81328611392348571</v>
      </c>
      <c r="N842">
        <v>5.3470400563608071E-2</v>
      </c>
      <c r="O842" s="72">
        <v>0.99932630125516286</v>
      </c>
      <c r="P842">
        <v>0.96635671852621929</v>
      </c>
      <c r="Q842">
        <v>0.9595661553087893</v>
      </c>
      <c r="R842">
        <v>0.48959188827643041</v>
      </c>
      <c r="S842">
        <v>0.4088826660001792</v>
      </c>
      <c r="T842">
        <v>0.20872939759488374</v>
      </c>
      <c r="U842">
        <v>0.75322196676736108</v>
      </c>
      <c r="V842">
        <v>0.65644677975187737</v>
      </c>
      <c r="W842">
        <v>0.57069140287200604</v>
      </c>
      <c r="X842">
        <v>0.41355397127044335</v>
      </c>
      <c r="Y842">
        <v>0.40716322400546245</v>
      </c>
      <c r="Z842">
        <v>0.42530347150517167</v>
      </c>
      <c r="AA842">
        <v>0.68349682652367227</v>
      </c>
      <c r="AB842">
        <v>0.84903513755313553</v>
      </c>
      <c r="AC842">
        <v>0.70852931494471172</v>
      </c>
      <c r="AD842">
        <v>0.5329047014697722</v>
      </c>
      <c r="AE842">
        <v>225.8574094956823</v>
      </c>
      <c r="AF842">
        <v>1020.7996248872569</v>
      </c>
      <c r="AG842">
        <v>1777.9672183232838</v>
      </c>
      <c r="AH842">
        <v>14856.472618655473</v>
      </c>
      <c r="AI842">
        <v>10023.760742336013</v>
      </c>
      <c r="AJ842">
        <v>43522.665009185272</v>
      </c>
      <c r="AK842">
        <v>16056.885804668582</v>
      </c>
      <c r="AL842">
        <v>1778.7923412037087</v>
      </c>
      <c r="AM842">
        <v>298.29425129945594</v>
      </c>
      <c r="AO842">
        <v>42543.646866441843</v>
      </c>
      <c r="AP842">
        <v>13.621676721585496</v>
      </c>
      <c r="AQ842">
        <v>46314.722860501679</v>
      </c>
      <c r="AR842">
        <v>13.790939236937271</v>
      </c>
      <c r="AS842" s="2">
        <f t="shared" si="92"/>
        <v>3771.0759940598364</v>
      </c>
      <c r="AT842" s="2">
        <f t="shared" si="93"/>
        <v>0.16926251535177528</v>
      </c>
      <c r="AV842">
        <f t="shared" si="94"/>
        <v>1319624.0252921076</v>
      </c>
      <c r="AW842">
        <f t="shared" si="95"/>
        <v>1332779.2008332256</v>
      </c>
      <c r="AY842">
        <f t="shared" si="96"/>
        <v>0</v>
      </c>
      <c r="AZ842">
        <f t="shared" si="97"/>
        <v>1</v>
      </c>
    </row>
    <row r="843" spans="1:52" x14ac:dyDescent="0.2">
      <c r="A843">
        <f t="shared" si="91"/>
        <v>839</v>
      </c>
      <c r="B843">
        <v>2.3869957038579501E-2</v>
      </c>
      <c r="C843">
        <v>3.2405671371221134E-2</v>
      </c>
      <c r="D843">
        <v>3.2399246580453477E-2</v>
      </c>
      <c r="E843">
        <v>6.3717370016681566E-3</v>
      </c>
      <c r="F843">
        <v>3.4131108848814984E-3</v>
      </c>
      <c r="G843">
        <v>1.0190997849926149E-2</v>
      </c>
      <c r="H843">
        <v>3.7672254143504169E-2</v>
      </c>
      <c r="I843">
        <v>0.12746268883790754</v>
      </c>
      <c r="J843">
        <v>0</v>
      </c>
      <c r="K843">
        <v>0.45756215748076057</v>
      </c>
      <c r="L843">
        <v>0.16279043451217731</v>
      </c>
      <c r="M843">
        <v>0.83720956548782266</v>
      </c>
      <c r="N843">
        <v>7.8668548100327418E-2</v>
      </c>
      <c r="O843" s="72">
        <v>0.98043369807433778</v>
      </c>
      <c r="P843">
        <v>0.96017197736707616</v>
      </c>
      <c r="Q843">
        <v>0.98900522862009888</v>
      </c>
      <c r="R843">
        <v>0.48412367737415674</v>
      </c>
      <c r="S843">
        <v>0.45903137042105469</v>
      </c>
      <c r="T843">
        <v>0.33142858550567456</v>
      </c>
      <c r="U843">
        <v>0.78514168002099716</v>
      </c>
      <c r="V843">
        <v>0.62193805508333377</v>
      </c>
      <c r="W843">
        <v>0.4579075876270608</v>
      </c>
      <c r="X843">
        <v>0.42472541747839226</v>
      </c>
      <c r="Y843">
        <v>0.45743890710523583</v>
      </c>
      <c r="Z843">
        <v>0.45155717647948634</v>
      </c>
      <c r="AA843">
        <v>0.63775015649820754</v>
      </c>
      <c r="AB843">
        <v>0.85959484430650512</v>
      </c>
      <c r="AC843">
        <v>0.69635360465879492</v>
      </c>
      <c r="AD843">
        <v>0.66609691878615296</v>
      </c>
      <c r="AE843">
        <v>273.47202591940487</v>
      </c>
      <c r="AF843">
        <v>826.80241181165161</v>
      </c>
      <c r="AG843">
        <v>1800.0031882918204</v>
      </c>
      <c r="AH843">
        <v>9837.6991867368233</v>
      </c>
      <c r="AI843">
        <v>14059.477955009796</v>
      </c>
      <c r="AJ843">
        <v>49413.484139942993</v>
      </c>
      <c r="AK843">
        <v>14169.439152185591</v>
      </c>
      <c r="AL843">
        <v>2761.2361604104958</v>
      </c>
      <c r="AM843">
        <v>438.52194102874046</v>
      </c>
      <c r="AO843">
        <v>42076.905712967571</v>
      </c>
      <c r="AP843">
        <v>13.904023532805097</v>
      </c>
      <c r="AQ843">
        <v>48627.224170208727</v>
      </c>
      <c r="AR843">
        <v>14.097621292995406</v>
      </c>
      <c r="AS843" s="2">
        <f t="shared" si="92"/>
        <v>6550.3184572411556</v>
      </c>
      <c r="AT843" s="2">
        <f t="shared" si="93"/>
        <v>0.19359776019030939</v>
      </c>
      <c r="AV843">
        <f t="shared" si="94"/>
        <v>1348325.4475675421</v>
      </c>
      <c r="AW843">
        <f t="shared" si="95"/>
        <v>1361134.9051293319</v>
      </c>
      <c r="AY843">
        <f t="shared" si="96"/>
        <v>0</v>
      </c>
      <c r="AZ843">
        <f t="shared" si="97"/>
        <v>1</v>
      </c>
    </row>
    <row r="844" spans="1:52" x14ac:dyDescent="0.2">
      <c r="A844">
        <f t="shared" si="91"/>
        <v>840</v>
      </c>
      <c r="B844">
        <v>2.3980342356259364E-2</v>
      </c>
      <c r="C844">
        <v>4.2496098578935881E-2</v>
      </c>
      <c r="D844">
        <v>3.6090722510939831E-2</v>
      </c>
      <c r="E844">
        <v>1.9778498490264695E-2</v>
      </c>
      <c r="F844">
        <v>3.30590553677481E-3</v>
      </c>
      <c r="G844">
        <v>2.895646081069525E-2</v>
      </c>
      <c r="H844">
        <v>4.1882153238633424E-2</v>
      </c>
      <c r="I844">
        <v>0.14043768306967741</v>
      </c>
      <c r="J844">
        <v>0</v>
      </c>
      <c r="K844">
        <v>0.45180871163600445</v>
      </c>
      <c r="L844">
        <v>0.23569098037228664</v>
      </c>
      <c r="M844">
        <v>0.76430901962771336</v>
      </c>
      <c r="N844">
        <v>6.693582774561857E-2</v>
      </c>
      <c r="O844" s="72">
        <v>0.99995275867629918</v>
      </c>
      <c r="P844">
        <v>0.99999683816581075</v>
      </c>
      <c r="Q844">
        <v>0.91330617668451775</v>
      </c>
      <c r="R844">
        <v>0.44074574536376043</v>
      </c>
      <c r="S844">
        <v>0.36647169909888355</v>
      </c>
      <c r="T844">
        <v>0.28251546610557321</v>
      </c>
      <c r="U844">
        <v>0.79814135645448392</v>
      </c>
      <c r="V844">
        <v>0.63353594187329332</v>
      </c>
      <c r="W844">
        <v>0.54099243308189549</v>
      </c>
      <c r="X844">
        <v>0.40548486587844851</v>
      </c>
      <c r="Y844">
        <v>0.4599222289727195</v>
      </c>
      <c r="Z844">
        <v>0.4499228388831934</v>
      </c>
      <c r="AA844">
        <v>0.73017624072335585</v>
      </c>
      <c r="AB844">
        <v>0.82548284854051635</v>
      </c>
      <c r="AC844">
        <v>0.73062302752172936</v>
      </c>
      <c r="AD844">
        <v>0.63184933942797528</v>
      </c>
      <c r="AE844">
        <v>169.09616841498016</v>
      </c>
      <c r="AF844">
        <v>1090.4743285226577</v>
      </c>
      <c r="AG844">
        <v>1120.7518377660854</v>
      </c>
      <c r="AH844">
        <v>9233.3769926163186</v>
      </c>
      <c r="AI844">
        <v>10873.812487802756</v>
      </c>
      <c r="AJ844">
        <v>42913.356180366696</v>
      </c>
      <c r="AK844">
        <v>15061.282109743122</v>
      </c>
      <c r="AL844">
        <v>1526.4156560411429</v>
      </c>
      <c r="AM844">
        <v>404.1809647590938</v>
      </c>
      <c r="AO844">
        <v>45100.560622233985</v>
      </c>
      <c r="AP844">
        <v>13.452739098044928</v>
      </c>
      <c r="AQ844">
        <v>46837.320484788586</v>
      </c>
      <c r="AR844">
        <v>13.640592875167647</v>
      </c>
      <c r="AS844" s="2">
        <f t="shared" si="92"/>
        <v>1736.7598625546016</v>
      </c>
      <c r="AT844" s="2">
        <f t="shared" si="93"/>
        <v>0.18785377712271867</v>
      </c>
      <c r="AV844">
        <f t="shared" si="94"/>
        <v>1300173.3491822588</v>
      </c>
      <c r="AW844">
        <f t="shared" si="95"/>
        <v>1317221.967031976</v>
      </c>
      <c r="AY844">
        <f t="shared" si="96"/>
        <v>0</v>
      </c>
      <c r="AZ844">
        <f t="shared" si="97"/>
        <v>1</v>
      </c>
    </row>
    <row r="845" spans="1:52" x14ac:dyDescent="0.2">
      <c r="A845">
        <f t="shared" si="91"/>
        <v>841</v>
      </c>
      <c r="B845">
        <v>2.2412545599205819E-2</v>
      </c>
      <c r="C845">
        <v>4.5353385353191555E-2</v>
      </c>
      <c r="D845">
        <v>4.2819267185556842E-2</v>
      </c>
      <c r="E845">
        <v>9.2363618082435626E-3</v>
      </c>
      <c r="F845">
        <v>3.4094307599037421E-3</v>
      </c>
      <c r="G845">
        <v>1.0541709778445357E-2</v>
      </c>
      <c r="H845">
        <v>4.0652188114870147E-2</v>
      </c>
      <c r="I845">
        <v>0.13642354967392845</v>
      </c>
      <c r="J845">
        <v>0</v>
      </c>
      <c r="K845">
        <v>0.40950478683441627</v>
      </c>
      <c r="L845">
        <v>0.2224836033354548</v>
      </c>
      <c r="M845">
        <v>0.7775163966645452</v>
      </c>
      <c r="N845">
        <v>3.9683646617630207E-2</v>
      </c>
      <c r="O845" s="72">
        <v>0.98129098958061267</v>
      </c>
      <c r="P845">
        <v>0.99808428071181166</v>
      </c>
      <c r="Q845">
        <v>0.90302595005206876</v>
      </c>
      <c r="R845">
        <v>0.47773032698224904</v>
      </c>
      <c r="S845">
        <v>0.48372468047104245</v>
      </c>
      <c r="T845">
        <v>0.30351053488109792</v>
      </c>
      <c r="U845">
        <v>0.75954370825872219</v>
      </c>
      <c r="V845">
        <v>0.64754777652357631</v>
      </c>
      <c r="W845">
        <v>0.66406197704480274</v>
      </c>
      <c r="X845">
        <v>0.50476480211248198</v>
      </c>
      <c r="Y845">
        <v>0.42768991069034668</v>
      </c>
      <c r="Z845">
        <v>0.45609425381373181</v>
      </c>
      <c r="AA845">
        <v>0.66510493592344933</v>
      </c>
      <c r="AB845">
        <v>0.79177457590056055</v>
      </c>
      <c r="AC845">
        <v>0.72236428377665318</v>
      </c>
      <c r="AD845">
        <v>0.61243310502247927</v>
      </c>
      <c r="AE845">
        <v>176.34715243704491</v>
      </c>
      <c r="AF845">
        <v>978.10930315105236</v>
      </c>
      <c r="AG845">
        <v>1601.8784773899436</v>
      </c>
      <c r="AH845">
        <v>14241.648773264777</v>
      </c>
      <c r="AI845">
        <v>12923.0965416742</v>
      </c>
      <c r="AJ845">
        <v>32524.247119554278</v>
      </c>
      <c r="AK845">
        <v>21380.885454702868</v>
      </c>
      <c r="AL845">
        <v>1630.7204493372376</v>
      </c>
      <c r="AM845">
        <v>348.62002603447735</v>
      </c>
      <c r="AO845">
        <v>41229.736699505615</v>
      </c>
      <c r="AP845">
        <v>13.021028017069348</v>
      </c>
      <c r="AQ845">
        <v>46306.875047100919</v>
      </c>
      <c r="AR845">
        <v>13.134665155908738</v>
      </c>
      <c r="AS845" s="2">
        <f t="shared" si="92"/>
        <v>5077.1383475953044</v>
      </c>
      <c r="AT845" s="2">
        <f t="shared" si="93"/>
        <v>0.11363713883939042</v>
      </c>
      <c r="AV845">
        <f t="shared" si="94"/>
        <v>1260873.0650074291</v>
      </c>
      <c r="AW845">
        <f t="shared" si="95"/>
        <v>1267159.6405437728</v>
      </c>
      <c r="AY845">
        <f t="shared" si="96"/>
        <v>0</v>
      </c>
      <c r="AZ845">
        <f t="shared" si="97"/>
        <v>1</v>
      </c>
    </row>
    <row r="846" spans="1:52" x14ac:dyDescent="0.2">
      <c r="A846">
        <f t="shared" si="91"/>
        <v>842</v>
      </c>
      <c r="B846">
        <v>2.4665284460268062E-2</v>
      </c>
      <c r="C846">
        <v>3.7831343627752312E-2</v>
      </c>
      <c r="D846">
        <v>3.1330912601188608E-2</v>
      </c>
      <c r="E846">
        <v>8.1508525318594698E-3</v>
      </c>
      <c r="F846">
        <v>3.3110129436140622E-3</v>
      </c>
      <c r="G846">
        <v>1.7906488551383548E-2</v>
      </c>
      <c r="H846">
        <v>1.2319791318524828E-2</v>
      </c>
      <c r="I846">
        <v>0.13051782888512997</v>
      </c>
      <c r="J846">
        <v>0</v>
      </c>
      <c r="K846">
        <v>0.43031083176969387</v>
      </c>
      <c r="L846">
        <v>0.26615848581412138</v>
      </c>
      <c r="M846">
        <v>0.73384151418587862</v>
      </c>
      <c r="N846">
        <v>5.0907793023022029E-2</v>
      </c>
      <c r="O846" s="72">
        <v>0.99509550493131238</v>
      </c>
      <c r="P846">
        <v>0.99932439433574882</v>
      </c>
      <c r="Q846">
        <v>0.95410319290341428</v>
      </c>
      <c r="R846">
        <v>0.53271515454042229</v>
      </c>
      <c r="S846">
        <v>0.377579738871615</v>
      </c>
      <c r="T846">
        <v>0.29081229377857809</v>
      </c>
      <c r="U846">
        <v>0.752544960356476</v>
      </c>
      <c r="V846">
        <v>0.58379504994898512</v>
      </c>
      <c r="W846">
        <v>0.51628353173843855</v>
      </c>
      <c r="X846">
        <v>0.51596513361752061</v>
      </c>
      <c r="Y846">
        <v>0.44634667705793279</v>
      </c>
      <c r="Z846">
        <v>0.5121172161539943</v>
      </c>
      <c r="AA846">
        <v>0.69613358400009351</v>
      </c>
      <c r="AB846">
        <v>0.8360347573667406</v>
      </c>
      <c r="AC846">
        <v>0.60407298354454786</v>
      </c>
      <c r="AD846">
        <v>0.54516746415730566</v>
      </c>
      <c r="AE846">
        <v>169.00286594590773</v>
      </c>
      <c r="AF846">
        <v>987.72525640839365</v>
      </c>
      <c r="AG846">
        <v>1740.6223878801704</v>
      </c>
      <c r="AH846">
        <v>11199.987861514732</v>
      </c>
      <c r="AI846">
        <v>11207.618180849324</v>
      </c>
      <c r="AJ846">
        <v>49823.032540521999</v>
      </c>
      <c r="AK846">
        <v>8462.2718817407713</v>
      </c>
      <c r="AL846">
        <v>1752.2146061794397</v>
      </c>
      <c r="AM846">
        <v>444.09670662860594</v>
      </c>
      <c r="AO846">
        <v>41163.901114610708</v>
      </c>
      <c r="AP846">
        <v>13.269564558857695</v>
      </c>
      <c r="AQ846">
        <v>47443.98761695237</v>
      </c>
      <c r="AR846">
        <v>13.44418090676338</v>
      </c>
      <c r="AS846" s="2">
        <f t="shared" si="92"/>
        <v>6280.0865023416627</v>
      </c>
      <c r="AT846" s="2">
        <f t="shared" si="93"/>
        <v>0.17461634790568503</v>
      </c>
      <c r="AV846">
        <f t="shared" si="94"/>
        <v>1285792.5547711588</v>
      </c>
      <c r="AW846">
        <f t="shared" si="95"/>
        <v>1296974.1030593857</v>
      </c>
      <c r="AY846">
        <f t="shared" si="96"/>
        <v>0</v>
      </c>
      <c r="AZ846">
        <f t="shared" si="97"/>
        <v>1</v>
      </c>
    </row>
    <row r="847" spans="1:52" x14ac:dyDescent="0.2">
      <c r="A847">
        <f t="shared" si="91"/>
        <v>843</v>
      </c>
      <c r="B847">
        <v>2.0599001893710778E-2</v>
      </c>
      <c r="C847">
        <v>3.7931508680497772E-2</v>
      </c>
      <c r="D847">
        <v>3.579532362923725E-2</v>
      </c>
      <c r="E847">
        <v>2.9145188527366028E-2</v>
      </c>
      <c r="F847">
        <v>3.3732585154362393E-3</v>
      </c>
      <c r="G847">
        <v>1.9736880003630386E-2</v>
      </c>
      <c r="H847">
        <v>2.5521110756265574E-2</v>
      </c>
      <c r="I847">
        <v>0.13156159893419372</v>
      </c>
      <c r="J847">
        <v>0</v>
      </c>
      <c r="K847">
        <v>0.3771479415147676</v>
      </c>
      <c r="L847">
        <v>0.21165839197801961</v>
      </c>
      <c r="M847">
        <v>0.78834160802198039</v>
      </c>
      <c r="N847">
        <v>4.3664811728565317E-2</v>
      </c>
      <c r="O847" s="72">
        <v>0.98282741660135498</v>
      </c>
      <c r="P847">
        <v>0.9996872100790859</v>
      </c>
      <c r="Q847">
        <v>0.96578286728643381</v>
      </c>
      <c r="R847">
        <v>0.45240118162895249</v>
      </c>
      <c r="S847">
        <v>0.42418630069922081</v>
      </c>
      <c r="T847">
        <v>0.15645053284421473</v>
      </c>
      <c r="U847">
        <v>0.76710649037987932</v>
      </c>
      <c r="V847">
        <v>0.69254855510367053</v>
      </c>
      <c r="W847">
        <v>0.53224400423475438</v>
      </c>
      <c r="X847">
        <v>0.52355821506966649</v>
      </c>
      <c r="Y847">
        <v>0.44931571032472073</v>
      </c>
      <c r="Z847">
        <v>0.43247789609547288</v>
      </c>
      <c r="AA847">
        <v>0.62871311361928195</v>
      </c>
      <c r="AB847">
        <v>0.75182331151300941</v>
      </c>
      <c r="AC847">
        <v>0.73169298519817749</v>
      </c>
      <c r="AD847">
        <v>0.52738700612652123</v>
      </c>
      <c r="AE847">
        <v>243.7260311969579</v>
      </c>
      <c r="AF847">
        <v>998.27749547406563</v>
      </c>
      <c r="AG847">
        <v>1594.3284245694276</v>
      </c>
      <c r="AH847">
        <v>12204.583877170418</v>
      </c>
      <c r="AI847">
        <v>12184.003871668672</v>
      </c>
      <c r="AJ847">
        <v>34973.908684821814</v>
      </c>
      <c r="AK847">
        <v>13047.180928322257</v>
      </c>
      <c r="AL847">
        <v>2239.4872555296752</v>
      </c>
      <c r="AM847">
        <v>350.42192964522042</v>
      </c>
      <c r="AO847">
        <v>45831.734141534667</v>
      </c>
      <c r="AP847">
        <v>12.350254236214761</v>
      </c>
      <c r="AQ847">
        <v>46047.179030900908</v>
      </c>
      <c r="AR847">
        <v>12.482708038262608</v>
      </c>
      <c r="AS847" s="2">
        <f t="shared" si="92"/>
        <v>215.44488936624111</v>
      </c>
      <c r="AT847" s="2">
        <f t="shared" si="93"/>
        <v>0.13245380204784674</v>
      </c>
      <c r="AV847">
        <f t="shared" si="94"/>
        <v>1189193.6894799415</v>
      </c>
      <c r="AW847">
        <f t="shared" si="95"/>
        <v>1202223.62479536</v>
      </c>
      <c r="AY847">
        <f t="shared" si="96"/>
        <v>0</v>
      </c>
      <c r="AZ847">
        <f t="shared" si="97"/>
        <v>1</v>
      </c>
    </row>
    <row r="848" spans="1:52" x14ac:dyDescent="0.2">
      <c r="A848">
        <f t="shared" si="91"/>
        <v>844</v>
      </c>
      <c r="B848">
        <v>2.6614599216705281E-2</v>
      </c>
      <c r="C848">
        <v>2.9424832068506396E-2</v>
      </c>
      <c r="D848">
        <v>2.8954286820435923E-2</v>
      </c>
      <c r="E848">
        <v>5.3838065992397773E-3</v>
      </c>
      <c r="F848">
        <v>3.3576626735677406E-3</v>
      </c>
      <c r="G848">
        <v>2.1044398359970407E-2</v>
      </c>
      <c r="H848">
        <v>2.7843626685488107E-2</v>
      </c>
      <c r="I848">
        <v>0.10475831938875635</v>
      </c>
      <c r="J848">
        <v>0</v>
      </c>
      <c r="K848">
        <v>0.45323656301824844</v>
      </c>
      <c r="L848">
        <v>0.26417613130095463</v>
      </c>
      <c r="M848">
        <v>0.73582386869904537</v>
      </c>
      <c r="N848">
        <v>4.5464869278274964E-2</v>
      </c>
      <c r="O848" s="72">
        <v>0.99925988691980216</v>
      </c>
      <c r="P848">
        <v>0.99989068679807691</v>
      </c>
      <c r="Q848">
        <v>0.97609451504725719</v>
      </c>
      <c r="R848">
        <v>0.47083970250321139</v>
      </c>
      <c r="S848">
        <v>0.4153442519105548</v>
      </c>
      <c r="T848">
        <v>0.16034875219845213</v>
      </c>
      <c r="U848">
        <v>0.79175392835664837</v>
      </c>
      <c r="V848">
        <v>0.68787651057596211</v>
      </c>
      <c r="W848">
        <v>0.43764520530318723</v>
      </c>
      <c r="X848">
        <v>0.41183350882005532</v>
      </c>
      <c r="Y848">
        <v>0.41280497926389398</v>
      </c>
      <c r="Z848">
        <v>0.46250692538825078</v>
      </c>
      <c r="AA848">
        <v>0.69997213059711783</v>
      </c>
      <c r="AB848">
        <v>0.80646235855841886</v>
      </c>
      <c r="AC848">
        <v>0.67952804151835489</v>
      </c>
      <c r="AD848">
        <v>0.68660687407066989</v>
      </c>
      <c r="AE848">
        <v>181.28606952048969</v>
      </c>
      <c r="AF848">
        <v>1088.0590481579131</v>
      </c>
      <c r="AG848">
        <v>1610.7296721034679</v>
      </c>
      <c r="AH848">
        <v>12991.849682933447</v>
      </c>
      <c r="AI848">
        <v>14278.99624961307</v>
      </c>
      <c r="AJ848">
        <v>40292.196335494482</v>
      </c>
      <c r="AK848">
        <v>16597.22012098342</v>
      </c>
      <c r="AL848">
        <v>1326.2195893796707</v>
      </c>
      <c r="AM848">
        <v>337.88745735909316</v>
      </c>
      <c r="AO848">
        <v>45168.355420890104</v>
      </c>
      <c r="AP848">
        <v>13.144190569840202</v>
      </c>
      <c r="AQ848">
        <v>45751.366645129339</v>
      </c>
      <c r="AR848">
        <v>13.363575893192476</v>
      </c>
      <c r="AS848" s="2">
        <f t="shared" si="92"/>
        <v>583.01122423923516</v>
      </c>
      <c r="AT848" s="2">
        <f t="shared" si="93"/>
        <v>0.21938532335227379</v>
      </c>
      <c r="AV848">
        <f t="shared" si="94"/>
        <v>1269250.7015631301</v>
      </c>
      <c r="AW848">
        <f t="shared" si="95"/>
        <v>1290606.2226741181</v>
      </c>
      <c r="AY848">
        <f t="shared" si="96"/>
        <v>0</v>
      </c>
      <c r="AZ848">
        <f t="shared" si="97"/>
        <v>1</v>
      </c>
    </row>
    <row r="849" spans="1:52" x14ac:dyDescent="0.2">
      <c r="A849">
        <f t="shared" si="91"/>
        <v>845</v>
      </c>
      <c r="B849">
        <v>2.2767958940077757E-2</v>
      </c>
      <c r="C849">
        <v>3.6271487747905902E-2</v>
      </c>
      <c r="D849">
        <v>3.2304284086352317E-2</v>
      </c>
      <c r="E849">
        <v>1.8544566848969657E-2</v>
      </c>
      <c r="F849">
        <v>3.3787036493830858E-3</v>
      </c>
      <c r="G849">
        <v>1.1977799478892104E-2</v>
      </c>
      <c r="H849">
        <v>2.9441210951276053E-2</v>
      </c>
      <c r="I849">
        <v>0.137257135028795</v>
      </c>
      <c r="J849">
        <v>0</v>
      </c>
      <c r="K849">
        <v>0.46987536393373264</v>
      </c>
      <c r="L849">
        <v>0.19022918908271955</v>
      </c>
      <c r="M849">
        <v>0.80977081091728043</v>
      </c>
      <c r="N849">
        <v>4.7445857664509428E-2</v>
      </c>
      <c r="O849" s="72">
        <v>0.99408337822414217</v>
      </c>
      <c r="P849">
        <v>0.99804168622520528</v>
      </c>
      <c r="Q849">
        <v>0.94280346864522868</v>
      </c>
      <c r="R849">
        <v>0.42256698479818633</v>
      </c>
      <c r="S849">
        <v>0.35822088114726824</v>
      </c>
      <c r="T849">
        <v>0.25405079833435118</v>
      </c>
      <c r="U849">
        <v>0.754835160183986</v>
      </c>
      <c r="V849">
        <v>0.66239292831548502</v>
      </c>
      <c r="W849">
        <v>0.46333891686994516</v>
      </c>
      <c r="X849">
        <v>0.46489850576824709</v>
      </c>
      <c r="Y849">
        <v>0.41845470097541593</v>
      </c>
      <c r="Z849">
        <v>0.42310321141426283</v>
      </c>
      <c r="AA849">
        <v>0.70181314405472506</v>
      </c>
      <c r="AB849">
        <v>0.83009930532553478</v>
      </c>
      <c r="AC849">
        <v>0.74437030408242966</v>
      </c>
      <c r="AD849">
        <v>0.56865606066948615</v>
      </c>
      <c r="AE849">
        <v>231.43152960161092</v>
      </c>
      <c r="AF849">
        <v>865.40061703392917</v>
      </c>
      <c r="AG849">
        <v>2033.8658891833979</v>
      </c>
      <c r="AH849">
        <v>10369.634091636484</v>
      </c>
      <c r="AI849">
        <v>12306.471398837093</v>
      </c>
      <c r="AJ849">
        <v>36157.22153337358</v>
      </c>
      <c r="AK849">
        <v>13055.208811649531</v>
      </c>
      <c r="AL849">
        <v>1508.1544619439346</v>
      </c>
      <c r="AM849">
        <v>425.64187691057379</v>
      </c>
      <c r="AO849">
        <v>47426.040683478481</v>
      </c>
      <c r="AP849">
        <v>13.412024213847483</v>
      </c>
      <c r="AQ849">
        <v>47286.197769098704</v>
      </c>
      <c r="AR849">
        <v>13.645690809300003</v>
      </c>
      <c r="AS849" s="2">
        <f t="shared" si="92"/>
        <v>-139.84291437977663</v>
      </c>
      <c r="AT849" s="2">
        <f t="shared" si="93"/>
        <v>0.23366659545252055</v>
      </c>
      <c r="AV849">
        <f t="shared" si="94"/>
        <v>1293776.3807012697</v>
      </c>
      <c r="AW849">
        <f t="shared" si="95"/>
        <v>1317282.8831609017</v>
      </c>
      <c r="AY849">
        <f t="shared" si="96"/>
        <v>0</v>
      </c>
      <c r="AZ849">
        <f t="shared" si="97"/>
        <v>1</v>
      </c>
    </row>
    <row r="850" spans="1:52" x14ac:dyDescent="0.2">
      <c r="A850">
        <f t="shared" si="91"/>
        <v>846</v>
      </c>
      <c r="B850">
        <v>2.1460617604946858E-2</v>
      </c>
      <c r="C850">
        <v>4.1242119899130847E-2</v>
      </c>
      <c r="D850">
        <v>3.2235118984724184E-2</v>
      </c>
      <c r="E850">
        <v>7.8136250890279025E-3</v>
      </c>
      <c r="F850">
        <v>3.2905869187197807E-3</v>
      </c>
      <c r="G850">
        <v>1.0899454027899115E-2</v>
      </c>
      <c r="H850">
        <v>5.172275641462909E-2</v>
      </c>
      <c r="I850">
        <v>0.13722678767660423</v>
      </c>
      <c r="J850">
        <v>0</v>
      </c>
      <c r="K850">
        <v>0.45379102283094719</v>
      </c>
      <c r="L850">
        <v>0.24076304932558212</v>
      </c>
      <c r="M850">
        <v>0.75923695067441788</v>
      </c>
      <c r="N850">
        <v>5.9667087243534755E-2</v>
      </c>
      <c r="O850" s="72">
        <v>0.99972595196716851</v>
      </c>
      <c r="P850">
        <v>0.99985867195969846</v>
      </c>
      <c r="Q850">
        <v>0.99383475760175333</v>
      </c>
      <c r="R850">
        <v>0.51932881798959019</v>
      </c>
      <c r="S850">
        <v>0.382468317243149</v>
      </c>
      <c r="T850">
        <v>0.26602321919125016</v>
      </c>
      <c r="U850">
        <v>0.78554956012558086</v>
      </c>
      <c r="V850">
        <v>0.70143264464577737</v>
      </c>
      <c r="W850">
        <v>0.54862982764178991</v>
      </c>
      <c r="X850">
        <v>0.44298328631117245</v>
      </c>
      <c r="Y850">
        <v>0.44460308594612008</v>
      </c>
      <c r="Z850">
        <v>0.46584784673045376</v>
      </c>
      <c r="AA850">
        <v>0.67788363271189489</v>
      </c>
      <c r="AB850">
        <v>0.85032769930964347</v>
      </c>
      <c r="AC850">
        <v>0.7654952357535707</v>
      </c>
      <c r="AD850">
        <v>0.61610807119617517</v>
      </c>
      <c r="AE850">
        <v>198.83072653238665</v>
      </c>
      <c r="AF850">
        <v>1095.5429212014258</v>
      </c>
      <c r="AG850">
        <v>1888.8055589361225</v>
      </c>
      <c r="AH850">
        <v>14232.930397491496</v>
      </c>
      <c r="AI850">
        <v>14041.918132156032</v>
      </c>
      <c r="AJ850">
        <v>42142.298323701201</v>
      </c>
      <c r="AK850">
        <v>9316.3628303287751</v>
      </c>
      <c r="AL850">
        <v>2199.2690616519544</v>
      </c>
      <c r="AM850">
        <v>409.67711444038059</v>
      </c>
      <c r="AO850">
        <v>41791.579203200956</v>
      </c>
      <c r="AP850">
        <v>13.868775041590437</v>
      </c>
      <c r="AQ850">
        <v>46832.273983046121</v>
      </c>
      <c r="AR850">
        <v>14.032138270439567</v>
      </c>
      <c r="AS850" s="2">
        <f t="shared" si="92"/>
        <v>5040.6947798451656</v>
      </c>
      <c r="AT850" s="2">
        <f t="shared" si="93"/>
        <v>0.16336322884913024</v>
      </c>
      <c r="AV850">
        <f t="shared" si="94"/>
        <v>1345085.9249558428</v>
      </c>
      <c r="AW850">
        <f t="shared" si="95"/>
        <v>1356381.5530609107</v>
      </c>
      <c r="AY850">
        <f t="shared" si="96"/>
        <v>0</v>
      </c>
      <c r="AZ850">
        <f t="shared" si="97"/>
        <v>1</v>
      </c>
    </row>
    <row r="851" spans="1:52" x14ac:dyDescent="0.2">
      <c r="A851">
        <f t="shared" si="91"/>
        <v>847</v>
      </c>
      <c r="B851">
        <v>2.7081382008205535E-2</v>
      </c>
      <c r="C851">
        <v>3.3432395969702725E-2</v>
      </c>
      <c r="D851">
        <v>3.2611850609154842E-2</v>
      </c>
      <c r="E851">
        <v>1.6382870454790033E-2</v>
      </c>
      <c r="F851">
        <v>3.3845793860342033E-3</v>
      </c>
      <c r="G851">
        <v>2.0180634865486269E-2</v>
      </c>
      <c r="H851">
        <v>1.3788515619142896E-2</v>
      </c>
      <c r="I851">
        <v>0.12432136626715845</v>
      </c>
      <c r="J851">
        <v>0</v>
      </c>
      <c r="K851">
        <v>0.46914540605004706</v>
      </c>
      <c r="L851">
        <v>0.21272910519895039</v>
      </c>
      <c r="M851">
        <v>0.78727089480104961</v>
      </c>
      <c r="N851">
        <v>4.7866277468722754E-2</v>
      </c>
      <c r="O851" s="72">
        <v>0.97799792464970925</v>
      </c>
      <c r="P851">
        <v>0.99817514295199683</v>
      </c>
      <c r="Q851">
        <v>0.97495449349815133</v>
      </c>
      <c r="R851">
        <v>0.51481884151601764</v>
      </c>
      <c r="S851">
        <v>0.35816755974119419</v>
      </c>
      <c r="T851">
        <v>0.13625019590845977</v>
      </c>
      <c r="U851">
        <v>0.78566458354598379</v>
      </c>
      <c r="V851">
        <v>0.724325989814953</v>
      </c>
      <c r="W851">
        <v>0.53819710334549953</v>
      </c>
      <c r="X851">
        <v>0.42805170699970513</v>
      </c>
      <c r="Y851">
        <v>0.41607719875984273</v>
      </c>
      <c r="Z851">
        <v>0.48096117250976089</v>
      </c>
      <c r="AA851">
        <v>0.70160042974936854</v>
      </c>
      <c r="AB851">
        <v>0.84676334561500499</v>
      </c>
      <c r="AC851">
        <v>0.75377574932154179</v>
      </c>
      <c r="AD851">
        <v>0.68273650021713306</v>
      </c>
      <c r="AE851">
        <v>231.00277789358435</v>
      </c>
      <c r="AF851">
        <v>1063.756923906481</v>
      </c>
      <c r="AG851">
        <v>1304.8952655615726</v>
      </c>
      <c r="AH851">
        <v>12476.835320056976</v>
      </c>
      <c r="AI851">
        <v>8559.9866378089773</v>
      </c>
      <c r="AJ851">
        <v>42047.819937487955</v>
      </c>
      <c r="AK851">
        <v>17325.248920167269</v>
      </c>
      <c r="AL851">
        <v>1794.9021771550276</v>
      </c>
      <c r="AM851">
        <v>294.50843134538491</v>
      </c>
      <c r="AO851">
        <v>43503.752869847747</v>
      </c>
      <c r="AP851">
        <v>13.77230667626746</v>
      </c>
      <c r="AQ851">
        <v>45190.395737887076</v>
      </c>
      <c r="AR851">
        <v>14.049689130916869</v>
      </c>
      <c r="AS851" s="2">
        <f t="shared" si="92"/>
        <v>1686.6428680393292</v>
      </c>
      <c r="AT851" s="2">
        <f t="shared" si="93"/>
        <v>0.27738245464940903</v>
      </c>
      <c r="AV851">
        <f t="shared" si="94"/>
        <v>1333726.9147568983</v>
      </c>
      <c r="AW851">
        <f t="shared" si="95"/>
        <v>1359778.5173537999</v>
      </c>
      <c r="AY851">
        <f t="shared" si="96"/>
        <v>0</v>
      </c>
      <c r="AZ851">
        <f t="shared" si="97"/>
        <v>1</v>
      </c>
    </row>
    <row r="852" spans="1:52" x14ac:dyDescent="0.2">
      <c r="A852">
        <f t="shared" si="91"/>
        <v>848</v>
      </c>
      <c r="B852">
        <v>2.4064127293266728E-2</v>
      </c>
      <c r="C852">
        <v>3.2798357414645138E-2</v>
      </c>
      <c r="D852">
        <v>3.8762886759073023E-2</v>
      </c>
      <c r="E852">
        <v>9.6589157090972138E-3</v>
      </c>
      <c r="F852">
        <v>3.3213737590087277E-3</v>
      </c>
      <c r="G852">
        <v>6.3779430749911154E-3</v>
      </c>
      <c r="H852">
        <v>3.2509089777981059E-2</v>
      </c>
      <c r="I852">
        <v>0.11753649735178043</v>
      </c>
      <c r="J852">
        <v>0</v>
      </c>
      <c r="K852">
        <v>0.4350747632088654</v>
      </c>
      <c r="L852">
        <v>0.20471855681740134</v>
      </c>
      <c r="M852">
        <v>0.79528144318259864</v>
      </c>
      <c r="N852">
        <v>4.2897698222747492E-2</v>
      </c>
      <c r="O852" s="72">
        <v>0.9949262609984183</v>
      </c>
      <c r="P852">
        <v>0.9959302081847623</v>
      </c>
      <c r="Q852">
        <v>0.99546605205081007</v>
      </c>
      <c r="R852">
        <v>0.55069201583368144</v>
      </c>
      <c r="S852">
        <v>0.3035367291506017</v>
      </c>
      <c r="T852">
        <v>0.32336590631716622</v>
      </c>
      <c r="U852">
        <v>0.75725274524583974</v>
      </c>
      <c r="V852">
        <v>0.70498454034186642</v>
      </c>
      <c r="W852">
        <v>0.47533464159480732</v>
      </c>
      <c r="X852">
        <v>0.45312094724172014</v>
      </c>
      <c r="Y852">
        <v>0.41372289673597573</v>
      </c>
      <c r="Z852">
        <v>0.41354781424083015</v>
      </c>
      <c r="AA852">
        <v>0.65269745027234261</v>
      </c>
      <c r="AB852">
        <v>0.79121321102183473</v>
      </c>
      <c r="AC852">
        <v>0.72615601348742209</v>
      </c>
      <c r="AD852">
        <v>0.56673361816475565</v>
      </c>
      <c r="AE852">
        <v>220.49906223252421</v>
      </c>
      <c r="AF852">
        <v>1059.3477012495939</v>
      </c>
      <c r="AG852">
        <v>2411.4898036320956</v>
      </c>
      <c r="AH852">
        <v>10588.800910880096</v>
      </c>
      <c r="AI852">
        <v>10192.366653280842</v>
      </c>
      <c r="AJ852">
        <v>37193.099183900616</v>
      </c>
      <c r="AK852">
        <v>12897.095650098692</v>
      </c>
      <c r="AL852">
        <v>2363.6399281186432</v>
      </c>
      <c r="AM852">
        <v>299.36402099428312</v>
      </c>
      <c r="AO852">
        <v>39211.086658425753</v>
      </c>
      <c r="AP852">
        <v>12.950853980930216</v>
      </c>
      <c r="AQ852">
        <v>45254.892651302376</v>
      </c>
      <c r="AR852">
        <v>13.07417530418169</v>
      </c>
      <c r="AS852" s="2">
        <f t="shared" si="92"/>
        <v>6043.8059928766233</v>
      </c>
      <c r="AT852" s="2">
        <f t="shared" si="93"/>
        <v>0.12332132325147427</v>
      </c>
      <c r="AV852">
        <f t="shared" si="94"/>
        <v>1255874.3114345956</v>
      </c>
      <c r="AW852">
        <f t="shared" si="95"/>
        <v>1262162.6377668667</v>
      </c>
      <c r="AY852">
        <f t="shared" si="96"/>
        <v>0</v>
      </c>
      <c r="AZ852">
        <f t="shared" si="97"/>
        <v>1</v>
      </c>
    </row>
    <row r="853" spans="1:52" x14ac:dyDescent="0.2">
      <c r="A853">
        <f t="shared" si="91"/>
        <v>849</v>
      </c>
      <c r="B853">
        <v>3.3071653681636004E-2</v>
      </c>
      <c r="C853">
        <v>4.4758950363617656E-2</v>
      </c>
      <c r="D853">
        <v>3.9379655986728102E-2</v>
      </c>
      <c r="E853">
        <v>6.5947898058095668E-3</v>
      </c>
      <c r="F853">
        <v>3.2069747521057514E-3</v>
      </c>
      <c r="G853">
        <v>1.9647274495072198E-2</v>
      </c>
      <c r="H853">
        <v>2.9625045234663472E-2</v>
      </c>
      <c r="I853">
        <v>0.12765890010390699</v>
      </c>
      <c r="J853">
        <v>0</v>
      </c>
      <c r="K853">
        <v>0.41327532408101941</v>
      </c>
      <c r="L853">
        <v>0.17742929189572765</v>
      </c>
      <c r="M853">
        <v>0.82257070810427235</v>
      </c>
      <c r="N853">
        <v>3.6530311221434325E-2</v>
      </c>
      <c r="O853" s="72">
        <v>0.99903148073537451</v>
      </c>
      <c r="P853">
        <v>0.99990668597482435</v>
      </c>
      <c r="Q853">
        <v>0.97883373884622626</v>
      </c>
      <c r="R853">
        <v>0.43859563190732631</v>
      </c>
      <c r="S853">
        <v>0.44058052941697579</v>
      </c>
      <c r="T853">
        <v>0.191029947073869</v>
      </c>
      <c r="U853">
        <v>0.77517652980019136</v>
      </c>
      <c r="V853">
        <v>0.6533504095505891</v>
      </c>
      <c r="W853">
        <v>0.59651898785025748</v>
      </c>
      <c r="X853">
        <v>0.44008696078581966</v>
      </c>
      <c r="Y853">
        <v>0.47374581541404204</v>
      </c>
      <c r="Z853">
        <v>0.43109707631766697</v>
      </c>
      <c r="AA853">
        <v>0.64387206002536357</v>
      </c>
      <c r="AB853">
        <v>0.76209089882923564</v>
      </c>
      <c r="AC853">
        <v>0.68550023109007308</v>
      </c>
      <c r="AD853">
        <v>0.50714157488691003</v>
      </c>
      <c r="AE853">
        <v>155.61508830132624</v>
      </c>
      <c r="AF853">
        <v>1162.8324105178058</v>
      </c>
      <c r="AG853">
        <v>1478.8818009028264</v>
      </c>
      <c r="AH853">
        <v>11187.93016383035</v>
      </c>
      <c r="AI853">
        <v>20869.534503774048</v>
      </c>
      <c r="AJ853">
        <v>35793.608056777222</v>
      </c>
      <c r="AK853">
        <v>16272.064761664313</v>
      </c>
      <c r="AL853">
        <v>2062.0402496855272</v>
      </c>
      <c r="AM853">
        <v>398.27858448236213</v>
      </c>
      <c r="AO853">
        <v>46473.431382733674</v>
      </c>
      <c r="AP853">
        <v>12.419037848051682</v>
      </c>
      <c r="AQ853">
        <v>46594.587629908441</v>
      </c>
      <c r="AR853">
        <v>12.514682087591934</v>
      </c>
      <c r="AS853" s="2">
        <f t="shared" si="92"/>
        <v>121.15624717476749</v>
      </c>
      <c r="AT853" s="2">
        <f t="shared" si="93"/>
        <v>9.5644239540252585E-2</v>
      </c>
      <c r="AV853">
        <f t="shared" si="94"/>
        <v>1195430.3534224345</v>
      </c>
      <c r="AW853">
        <f t="shared" si="95"/>
        <v>1204873.6211292848</v>
      </c>
      <c r="AY853">
        <f t="shared" si="96"/>
        <v>0</v>
      </c>
      <c r="AZ853">
        <f t="shared" si="97"/>
        <v>1</v>
      </c>
    </row>
    <row r="854" spans="1:52" x14ac:dyDescent="0.2">
      <c r="A854">
        <f t="shared" si="91"/>
        <v>850</v>
      </c>
      <c r="B854">
        <v>2.3587250244989394E-2</v>
      </c>
      <c r="C854">
        <v>3.1524336045224546E-2</v>
      </c>
      <c r="D854">
        <v>3.7059898704707009E-2</v>
      </c>
      <c r="E854">
        <v>8.1818060676057437E-3</v>
      </c>
      <c r="F854">
        <v>3.2177439198582021E-3</v>
      </c>
      <c r="G854">
        <v>2.8588958669245157E-2</v>
      </c>
      <c r="H854">
        <v>3.8172844544012707E-2</v>
      </c>
      <c r="I854">
        <v>0.12594116516620588</v>
      </c>
      <c r="J854">
        <v>0</v>
      </c>
      <c r="K854">
        <v>0.44344794848605351</v>
      </c>
      <c r="L854">
        <v>0.20125595388773571</v>
      </c>
      <c r="M854">
        <v>0.79874404611226435</v>
      </c>
      <c r="N854">
        <v>4.9338907374051E-2</v>
      </c>
      <c r="O854" s="72">
        <v>0.99817670250714696</v>
      </c>
      <c r="P854">
        <v>0.99999946727125932</v>
      </c>
      <c r="Q854">
        <v>0.98338990032334883</v>
      </c>
      <c r="R854">
        <v>0.4993040660174668</v>
      </c>
      <c r="S854">
        <v>0.41642098264861827</v>
      </c>
      <c r="T854">
        <v>0.22959097223748504</v>
      </c>
      <c r="U854">
        <v>0.75541590532376734</v>
      </c>
      <c r="V854">
        <v>0.61899020509934866</v>
      </c>
      <c r="W854">
        <v>0.64846787966039421</v>
      </c>
      <c r="X854">
        <v>0.43131062688058303</v>
      </c>
      <c r="Y854">
        <v>0.40490366273899048</v>
      </c>
      <c r="Z854">
        <v>0.47455614392451528</v>
      </c>
      <c r="AA854">
        <v>0.72273153553937797</v>
      </c>
      <c r="AB854">
        <v>0.84431167639533788</v>
      </c>
      <c r="AC854">
        <v>0.74033161876054865</v>
      </c>
      <c r="AD854">
        <v>0.54364983143410484</v>
      </c>
      <c r="AE854">
        <v>239.68624147342402</v>
      </c>
      <c r="AF854">
        <v>1063.4163841250001</v>
      </c>
      <c r="AG854">
        <v>1673.9339325848989</v>
      </c>
      <c r="AH854">
        <v>12218.012219681283</v>
      </c>
      <c r="AI854">
        <v>13876.847027675338</v>
      </c>
      <c r="AJ854">
        <v>41950.815557616756</v>
      </c>
      <c r="AK854">
        <v>8182.9240842641166</v>
      </c>
      <c r="AL854">
        <v>1740.5259146063645</v>
      </c>
      <c r="AM854">
        <v>436.57286964096312</v>
      </c>
      <c r="AO854">
        <v>43264.531642138449</v>
      </c>
      <c r="AP854">
        <v>13.635464956127027</v>
      </c>
      <c r="AQ854">
        <v>47261.786952302158</v>
      </c>
      <c r="AR854">
        <v>13.804089140067424</v>
      </c>
      <c r="AS854" s="2">
        <f t="shared" si="92"/>
        <v>3997.2553101637095</v>
      </c>
      <c r="AT854" s="2">
        <f t="shared" si="93"/>
        <v>0.16862418394039658</v>
      </c>
      <c r="AV854">
        <f t="shared" si="94"/>
        <v>1320281.9639705643</v>
      </c>
      <c r="AW854">
        <f t="shared" si="95"/>
        <v>1333147.1270544403</v>
      </c>
      <c r="AY854">
        <f t="shared" si="96"/>
        <v>0</v>
      </c>
      <c r="AZ854">
        <f t="shared" si="97"/>
        <v>1</v>
      </c>
    </row>
    <row r="855" spans="1:52" x14ac:dyDescent="0.2">
      <c r="A855">
        <f t="shared" si="91"/>
        <v>851</v>
      </c>
      <c r="B855">
        <v>2.4398287732123339E-2</v>
      </c>
      <c r="C855">
        <v>3.4381861798586988E-2</v>
      </c>
      <c r="D855">
        <v>4.9130080160300293E-2</v>
      </c>
      <c r="E855">
        <v>1.2570767210535405E-2</v>
      </c>
      <c r="F855">
        <v>3.1748712037811188E-3</v>
      </c>
      <c r="G855">
        <v>1.6400528572313999E-2</v>
      </c>
      <c r="H855">
        <v>2.4767303854921815E-2</v>
      </c>
      <c r="I855">
        <v>0.13729606059688915</v>
      </c>
      <c r="J855">
        <v>0</v>
      </c>
      <c r="K855">
        <v>0.43467696679694723</v>
      </c>
      <c r="L855">
        <v>0.23069226446833568</v>
      </c>
      <c r="M855">
        <v>0.76930773553166432</v>
      </c>
      <c r="N855">
        <v>7.1436727404801781E-2</v>
      </c>
      <c r="O855" s="72">
        <v>0.9299064832747409</v>
      </c>
      <c r="P855">
        <v>0.99957091594037872</v>
      </c>
      <c r="Q855">
        <v>0.97998983443080923</v>
      </c>
      <c r="R855">
        <v>0.49700917514633991</v>
      </c>
      <c r="S855">
        <v>0.40209109889194594</v>
      </c>
      <c r="T855">
        <v>0.29502261578143774</v>
      </c>
      <c r="U855">
        <v>0.74782147220607087</v>
      </c>
      <c r="V855">
        <v>0.65837892591792835</v>
      </c>
      <c r="W855">
        <v>0.54873442626398439</v>
      </c>
      <c r="X855">
        <v>0.45839333066880295</v>
      </c>
      <c r="Y855">
        <v>0.4990414124900221</v>
      </c>
      <c r="Z855">
        <v>0.47297933327228614</v>
      </c>
      <c r="AA855">
        <v>0.65276167629585846</v>
      </c>
      <c r="AB855">
        <v>0.79748565319899578</v>
      </c>
      <c r="AC855">
        <v>0.6630480295690484</v>
      </c>
      <c r="AD855">
        <v>0.53792930864933508</v>
      </c>
      <c r="AE855">
        <v>236.7115316123587</v>
      </c>
      <c r="AF855">
        <v>1030.9636206732546</v>
      </c>
      <c r="AG855">
        <v>1575.9925764650575</v>
      </c>
      <c r="AH855">
        <v>12965.715154492778</v>
      </c>
      <c r="AI855">
        <v>14324.916764141954</v>
      </c>
      <c r="AJ855">
        <v>43999.214185565579</v>
      </c>
      <c r="AK855">
        <v>13903.120405901613</v>
      </c>
      <c r="AL855">
        <v>1670.5779365863009</v>
      </c>
      <c r="AM855">
        <v>340.44485684089608</v>
      </c>
      <c r="AO855">
        <v>41048.801238176937</v>
      </c>
      <c r="AP855">
        <v>12.853227435426254</v>
      </c>
      <c r="AQ855">
        <v>46074.331789592259</v>
      </c>
      <c r="AR855">
        <v>13.005658922814252</v>
      </c>
      <c r="AS855" s="2">
        <f t="shared" si="92"/>
        <v>5025.5305514153224</v>
      </c>
      <c r="AT855" s="2">
        <f t="shared" si="93"/>
        <v>0.15243148738799839</v>
      </c>
      <c r="AV855">
        <f t="shared" si="94"/>
        <v>1244273.9423044485</v>
      </c>
      <c r="AW855">
        <f t="shared" si="95"/>
        <v>1254491.5604918329</v>
      </c>
      <c r="AY855">
        <f t="shared" si="96"/>
        <v>0</v>
      </c>
      <c r="AZ855">
        <f t="shared" si="97"/>
        <v>1</v>
      </c>
    </row>
    <row r="856" spans="1:52" x14ac:dyDescent="0.2">
      <c r="A856">
        <f t="shared" si="91"/>
        <v>852</v>
      </c>
      <c r="B856">
        <v>2.0159714266689374E-2</v>
      </c>
      <c r="C856">
        <v>2.804393938474993E-2</v>
      </c>
      <c r="D856">
        <v>3.8109263097116923E-2</v>
      </c>
      <c r="E856">
        <v>1.4869042286859813E-2</v>
      </c>
      <c r="F856">
        <v>3.3974783574678424E-3</v>
      </c>
      <c r="G856">
        <v>4.3721450503962931E-3</v>
      </c>
      <c r="H856">
        <v>1.1692358546977623E-2</v>
      </c>
      <c r="I856">
        <v>0.12311934737325289</v>
      </c>
      <c r="J856">
        <v>0</v>
      </c>
      <c r="K856">
        <v>0.44340052775103689</v>
      </c>
      <c r="L856">
        <v>0.23529250118829936</v>
      </c>
      <c r="M856">
        <v>0.76470749881170064</v>
      </c>
      <c r="N856">
        <v>7.4602100691424922E-2</v>
      </c>
      <c r="O856" s="72">
        <v>0.99999957163665165</v>
      </c>
      <c r="P856">
        <v>0.99974834947642455</v>
      </c>
      <c r="Q856">
        <v>0.95148952949398957</v>
      </c>
      <c r="R856">
        <v>0.52675946120506345</v>
      </c>
      <c r="S856">
        <v>0.43994683086143715</v>
      </c>
      <c r="T856">
        <v>0.32859589632328789</v>
      </c>
      <c r="U856">
        <v>0.76378949949702801</v>
      </c>
      <c r="V856">
        <v>0.66336582575848246</v>
      </c>
      <c r="W856">
        <v>0.56221807729329654</v>
      </c>
      <c r="X856">
        <v>0.45150113666949609</v>
      </c>
      <c r="Y856">
        <v>0.4592379905103251</v>
      </c>
      <c r="Z856">
        <v>0.46829228279932267</v>
      </c>
      <c r="AA856">
        <v>0.7541371672277426</v>
      </c>
      <c r="AB856">
        <v>0.74747911426035973</v>
      </c>
      <c r="AC856">
        <v>0.79804693811931016</v>
      </c>
      <c r="AD856">
        <v>0.61732284184026609</v>
      </c>
      <c r="AE856">
        <v>264.45965303075275</v>
      </c>
      <c r="AF856">
        <v>1243.2728808397655</v>
      </c>
      <c r="AG856">
        <v>1987.8178647394104</v>
      </c>
      <c r="AH856">
        <v>15505.998155515039</v>
      </c>
      <c r="AI856">
        <v>9831.7602157952024</v>
      </c>
      <c r="AJ856">
        <v>34737.388504350776</v>
      </c>
      <c r="AK856">
        <v>13973.861644336734</v>
      </c>
      <c r="AL856">
        <v>2332.2221200534532</v>
      </c>
      <c r="AM856">
        <v>309.05754535717523</v>
      </c>
      <c r="AO856">
        <v>38743.677273532317</v>
      </c>
      <c r="AP856">
        <v>12.591550378585593</v>
      </c>
      <c r="AQ856">
        <v>45557.623724594669</v>
      </c>
      <c r="AR856">
        <v>12.663910793978269</v>
      </c>
      <c r="AS856" s="2">
        <f t="shared" si="92"/>
        <v>6813.9464510623511</v>
      </c>
      <c r="AT856" s="2">
        <f t="shared" si="93"/>
        <v>7.2360415392676458E-2</v>
      </c>
      <c r="AV856">
        <f t="shared" si="94"/>
        <v>1220411.3605850269</v>
      </c>
      <c r="AW856">
        <f t="shared" si="95"/>
        <v>1220833.4556732322</v>
      </c>
      <c r="AY856">
        <f t="shared" si="96"/>
        <v>0</v>
      </c>
      <c r="AZ856">
        <f t="shared" si="97"/>
        <v>1</v>
      </c>
    </row>
    <row r="857" spans="1:52" x14ac:dyDescent="0.2">
      <c r="A857">
        <f t="shared" si="91"/>
        <v>853</v>
      </c>
      <c r="B857">
        <v>2.545751897350701E-2</v>
      </c>
      <c r="C857">
        <v>2.8693260246141737E-2</v>
      </c>
      <c r="D857">
        <v>3.7954422559152871E-2</v>
      </c>
      <c r="E857">
        <v>4.2411082453877409E-3</v>
      </c>
      <c r="F857">
        <v>3.2758182435389887E-3</v>
      </c>
      <c r="G857">
        <v>3.5295074691339856E-2</v>
      </c>
      <c r="H857">
        <v>2.1712905912839874E-2</v>
      </c>
      <c r="I857">
        <v>0.14501542954380164</v>
      </c>
      <c r="J857">
        <v>0</v>
      </c>
      <c r="K857">
        <v>0.46919990573340398</v>
      </c>
      <c r="L857">
        <v>0.19707624716543221</v>
      </c>
      <c r="M857">
        <v>0.80292375283456785</v>
      </c>
      <c r="N857">
        <v>6.7533164570867554E-2</v>
      </c>
      <c r="O857" s="72">
        <v>0.99975801787915863</v>
      </c>
      <c r="P857">
        <v>0.99889637982596258</v>
      </c>
      <c r="Q857">
        <v>0.97687884656250823</v>
      </c>
      <c r="R857">
        <v>0.48556588491133357</v>
      </c>
      <c r="S857">
        <v>0.42546318940748939</v>
      </c>
      <c r="T857">
        <v>0.23089132794377043</v>
      </c>
      <c r="U857">
        <v>0.77412884054449405</v>
      </c>
      <c r="V857">
        <v>0.64436915471346712</v>
      </c>
      <c r="W857">
        <v>0.65225983509144214</v>
      </c>
      <c r="X857">
        <v>0.39226941126371423</v>
      </c>
      <c r="Y857">
        <v>0.38346234042344224</v>
      </c>
      <c r="Z857">
        <v>0.45984434433450616</v>
      </c>
      <c r="AA857">
        <v>0.60714734764886746</v>
      </c>
      <c r="AB857">
        <v>0.79157971280028405</v>
      </c>
      <c r="AC857">
        <v>0.82959876172045199</v>
      </c>
      <c r="AD857">
        <v>0.56285611509988998</v>
      </c>
      <c r="AE857">
        <v>224.05556824085826</v>
      </c>
      <c r="AF857">
        <v>1039.2234868110352</v>
      </c>
      <c r="AG857">
        <v>978.74221024954636</v>
      </c>
      <c r="AH857">
        <v>10857.513841653094</v>
      </c>
      <c r="AI857">
        <v>11605.149164395201</v>
      </c>
      <c r="AJ857">
        <v>43942.761092032728</v>
      </c>
      <c r="AK857">
        <v>16350.611153627429</v>
      </c>
      <c r="AL857">
        <v>2818.5992317509308</v>
      </c>
      <c r="AM857">
        <v>484.63662317527701</v>
      </c>
      <c r="AO857">
        <v>44170.752649712456</v>
      </c>
      <c r="AP857">
        <v>13.164008765424642</v>
      </c>
      <c r="AQ857">
        <v>47949.883303293871</v>
      </c>
      <c r="AR857">
        <v>13.257436006112105</v>
      </c>
      <c r="AS857" s="2">
        <f t="shared" si="92"/>
        <v>3779.1306535814147</v>
      </c>
      <c r="AT857" s="2">
        <f t="shared" si="93"/>
        <v>9.3427240687462998E-2</v>
      </c>
      <c r="AV857">
        <f t="shared" si="94"/>
        <v>1272230.1238927518</v>
      </c>
      <c r="AW857">
        <f t="shared" si="95"/>
        <v>1277793.7173079166</v>
      </c>
      <c r="AY857">
        <f t="shared" si="96"/>
        <v>0</v>
      </c>
      <c r="AZ857">
        <f t="shared" si="97"/>
        <v>1</v>
      </c>
    </row>
    <row r="858" spans="1:52" x14ac:dyDescent="0.2">
      <c r="A858">
        <f t="shared" si="91"/>
        <v>854</v>
      </c>
      <c r="B858">
        <v>2.3912783257156265E-2</v>
      </c>
      <c r="C858">
        <v>3.4973423006145317E-2</v>
      </c>
      <c r="D858">
        <v>5.2745452376285251E-2</v>
      </c>
      <c r="E858">
        <v>3.0170609044202545E-2</v>
      </c>
      <c r="F858">
        <v>3.3780444512976349E-3</v>
      </c>
      <c r="G858">
        <v>3.3282505143616747E-2</v>
      </c>
      <c r="H858">
        <v>4.3714998674748373E-2</v>
      </c>
      <c r="I858">
        <v>0.12974594934720868</v>
      </c>
      <c r="J858">
        <v>0</v>
      </c>
      <c r="K858">
        <v>0.44808043124809871</v>
      </c>
      <c r="L858">
        <v>0.24928873173759869</v>
      </c>
      <c r="M858">
        <v>0.75071126826240131</v>
      </c>
      <c r="N858">
        <v>7.3767803530455867E-2</v>
      </c>
      <c r="O858" s="72">
        <v>0.99937338271281329</v>
      </c>
      <c r="P858">
        <v>0.99936489624379399</v>
      </c>
      <c r="Q858">
        <v>0.99356227322832713</v>
      </c>
      <c r="R858">
        <v>0.46515377409926661</v>
      </c>
      <c r="S858">
        <v>0.36159775005938477</v>
      </c>
      <c r="T858">
        <v>0.15750353246843807</v>
      </c>
      <c r="U858">
        <v>0.78586583385710607</v>
      </c>
      <c r="V858">
        <v>0.69339523466200004</v>
      </c>
      <c r="W858">
        <v>0.54109405548161005</v>
      </c>
      <c r="X858">
        <v>0.44823893554424288</v>
      </c>
      <c r="Y858">
        <v>0.4326475362390016</v>
      </c>
      <c r="Z858">
        <v>0.48927245798863039</v>
      </c>
      <c r="AA858">
        <v>0.70587633782211046</v>
      </c>
      <c r="AB858">
        <v>0.82224337771668055</v>
      </c>
      <c r="AC858">
        <v>0.78434512604858997</v>
      </c>
      <c r="AD858">
        <v>0.62159389582722757</v>
      </c>
      <c r="AE858">
        <v>198.45608932408817</v>
      </c>
      <c r="AF858">
        <v>1058.9290629897062</v>
      </c>
      <c r="AG858">
        <v>1371.3144828016066</v>
      </c>
      <c r="AH858">
        <v>12305.019729962271</v>
      </c>
      <c r="AI858">
        <v>8356.1761864822256</v>
      </c>
      <c r="AJ858">
        <v>45542.188816493363</v>
      </c>
      <c r="AK858">
        <v>13791.436631070481</v>
      </c>
      <c r="AL858">
        <v>1903.7288878766644</v>
      </c>
      <c r="AM858">
        <v>373.05686520875571</v>
      </c>
      <c r="AO858">
        <v>45829.301857093458</v>
      </c>
      <c r="AP858">
        <v>13.401235199328788</v>
      </c>
      <c r="AQ858">
        <v>46193.230000431802</v>
      </c>
      <c r="AR858">
        <v>13.682957365967182</v>
      </c>
      <c r="AS858" s="2">
        <f t="shared" si="92"/>
        <v>363.92814333834394</v>
      </c>
      <c r="AT858" s="2">
        <f t="shared" si="93"/>
        <v>0.281722166638394</v>
      </c>
      <c r="AV858">
        <f t="shared" si="94"/>
        <v>1294294.2180757856</v>
      </c>
      <c r="AW858">
        <f t="shared" si="95"/>
        <v>1322102.5065962863</v>
      </c>
      <c r="AY858">
        <f t="shared" si="96"/>
        <v>0</v>
      </c>
      <c r="AZ858">
        <f t="shared" si="97"/>
        <v>1</v>
      </c>
    </row>
    <row r="859" spans="1:52" x14ac:dyDescent="0.2">
      <c r="A859">
        <f t="shared" si="91"/>
        <v>855</v>
      </c>
      <c r="B859">
        <v>2.4457220137688022E-2</v>
      </c>
      <c r="C859">
        <v>3.3008210712421389E-2</v>
      </c>
      <c r="D859">
        <v>2.9298033798860403E-2</v>
      </c>
      <c r="E859">
        <v>2.4438422300870566E-2</v>
      </c>
      <c r="F859">
        <v>3.2666683354333221E-3</v>
      </c>
      <c r="G859">
        <v>1.7917088842202888E-2</v>
      </c>
      <c r="H859">
        <v>3.3414301891167897E-2</v>
      </c>
      <c r="I859">
        <v>0.12621757765335803</v>
      </c>
      <c r="J859">
        <v>0</v>
      </c>
      <c r="K859">
        <v>0.48801370441483238</v>
      </c>
      <c r="L859">
        <v>0.21438602747773472</v>
      </c>
      <c r="M859">
        <v>0.78561397252226528</v>
      </c>
      <c r="N859">
        <v>8.5977235990375434E-2</v>
      </c>
      <c r="O859" s="72">
        <v>0.98949405107676036</v>
      </c>
      <c r="P859">
        <v>0.99999069917520744</v>
      </c>
      <c r="Q859">
        <v>0.96869292664141105</v>
      </c>
      <c r="R859">
        <v>0.49587646489070392</v>
      </c>
      <c r="S859">
        <v>0.54720153190720677</v>
      </c>
      <c r="T859">
        <v>0.20979894378673136</v>
      </c>
      <c r="U859">
        <v>0.77485404383566081</v>
      </c>
      <c r="V859">
        <v>0.59566185871650068</v>
      </c>
      <c r="W859">
        <v>0.56352301613724598</v>
      </c>
      <c r="X859">
        <v>0.4686258002275735</v>
      </c>
      <c r="Y859">
        <v>0.49117314140180912</v>
      </c>
      <c r="Z859">
        <v>0.49773103670650731</v>
      </c>
      <c r="AA859">
        <v>0.73479129565465873</v>
      </c>
      <c r="AB859">
        <v>0.76200988845520945</v>
      </c>
      <c r="AC859">
        <v>0.72183217791454768</v>
      </c>
      <c r="AD859">
        <v>0.61674425045343417</v>
      </c>
      <c r="AE859">
        <v>171.3391298815983</v>
      </c>
      <c r="AF859">
        <v>954.23655720490069</v>
      </c>
      <c r="AG859">
        <v>1363.3484486509756</v>
      </c>
      <c r="AH859">
        <v>14721.59208835493</v>
      </c>
      <c r="AI859">
        <v>17503.044555806526</v>
      </c>
      <c r="AJ859">
        <v>34081.097336928906</v>
      </c>
      <c r="AK859">
        <v>16866.753760722659</v>
      </c>
      <c r="AL859">
        <v>1853.2676988617814</v>
      </c>
      <c r="AM859">
        <v>526.76963392921687</v>
      </c>
      <c r="AO859">
        <v>43846.211928539786</v>
      </c>
      <c r="AP859">
        <v>12.599228116507733</v>
      </c>
      <c r="AQ859">
        <v>48728.86638548605</v>
      </c>
      <c r="AR859">
        <v>12.728333631191232</v>
      </c>
      <c r="AS859" s="2">
        <f t="shared" si="92"/>
        <v>4882.654456946264</v>
      </c>
      <c r="AT859" s="2">
        <f t="shared" si="93"/>
        <v>0.12910551468349851</v>
      </c>
      <c r="AV859">
        <f t="shared" si="94"/>
        <v>1216076.5997222336</v>
      </c>
      <c r="AW859">
        <f t="shared" si="95"/>
        <v>1224104.4967336373</v>
      </c>
      <c r="AY859">
        <f t="shared" si="96"/>
        <v>0</v>
      </c>
      <c r="AZ859">
        <f t="shared" si="97"/>
        <v>1</v>
      </c>
    </row>
    <row r="860" spans="1:52" x14ac:dyDescent="0.2">
      <c r="A860">
        <f t="shared" si="91"/>
        <v>856</v>
      </c>
      <c r="B860">
        <v>2.9799270445762915E-2</v>
      </c>
      <c r="C860">
        <v>4.024650486581538E-2</v>
      </c>
      <c r="D860">
        <v>5.3557984329140829E-2</v>
      </c>
      <c r="E860">
        <v>6.9353872958125059E-3</v>
      </c>
      <c r="F860">
        <v>3.5080963660332198E-3</v>
      </c>
      <c r="G860">
        <v>1.0995242081354885E-2</v>
      </c>
      <c r="H860">
        <v>2.550915665794844E-2</v>
      </c>
      <c r="I860">
        <v>0.12330168587595067</v>
      </c>
      <c r="J860">
        <v>0</v>
      </c>
      <c r="K860">
        <v>0.47283351634185722</v>
      </c>
      <c r="L860">
        <v>0.17861087791238905</v>
      </c>
      <c r="M860">
        <v>0.82138912208761095</v>
      </c>
      <c r="N860">
        <v>4.0213689300616896E-2</v>
      </c>
      <c r="O860" s="72">
        <v>0.98635495436727316</v>
      </c>
      <c r="P860">
        <v>0.98556538628800006</v>
      </c>
      <c r="Q860">
        <v>0.99904211200424931</v>
      </c>
      <c r="R860">
        <v>0.47808820954195252</v>
      </c>
      <c r="S860">
        <v>0.42609865133466351</v>
      </c>
      <c r="T860">
        <v>0.29242058484939204</v>
      </c>
      <c r="U860">
        <v>0.79267672986556326</v>
      </c>
      <c r="V860">
        <v>0.6048842807237016</v>
      </c>
      <c r="W860">
        <v>0.699393511258106</v>
      </c>
      <c r="X860">
        <v>0.43370182017510173</v>
      </c>
      <c r="Y860">
        <v>0.45198081152124248</v>
      </c>
      <c r="Z860">
        <v>0.43086098038874698</v>
      </c>
      <c r="AA860">
        <v>0.63436070944903922</v>
      </c>
      <c r="AB860">
        <v>0.81469275919253192</v>
      </c>
      <c r="AC860">
        <v>0.71782130453418058</v>
      </c>
      <c r="AD860">
        <v>0.629243958884941</v>
      </c>
      <c r="AE860">
        <v>173.98726800779454</v>
      </c>
      <c r="AF860">
        <v>1139.3838664390919</v>
      </c>
      <c r="AG860">
        <v>1966.7752978550147</v>
      </c>
      <c r="AH860">
        <v>10559.328419418753</v>
      </c>
      <c r="AI860">
        <v>9716.2440280585342</v>
      </c>
      <c r="AJ860">
        <v>33338.379995216979</v>
      </c>
      <c r="AK860">
        <v>7679.9089164100888</v>
      </c>
      <c r="AL860">
        <v>2649.7469288441744</v>
      </c>
      <c r="AM860">
        <v>341.69340453903351</v>
      </c>
      <c r="AO860">
        <v>41794.029889842699</v>
      </c>
      <c r="AP860">
        <v>13.319657600091094</v>
      </c>
      <c r="AQ860">
        <v>46199.845735343217</v>
      </c>
      <c r="AR860">
        <v>13.467301108864719</v>
      </c>
      <c r="AS860" s="2">
        <f t="shared" si="92"/>
        <v>4405.8158455005178</v>
      </c>
      <c r="AT860" s="2">
        <f t="shared" si="93"/>
        <v>0.14764350877362453</v>
      </c>
      <c r="AV860">
        <f t="shared" si="94"/>
        <v>1290171.7301192668</v>
      </c>
      <c r="AW860">
        <f t="shared" si="95"/>
        <v>1300530.2651511286</v>
      </c>
      <c r="AY860">
        <f t="shared" si="96"/>
        <v>0</v>
      </c>
      <c r="AZ860">
        <f t="shared" si="97"/>
        <v>1</v>
      </c>
    </row>
    <row r="861" spans="1:52" x14ac:dyDescent="0.2">
      <c r="A861">
        <f t="shared" si="91"/>
        <v>857</v>
      </c>
      <c r="B861">
        <v>1.8111074960315773E-2</v>
      </c>
      <c r="C861">
        <v>3.1373662462125411E-2</v>
      </c>
      <c r="D861">
        <v>4.7127322902164814E-2</v>
      </c>
      <c r="E861">
        <v>1.2353000129420533E-2</v>
      </c>
      <c r="F861">
        <v>3.3926102572049421E-3</v>
      </c>
      <c r="G861">
        <v>9.2773171229394106E-3</v>
      </c>
      <c r="H861">
        <v>3.4375966335819741E-2</v>
      </c>
      <c r="I861">
        <v>0.14192711835701199</v>
      </c>
      <c r="J861">
        <v>0</v>
      </c>
      <c r="K861">
        <v>0.49156979443785731</v>
      </c>
      <c r="L861">
        <v>0.23228740441114559</v>
      </c>
      <c r="M861">
        <v>0.76771259558885441</v>
      </c>
      <c r="N861">
        <v>6.2334672231978416E-2</v>
      </c>
      <c r="O861" s="72">
        <v>0.98684092821512226</v>
      </c>
      <c r="P861">
        <v>0.99962201820882157</v>
      </c>
      <c r="Q861">
        <v>0.96710446704719522</v>
      </c>
      <c r="R861">
        <v>0.43878242197268835</v>
      </c>
      <c r="S861">
        <v>0.43743797524962669</v>
      </c>
      <c r="T861">
        <v>0.3623999727363838</v>
      </c>
      <c r="U861">
        <v>0.77918438263247902</v>
      </c>
      <c r="V861">
        <v>0.65036053611390898</v>
      </c>
      <c r="W861">
        <v>0.57971044050252096</v>
      </c>
      <c r="X861">
        <v>0.44320192452896073</v>
      </c>
      <c r="Y861">
        <v>0.4699983414097374</v>
      </c>
      <c r="Z861">
        <v>0.50817865896087744</v>
      </c>
      <c r="AA861">
        <v>0.65971226853275422</v>
      </c>
      <c r="AB861">
        <v>0.78088450690928801</v>
      </c>
      <c r="AC861">
        <v>0.82115380543336491</v>
      </c>
      <c r="AD861">
        <v>0.64829474459962488</v>
      </c>
      <c r="AE861">
        <v>293.79683446094981</v>
      </c>
      <c r="AF861">
        <v>1099.4234700941918</v>
      </c>
      <c r="AG861">
        <v>1969.8295555854643</v>
      </c>
      <c r="AH861">
        <v>13035.709935232515</v>
      </c>
      <c r="AI861">
        <v>14209.568046818902</v>
      </c>
      <c r="AJ861">
        <v>45859.026759999782</v>
      </c>
      <c r="AK861">
        <v>13986.957371264416</v>
      </c>
      <c r="AL861">
        <v>2211.5844724897543</v>
      </c>
      <c r="AM861">
        <v>336.19464120387369</v>
      </c>
      <c r="AO861">
        <v>43147.772481674707</v>
      </c>
      <c r="AP861">
        <v>13.114359550365538</v>
      </c>
      <c r="AQ861">
        <v>45907.990081431948</v>
      </c>
      <c r="AR861">
        <v>13.21078218298811</v>
      </c>
      <c r="AS861" s="2">
        <f t="shared" si="92"/>
        <v>2760.2175997572413</v>
      </c>
      <c r="AT861" s="2">
        <f t="shared" si="93"/>
        <v>9.6422632622571669E-2</v>
      </c>
      <c r="AV861">
        <f t="shared" si="94"/>
        <v>1268288.182554879</v>
      </c>
      <c r="AW861">
        <f t="shared" si="95"/>
        <v>1275170.228217379</v>
      </c>
      <c r="AY861">
        <f t="shared" si="96"/>
        <v>0</v>
      </c>
      <c r="AZ861">
        <f t="shared" si="97"/>
        <v>1</v>
      </c>
    </row>
    <row r="862" spans="1:52" x14ac:dyDescent="0.2">
      <c r="A862">
        <f t="shared" si="91"/>
        <v>858</v>
      </c>
      <c r="B862">
        <v>2.2909503977086951E-2</v>
      </c>
      <c r="C862">
        <v>2.6930250395735267E-2</v>
      </c>
      <c r="D862">
        <v>5.63461329925804E-2</v>
      </c>
      <c r="E862">
        <v>9.8524131984905981E-3</v>
      </c>
      <c r="F862">
        <v>3.2223546942576546E-3</v>
      </c>
      <c r="G862">
        <v>1.6721997117379428E-2</v>
      </c>
      <c r="H862">
        <v>2.109334474780606E-2</v>
      </c>
      <c r="I862">
        <v>0.13559245835539724</v>
      </c>
      <c r="J862">
        <v>0</v>
      </c>
      <c r="K862">
        <v>0.41276079922578929</v>
      </c>
      <c r="L862">
        <v>0.28752932594479219</v>
      </c>
      <c r="M862">
        <v>0.71247067405520781</v>
      </c>
      <c r="N862">
        <v>6.0131885616048653E-2</v>
      </c>
      <c r="O862" s="72">
        <v>0.99996902271537624</v>
      </c>
      <c r="P862">
        <v>0.99992957713292163</v>
      </c>
      <c r="Q862">
        <v>0.99644073020731294</v>
      </c>
      <c r="R862">
        <v>0.4788612810562457</v>
      </c>
      <c r="S862">
        <v>0.33374569231498075</v>
      </c>
      <c r="T862">
        <v>0.25341464954575899</v>
      </c>
      <c r="U862">
        <v>0.7494098875839883</v>
      </c>
      <c r="V862">
        <v>0.64010357308814902</v>
      </c>
      <c r="W862">
        <v>0.57087032003822213</v>
      </c>
      <c r="X862">
        <v>0.43768465759574493</v>
      </c>
      <c r="Y862">
        <v>0.44507937728148367</v>
      </c>
      <c r="Z862">
        <v>0.48762151008377752</v>
      </c>
      <c r="AA862">
        <v>0.57838536297544951</v>
      </c>
      <c r="AB862">
        <v>0.86747835835865961</v>
      </c>
      <c r="AC862">
        <v>0.79823736810843648</v>
      </c>
      <c r="AD862">
        <v>0.52554507814834595</v>
      </c>
      <c r="AE862">
        <v>214.40696480573266</v>
      </c>
      <c r="AF862">
        <v>942.01788295089136</v>
      </c>
      <c r="AG862">
        <v>1834.9436663746342</v>
      </c>
      <c r="AH862">
        <v>13241.612639208701</v>
      </c>
      <c r="AI862">
        <v>10561.083937019737</v>
      </c>
      <c r="AJ862">
        <v>35264.777147112087</v>
      </c>
      <c r="AK862">
        <v>18121.141522161361</v>
      </c>
      <c r="AL862">
        <v>1260.2061049662229</v>
      </c>
      <c r="AM862">
        <v>333.76248429540408</v>
      </c>
      <c r="AO862">
        <v>43378.654574089407</v>
      </c>
      <c r="AP862">
        <v>13.958736789624252</v>
      </c>
      <c r="AQ862">
        <v>45593.998067118584</v>
      </c>
      <c r="AR862">
        <v>14.204274876044321</v>
      </c>
      <c r="AS862" s="2">
        <f t="shared" si="92"/>
        <v>2215.3434930291769</v>
      </c>
      <c r="AT862" s="2">
        <f t="shared" si="93"/>
        <v>0.24553808642006913</v>
      </c>
      <c r="AV862">
        <f t="shared" si="94"/>
        <v>1352495.0243883359</v>
      </c>
      <c r="AW862">
        <f t="shared" si="95"/>
        <v>1374833.4895373133</v>
      </c>
      <c r="AY862">
        <f t="shared" si="96"/>
        <v>0</v>
      </c>
      <c r="AZ862">
        <f t="shared" si="97"/>
        <v>1</v>
      </c>
    </row>
    <row r="863" spans="1:52" x14ac:dyDescent="0.2">
      <c r="A863">
        <f t="shared" si="91"/>
        <v>859</v>
      </c>
      <c r="B863">
        <v>1.7400917494530731E-2</v>
      </c>
      <c r="C863">
        <v>3.2557192920921185E-2</v>
      </c>
      <c r="D863">
        <v>3.790944082114852E-2</v>
      </c>
      <c r="E863">
        <v>1.6278629263935307E-2</v>
      </c>
      <c r="F863">
        <v>3.1391019572866081E-3</v>
      </c>
      <c r="G863">
        <v>1.5861705347470889E-2</v>
      </c>
      <c r="H863">
        <v>2.797373959186809E-2</v>
      </c>
      <c r="I863">
        <v>0.11971952682975658</v>
      </c>
      <c r="J863">
        <v>0</v>
      </c>
      <c r="K863">
        <v>0.40734968032076235</v>
      </c>
      <c r="L863">
        <v>0.21536090717286405</v>
      </c>
      <c r="M863">
        <v>0.78463909282713595</v>
      </c>
      <c r="N863">
        <v>3.5790872714756131E-2</v>
      </c>
      <c r="O863" s="72">
        <v>0.99999259820517483</v>
      </c>
      <c r="P863">
        <v>0.99919665674038349</v>
      </c>
      <c r="Q863">
        <v>0.9807586282676084</v>
      </c>
      <c r="R863">
        <v>0.47305327921684648</v>
      </c>
      <c r="S863">
        <v>0.39467819024438155</v>
      </c>
      <c r="T863">
        <v>0.24208137367296856</v>
      </c>
      <c r="U863">
        <v>0.79262142625677801</v>
      </c>
      <c r="V863">
        <v>0.6096525193365655</v>
      </c>
      <c r="W863">
        <v>0.62929496061692147</v>
      </c>
      <c r="X863">
        <v>0.43237908702336536</v>
      </c>
      <c r="Y863">
        <v>0.49070194951094837</v>
      </c>
      <c r="Z863">
        <v>0.41386259803075282</v>
      </c>
      <c r="AA863">
        <v>0.71504239151236171</v>
      </c>
      <c r="AB863">
        <v>0.77663711252694667</v>
      </c>
      <c r="AC863">
        <v>0.68447148049303352</v>
      </c>
      <c r="AD863">
        <v>0.56141249191480425</v>
      </c>
      <c r="AE863">
        <v>216.39548653382207</v>
      </c>
      <c r="AF863">
        <v>1136.5952959864555</v>
      </c>
      <c r="AG863">
        <v>1646.8129695500349</v>
      </c>
      <c r="AH863">
        <v>12175.101736645556</v>
      </c>
      <c r="AI863">
        <v>10057.281380679082</v>
      </c>
      <c r="AJ863">
        <v>36592.984135779057</v>
      </c>
      <c r="AK863">
        <v>12502.390477263285</v>
      </c>
      <c r="AL863">
        <v>1575.1353437843727</v>
      </c>
      <c r="AM863">
        <v>494.68875596550168</v>
      </c>
      <c r="AO863">
        <v>45302.579890244466</v>
      </c>
      <c r="AP863">
        <v>12.697898620197387</v>
      </c>
      <c r="AQ863">
        <v>48190.827267705026</v>
      </c>
      <c r="AR863">
        <v>12.789520633638801</v>
      </c>
      <c r="AS863" s="2">
        <f t="shared" si="92"/>
        <v>2888.2473774605605</v>
      </c>
      <c r="AT863" s="2">
        <f t="shared" si="93"/>
        <v>9.1622013441414296E-2</v>
      </c>
      <c r="AV863">
        <f t="shared" si="94"/>
        <v>1224487.2821294942</v>
      </c>
      <c r="AW863">
        <f t="shared" si="95"/>
        <v>1230761.2360961752</v>
      </c>
      <c r="AY863">
        <f t="shared" si="96"/>
        <v>0</v>
      </c>
      <c r="AZ863">
        <f t="shared" si="97"/>
        <v>1</v>
      </c>
    </row>
    <row r="864" spans="1:52" x14ac:dyDescent="0.2">
      <c r="A864">
        <f t="shared" si="91"/>
        <v>860</v>
      </c>
      <c r="B864">
        <v>1.4134584966624951E-2</v>
      </c>
      <c r="C864">
        <v>3.1062737744628453E-2</v>
      </c>
      <c r="D864">
        <v>4.5056658529915028E-2</v>
      </c>
      <c r="E864">
        <v>2.8279540462668007E-2</v>
      </c>
      <c r="F864">
        <v>3.4732917842564826E-3</v>
      </c>
      <c r="G864">
        <v>1.9267578626108839E-2</v>
      </c>
      <c r="H864">
        <v>2.5306745744051725E-2</v>
      </c>
      <c r="I864">
        <v>0.1204148727239111</v>
      </c>
      <c r="J864">
        <v>0</v>
      </c>
      <c r="K864">
        <v>0.49047032491639608</v>
      </c>
      <c r="L864">
        <v>0.27883153096143698</v>
      </c>
      <c r="M864">
        <v>0.72116846903856302</v>
      </c>
      <c r="N864">
        <v>6.0175432943860629E-2</v>
      </c>
      <c r="O864" s="72">
        <v>0.99432558238194391</v>
      </c>
      <c r="P864">
        <v>0.99610540002024095</v>
      </c>
      <c r="Q864">
        <v>0.99220147848738094</v>
      </c>
      <c r="R864">
        <v>0.52408113688862112</v>
      </c>
      <c r="S864">
        <v>0.39359530275931354</v>
      </c>
      <c r="T864">
        <v>0.23785371354521867</v>
      </c>
      <c r="U864">
        <v>0.79372015739155366</v>
      </c>
      <c r="V864">
        <v>0.63340545504470147</v>
      </c>
      <c r="W864">
        <v>0.58049473230327631</v>
      </c>
      <c r="X864">
        <v>0.4555258878565791</v>
      </c>
      <c r="Y864">
        <v>0.41813608779013334</v>
      </c>
      <c r="Z864">
        <v>0.42091178280699648</v>
      </c>
      <c r="AA864">
        <v>0.64623333541922057</v>
      </c>
      <c r="AB864">
        <v>0.81371705818525875</v>
      </c>
      <c r="AC864">
        <v>0.69484974463587457</v>
      </c>
      <c r="AD864">
        <v>0.60207477176382451</v>
      </c>
      <c r="AE864">
        <v>216.48074536615727</v>
      </c>
      <c r="AF864">
        <v>1156.8607422956466</v>
      </c>
      <c r="AG864">
        <v>996.53782517297702</v>
      </c>
      <c r="AH864">
        <v>15446.026361607353</v>
      </c>
      <c r="AI864">
        <v>14384.021176404785</v>
      </c>
      <c r="AJ864">
        <v>40980.796714163269</v>
      </c>
      <c r="AK864">
        <v>8114.3014087084712</v>
      </c>
      <c r="AL864">
        <v>936.95459924544116</v>
      </c>
      <c r="AM864">
        <v>341.57886682051776</v>
      </c>
      <c r="AO864">
        <v>40636.892176401438</v>
      </c>
      <c r="AP864">
        <v>13.209869375455462</v>
      </c>
      <c r="AQ864">
        <v>45912.245034904641</v>
      </c>
      <c r="AR864">
        <v>13.375712285397922</v>
      </c>
      <c r="AS864" s="2">
        <f t="shared" si="92"/>
        <v>5275.3528585032036</v>
      </c>
      <c r="AT864" s="2">
        <f t="shared" si="93"/>
        <v>0.16584290994246054</v>
      </c>
      <c r="AV864">
        <f t="shared" si="94"/>
        <v>1280350.0453691448</v>
      </c>
      <c r="AW864">
        <f t="shared" si="95"/>
        <v>1291658.9835048874</v>
      </c>
      <c r="AY864">
        <f t="shared" si="96"/>
        <v>0</v>
      </c>
      <c r="AZ864">
        <f t="shared" si="97"/>
        <v>1</v>
      </c>
    </row>
    <row r="865" spans="1:52" x14ac:dyDescent="0.2">
      <c r="A865">
        <f t="shared" si="91"/>
        <v>861</v>
      </c>
      <c r="B865">
        <v>2.3013594994637544E-2</v>
      </c>
      <c r="C865">
        <v>3.5587048910805746E-2</v>
      </c>
      <c r="D865">
        <v>5.1907870515388921E-2</v>
      </c>
      <c r="E865">
        <v>1.2063060713006002E-2</v>
      </c>
      <c r="F865">
        <v>3.4797274632826225E-3</v>
      </c>
      <c r="G865">
        <v>3.1866035972261254E-3</v>
      </c>
      <c r="H865">
        <v>2.111152514980405E-2</v>
      </c>
      <c r="I865">
        <v>0.13627145901584603</v>
      </c>
      <c r="J865">
        <v>0</v>
      </c>
      <c r="K865">
        <v>0.47393284453061746</v>
      </c>
      <c r="L865">
        <v>0.22162021766478968</v>
      </c>
      <c r="M865">
        <v>0.77837978233521032</v>
      </c>
      <c r="N865">
        <v>5.8032634942241978E-2</v>
      </c>
      <c r="O865" s="72">
        <v>0.98736481399613574</v>
      </c>
      <c r="P865">
        <v>0.9960609840280541</v>
      </c>
      <c r="Q865">
        <v>0.98039383476142139</v>
      </c>
      <c r="R865">
        <v>0.49290849427921823</v>
      </c>
      <c r="S865">
        <v>0.44690390077775921</v>
      </c>
      <c r="T865">
        <v>0.2592282530976161</v>
      </c>
      <c r="U865">
        <v>0.78693384059935068</v>
      </c>
      <c r="V865">
        <v>0.70845427380770931</v>
      </c>
      <c r="W865">
        <v>0.56133510060687186</v>
      </c>
      <c r="X865">
        <v>0.42084185204504843</v>
      </c>
      <c r="Y865">
        <v>0.41931225290062563</v>
      </c>
      <c r="Z865">
        <v>0.47615952964662989</v>
      </c>
      <c r="AA865">
        <v>0.66877683684992562</v>
      </c>
      <c r="AB865">
        <v>0.83875735168726739</v>
      </c>
      <c r="AC865">
        <v>0.77266277184993726</v>
      </c>
      <c r="AD865">
        <v>0.52343115605640589</v>
      </c>
      <c r="AE865">
        <v>184.76846464550931</v>
      </c>
      <c r="AF865">
        <v>935.76796141304317</v>
      </c>
      <c r="AG865">
        <v>1538.7383912258429</v>
      </c>
      <c r="AH865">
        <v>13465.403702830454</v>
      </c>
      <c r="AI865">
        <v>11951.736505373639</v>
      </c>
      <c r="AJ865">
        <v>43447.169669258721</v>
      </c>
      <c r="AK865">
        <v>18571.527823623182</v>
      </c>
      <c r="AL865">
        <v>1603.1777371259675</v>
      </c>
      <c r="AM865">
        <v>309.73406158528184</v>
      </c>
      <c r="AO865">
        <v>40826.214578780025</v>
      </c>
      <c r="AP865">
        <v>13.601710022137311</v>
      </c>
      <c r="AQ865">
        <v>45438.566542840352</v>
      </c>
      <c r="AR865">
        <v>13.754797291407639</v>
      </c>
      <c r="AS865" s="2">
        <f t="shared" si="92"/>
        <v>4612.3519640603263</v>
      </c>
      <c r="AT865" s="2">
        <f t="shared" si="93"/>
        <v>0.15308726927032801</v>
      </c>
      <c r="AV865">
        <f t="shared" si="94"/>
        <v>1319344.7876349511</v>
      </c>
      <c r="AW865">
        <f t="shared" si="95"/>
        <v>1330041.1625979235</v>
      </c>
      <c r="AY865">
        <f t="shared" si="96"/>
        <v>0</v>
      </c>
      <c r="AZ865">
        <f t="shared" si="97"/>
        <v>1</v>
      </c>
    </row>
    <row r="866" spans="1:52" x14ac:dyDescent="0.2">
      <c r="A866">
        <f t="shared" si="91"/>
        <v>862</v>
      </c>
      <c r="B866">
        <v>2.7397650107109706E-2</v>
      </c>
      <c r="C866">
        <v>2.6644928205530889E-2</v>
      </c>
      <c r="D866">
        <v>2.3977900678382784E-2</v>
      </c>
      <c r="E866">
        <v>1.2682423797213738E-2</v>
      </c>
      <c r="F866">
        <v>3.3718640171624958E-3</v>
      </c>
      <c r="G866">
        <v>1.0052578311480317E-2</v>
      </c>
      <c r="H866">
        <v>2.7776822123790321E-2</v>
      </c>
      <c r="I866">
        <v>0.12178806996016267</v>
      </c>
      <c r="J866">
        <v>0</v>
      </c>
      <c r="K866">
        <v>0.4536270375133411</v>
      </c>
      <c r="L866">
        <v>0.21832763022316504</v>
      </c>
      <c r="M866">
        <v>0.78167236977683496</v>
      </c>
      <c r="N866">
        <v>7.4166385514228272E-2</v>
      </c>
      <c r="O866" s="72">
        <v>0.97388484945904008</v>
      </c>
      <c r="P866">
        <v>0.99999936088557673</v>
      </c>
      <c r="Q866">
        <v>0.99191037208676835</v>
      </c>
      <c r="R866">
        <v>0.43652752161348829</v>
      </c>
      <c r="S866">
        <v>0.40652262831887642</v>
      </c>
      <c r="T866">
        <v>0.26211554252341396</v>
      </c>
      <c r="U866">
        <v>0.77694909530506695</v>
      </c>
      <c r="V866">
        <v>0.64952016249903177</v>
      </c>
      <c r="W866">
        <v>0.58321255193090082</v>
      </c>
      <c r="X866">
        <v>0.42387565986591186</v>
      </c>
      <c r="Y866">
        <v>0.46865250657756019</v>
      </c>
      <c r="Z866">
        <v>0.43032798781851805</v>
      </c>
      <c r="AA866">
        <v>0.66840315207182377</v>
      </c>
      <c r="AB866">
        <v>0.84401189464022763</v>
      </c>
      <c r="AC866">
        <v>0.71710562026141733</v>
      </c>
      <c r="AD866">
        <v>0.64659108392029563</v>
      </c>
      <c r="AE866">
        <v>229.31631480811461</v>
      </c>
      <c r="AF866">
        <v>973.50598070869705</v>
      </c>
      <c r="AG866">
        <v>1525.9179770687936</v>
      </c>
      <c r="AH866">
        <v>10196.406588136022</v>
      </c>
      <c r="AI866">
        <v>9381.68741419859</v>
      </c>
      <c r="AJ866">
        <v>38888.104253429367</v>
      </c>
      <c r="AK866">
        <v>16213.938399058479</v>
      </c>
      <c r="AL866">
        <v>1679.2688660245396</v>
      </c>
      <c r="AM866">
        <v>309.42306397260774</v>
      </c>
      <c r="AO866">
        <v>44090.105706253074</v>
      </c>
      <c r="AP866">
        <v>13.693676974868778</v>
      </c>
      <c r="AQ866">
        <v>45296.742223102883</v>
      </c>
      <c r="AR866">
        <v>13.897405567781115</v>
      </c>
      <c r="AS866" s="2">
        <f t="shared" si="92"/>
        <v>1206.6365168498087</v>
      </c>
      <c r="AT866" s="2">
        <f t="shared" si="93"/>
        <v>0.2037285929123378</v>
      </c>
      <c r="AV866">
        <f t="shared" si="94"/>
        <v>1325277.5917806246</v>
      </c>
      <c r="AW866">
        <f t="shared" si="95"/>
        <v>1344443.8145550087</v>
      </c>
      <c r="AY866">
        <f t="shared" si="96"/>
        <v>0</v>
      </c>
      <c r="AZ866">
        <f t="shared" si="97"/>
        <v>1</v>
      </c>
    </row>
    <row r="867" spans="1:52" x14ac:dyDescent="0.2">
      <c r="A867">
        <f t="shared" si="91"/>
        <v>863</v>
      </c>
      <c r="B867">
        <v>3.0588688230847372E-2</v>
      </c>
      <c r="C867">
        <v>3.0240335625927341E-2</v>
      </c>
      <c r="D867">
        <v>3.3925969092631243E-2</v>
      </c>
      <c r="E867">
        <v>1.1474434833658564E-2</v>
      </c>
      <c r="F867">
        <v>3.3785232839064205E-3</v>
      </c>
      <c r="G867">
        <v>2.943653384775835E-2</v>
      </c>
      <c r="H867">
        <v>3.875494742963248E-2</v>
      </c>
      <c r="I867">
        <v>0.13900185459554826</v>
      </c>
      <c r="J867">
        <v>0</v>
      </c>
      <c r="K867">
        <v>0.41449896920856227</v>
      </c>
      <c r="L867">
        <v>0.14931585378739107</v>
      </c>
      <c r="M867">
        <v>0.8506841462126089</v>
      </c>
      <c r="N867">
        <v>6.5166717676718999E-2</v>
      </c>
      <c r="O867" s="72">
        <v>0.99999187329475392</v>
      </c>
      <c r="P867">
        <v>0.99981308934672286</v>
      </c>
      <c r="Q867">
        <v>0.98625828230915435</v>
      </c>
      <c r="R867">
        <v>0.4923021517956081</v>
      </c>
      <c r="S867">
        <v>0.38114049723549159</v>
      </c>
      <c r="T867">
        <v>0.29593965184476945</v>
      </c>
      <c r="U867">
        <v>0.79965171931542223</v>
      </c>
      <c r="V867">
        <v>0.62870805674066554</v>
      </c>
      <c r="W867">
        <v>0.51177915522772832</v>
      </c>
      <c r="X867">
        <v>0.48312456328935383</v>
      </c>
      <c r="Y867">
        <v>0.45727743211041938</v>
      </c>
      <c r="Z867">
        <v>0.4644458973104052</v>
      </c>
      <c r="AA867">
        <v>0.58061768808775716</v>
      </c>
      <c r="AB867">
        <v>0.76468948864627329</v>
      </c>
      <c r="AC867">
        <v>0.76115472349950508</v>
      </c>
      <c r="AD867">
        <v>0.5116605147297576</v>
      </c>
      <c r="AE867">
        <v>172.53498550941671</v>
      </c>
      <c r="AF867">
        <v>1136.1938839423856</v>
      </c>
      <c r="AG867">
        <v>2029.0315298405435</v>
      </c>
      <c r="AH867">
        <v>13125.125242562652</v>
      </c>
      <c r="AI867">
        <v>14341.02537278357</v>
      </c>
      <c r="AJ867">
        <v>33071.253031417262</v>
      </c>
      <c r="AK867">
        <v>15665.136640851566</v>
      </c>
      <c r="AL867">
        <v>1818.1042200108459</v>
      </c>
      <c r="AM867">
        <v>381.24877240507504</v>
      </c>
      <c r="AO867">
        <v>42160.270096508626</v>
      </c>
      <c r="AP867">
        <v>12.623038597622221</v>
      </c>
      <c r="AQ867">
        <v>46381.177133041681</v>
      </c>
      <c r="AR867">
        <v>12.692793380817138</v>
      </c>
      <c r="AS867" s="2">
        <f t="shared" si="92"/>
        <v>4220.9070365330554</v>
      </c>
      <c r="AT867" s="2">
        <f t="shared" si="93"/>
        <v>6.975478319491657E-2</v>
      </c>
      <c r="AV867">
        <f t="shared" si="94"/>
        <v>1220143.5896657135</v>
      </c>
      <c r="AW867">
        <f t="shared" si="95"/>
        <v>1222898.1609486721</v>
      </c>
      <c r="AY867">
        <f t="shared" si="96"/>
        <v>0</v>
      </c>
      <c r="AZ867">
        <f t="shared" si="97"/>
        <v>1</v>
      </c>
    </row>
    <row r="868" spans="1:52" x14ac:dyDescent="0.2">
      <c r="A868">
        <f t="shared" si="91"/>
        <v>864</v>
      </c>
      <c r="B868">
        <v>2.5415901517500727E-2</v>
      </c>
      <c r="C868">
        <v>3.5778586669860252E-2</v>
      </c>
      <c r="D868">
        <v>5.790311008417881E-2</v>
      </c>
      <c r="E868">
        <v>1.4831513381185379E-2</v>
      </c>
      <c r="F868">
        <v>3.2297863195055888E-3</v>
      </c>
      <c r="G868">
        <v>1.0708468941778519E-2</v>
      </c>
      <c r="H868">
        <v>3.8073069703324247E-2</v>
      </c>
      <c r="I868">
        <v>0.12700576085149815</v>
      </c>
      <c r="J868">
        <v>0</v>
      </c>
      <c r="K868">
        <v>0.4754583999570865</v>
      </c>
      <c r="L868">
        <v>0.19763728416965456</v>
      </c>
      <c r="M868">
        <v>0.80236271583034546</v>
      </c>
      <c r="N868">
        <v>5.2137913932312721E-2</v>
      </c>
      <c r="O868" s="72">
        <v>0.98547339193733541</v>
      </c>
      <c r="P868">
        <v>0.98502255697256225</v>
      </c>
      <c r="Q868">
        <v>0.94539615298041457</v>
      </c>
      <c r="R868">
        <v>0.51691249510920101</v>
      </c>
      <c r="S868">
        <v>0.4017319821567511</v>
      </c>
      <c r="T868">
        <v>0.3427600959676429</v>
      </c>
      <c r="U868">
        <v>0.77757453369402219</v>
      </c>
      <c r="V868">
        <v>0.62203535755540473</v>
      </c>
      <c r="W868">
        <v>0.4701508247201136</v>
      </c>
      <c r="X868">
        <v>0.46116434473924695</v>
      </c>
      <c r="Y868">
        <v>0.44865383888726179</v>
      </c>
      <c r="Z868">
        <v>0.46656839680486295</v>
      </c>
      <c r="AA868">
        <v>0.6884883035047078</v>
      </c>
      <c r="AB868">
        <v>0.79721497978988021</v>
      </c>
      <c r="AC868">
        <v>0.82168081561357742</v>
      </c>
      <c r="AD868">
        <v>0.61359127736889563</v>
      </c>
      <c r="AE868">
        <v>212.65134174419217</v>
      </c>
      <c r="AF868">
        <v>1040.2312852045484</v>
      </c>
      <c r="AG868">
        <v>2303.0726636330455</v>
      </c>
      <c r="AH868">
        <v>11282.298235685555</v>
      </c>
      <c r="AI868">
        <v>11358.846561572498</v>
      </c>
      <c r="AJ868">
        <v>30270.954545569151</v>
      </c>
      <c r="AK868">
        <v>18982.790468252297</v>
      </c>
      <c r="AL868">
        <v>1418.4921211564101</v>
      </c>
      <c r="AM868">
        <v>421.25409241460596</v>
      </c>
      <c r="AO868">
        <v>40825.846733404105</v>
      </c>
      <c r="AP868">
        <v>13.243729191483503</v>
      </c>
      <c r="AQ868">
        <v>47700.207622867812</v>
      </c>
      <c r="AR868">
        <v>13.391271438393279</v>
      </c>
      <c r="AS868" s="2">
        <f t="shared" si="92"/>
        <v>6874.3608894637073</v>
      </c>
      <c r="AT868" s="2">
        <f t="shared" si="93"/>
        <v>0.1475422469097758</v>
      </c>
      <c r="AV868">
        <f t="shared" si="94"/>
        <v>1283547.0724149463</v>
      </c>
      <c r="AW868">
        <f t="shared" si="95"/>
        <v>1291426.9362164601</v>
      </c>
      <c r="AY868">
        <f t="shared" si="96"/>
        <v>0</v>
      </c>
      <c r="AZ868">
        <f t="shared" si="97"/>
        <v>1</v>
      </c>
    </row>
    <row r="869" spans="1:52" x14ac:dyDescent="0.2">
      <c r="A869">
        <f t="shared" si="91"/>
        <v>865</v>
      </c>
      <c r="B869">
        <v>2.4787162913114974E-2</v>
      </c>
      <c r="C869">
        <v>2.6136105221960935E-2</v>
      </c>
      <c r="D869">
        <v>3.3228352868342109E-2</v>
      </c>
      <c r="E869">
        <v>1.7737909084774794E-2</v>
      </c>
      <c r="F869">
        <v>3.3694058695367124E-3</v>
      </c>
      <c r="G869">
        <v>3.0788451984142175E-3</v>
      </c>
      <c r="H869">
        <v>2.0786631947533257E-2</v>
      </c>
      <c r="I869">
        <v>0.12655740714357006</v>
      </c>
      <c r="J869">
        <v>0</v>
      </c>
      <c r="K869">
        <v>0.43589582240726776</v>
      </c>
      <c r="L869">
        <v>0.15290054115474239</v>
      </c>
      <c r="M869">
        <v>0.84709945884525761</v>
      </c>
      <c r="N869">
        <v>4.8297246852355188E-2</v>
      </c>
      <c r="O869" s="72">
        <v>0.9989069305140148</v>
      </c>
      <c r="P869">
        <v>0.99999999802356532</v>
      </c>
      <c r="Q869">
        <v>0.99422408259205886</v>
      </c>
      <c r="R869">
        <v>0.46337035118471726</v>
      </c>
      <c r="S869">
        <v>0.4440013458781038</v>
      </c>
      <c r="T869">
        <v>0.16129549515193053</v>
      </c>
      <c r="U869">
        <v>0.76158415771441457</v>
      </c>
      <c r="V869">
        <v>0.64566684875727753</v>
      </c>
      <c r="W869">
        <v>0.62349741463813557</v>
      </c>
      <c r="X869">
        <v>0.40493169729998951</v>
      </c>
      <c r="Y869">
        <v>0.48458020904077015</v>
      </c>
      <c r="Z869">
        <v>0.42419316177998573</v>
      </c>
      <c r="AA869">
        <v>0.75343947829753166</v>
      </c>
      <c r="AB869">
        <v>0.77203038509854305</v>
      </c>
      <c r="AC869">
        <v>0.7373078804682649</v>
      </c>
      <c r="AD869">
        <v>0.68723965501021955</v>
      </c>
      <c r="AE869">
        <v>163.34273836294216</v>
      </c>
      <c r="AF869">
        <v>1065.8013208058148</v>
      </c>
      <c r="AG869">
        <v>1996.5541020366593</v>
      </c>
      <c r="AH869">
        <v>14846.227448171565</v>
      </c>
      <c r="AI869">
        <v>11369.17963114643</v>
      </c>
      <c r="AJ869">
        <v>37358.196712491881</v>
      </c>
      <c r="AK869">
        <v>12713.597525107316</v>
      </c>
      <c r="AL869">
        <v>1108.8052308751135</v>
      </c>
      <c r="AM869">
        <v>339.82199269605024</v>
      </c>
      <c r="AO869">
        <v>45118.449849798264</v>
      </c>
      <c r="AP869">
        <v>12.807941712512852</v>
      </c>
      <c r="AQ869">
        <v>45755.27270861766</v>
      </c>
      <c r="AR869">
        <v>12.991564074033784</v>
      </c>
      <c r="AS869" s="2">
        <f t="shared" si="92"/>
        <v>636.82285881939606</v>
      </c>
      <c r="AT869" s="2">
        <f t="shared" si="93"/>
        <v>0.18362236152093203</v>
      </c>
      <c r="AV869">
        <f t="shared" si="94"/>
        <v>1235675.7214014868</v>
      </c>
      <c r="AW869">
        <f t="shared" si="95"/>
        <v>1253401.1346947607</v>
      </c>
      <c r="AY869">
        <f t="shared" si="96"/>
        <v>0</v>
      </c>
      <c r="AZ869">
        <f t="shared" si="97"/>
        <v>1</v>
      </c>
    </row>
    <row r="870" spans="1:52" x14ac:dyDescent="0.2">
      <c r="A870">
        <f t="shared" si="91"/>
        <v>866</v>
      </c>
      <c r="B870">
        <v>2.6039374246330627E-2</v>
      </c>
      <c r="C870">
        <v>4.0050403596672779E-2</v>
      </c>
      <c r="D870">
        <v>4.6241759982024289E-2</v>
      </c>
      <c r="E870">
        <v>1.5730747253875466E-2</v>
      </c>
      <c r="F870">
        <v>3.2899387230392544E-3</v>
      </c>
      <c r="G870">
        <v>3.7288377191521227E-2</v>
      </c>
      <c r="H870">
        <v>1.5325517750847631E-2</v>
      </c>
      <c r="I870">
        <v>0.13232336130853362</v>
      </c>
      <c r="J870">
        <v>0</v>
      </c>
      <c r="K870">
        <v>0.3920321324978589</v>
      </c>
      <c r="L870">
        <v>0.27124662832537882</v>
      </c>
      <c r="M870">
        <v>0.72875337167462118</v>
      </c>
      <c r="N870">
        <v>4.4586817879967301E-2</v>
      </c>
      <c r="O870" s="72">
        <v>0.99001195299046207</v>
      </c>
      <c r="P870">
        <v>0.99999798228397951</v>
      </c>
      <c r="Q870">
        <v>0.97112590569744084</v>
      </c>
      <c r="R870">
        <v>0.40805969488822946</v>
      </c>
      <c r="S870">
        <v>0.50539793517297582</v>
      </c>
      <c r="T870">
        <v>0.22760279252769489</v>
      </c>
      <c r="U870">
        <v>0.77566664187464751</v>
      </c>
      <c r="V870">
        <v>0.69644968772397087</v>
      </c>
      <c r="W870">
        <v>0.53372763011045299</v>
      </c>
      <c r="X870">
        <v>0.44960975294160438</v>
      </c>
      <c r="Y870">
        <v>0.46785635864082986</v>
      </c>
      <c r="Z870">
        <v>0.46746183961601739</v>
      </c>
      <c r="AA870">
        <v>0.62823668339217087</v>
      </c>
      <c r="AB870">
        <v>0.81617689381367742</v>
      </c>
      <c r="AC870">
        <v>0.64242962085196476</v>
      </c>
      <c r="AD870">
        <v>0.56802891048896131</v>
      </c>
      <c r="AE870">
        <v>220.36999650236979</v>
      </c>
      <c r="AF870">
        <v>1198.4929396215293</v>
      </c>
      <c r="AG870">
        <v>1479.0890409829769</v>
      </c>
      <c r="AH870">
        <v>15461.529673124567</v>
      </c>
      <c r="AI870">
        <v>17600.651697447982</v>
      </c>
      <c r="AJ870">
        <v>35744.978910655838</v>
      </c>
      <c r="AK870">
        <v>12316.356347450854</v>
      </c>
      <c r="AL870">
        <v>1832.0587715065346</v>
      </c>
      <c r="AM870">
        <v>328.78987238883821</v>
      </c>
      <c r="AO870">
        <v>46154.460340228645</v>
      </c>
      <c r="AP870">
        <v>13.049949618337918</v>
      </c>
      <c r="AQ870">
        <v>45694.518363515665</v>
      </c>
      <c r="AR870">
        <v>13.267791381379205</v>
      </c>
      <c r="AS870" s="2">
        <f t="shared" si="92"/>
        <v>-459.94197671298025</v>
      </c>
      <c r="AT870" s="2">
        <f t="shared" si="93"/>
        <v>0.217841763041287</v>
      </c>
      <c r="AV870">
        <f t="shared" si="94"/>
        <v>1258840.5014935632</v>
      </c>
      <c r="AW870">
        <f t="shared" si="95"/>
        <v>1281084.6197744049</v>
      </c>
      <c r="AY870">
        <f t="shared" si="96"/>
        <v>0</v>
      </c>
      <c r="AZ870">
        <f t="shared" si="97"/>
        <v>1</v>
      </c>
    </row>
    <row r="871" spans="1:52" x14ac:dyDescent="0.2">
      <c r="A871">
        <f t="shared" si="91"/>
        <v>867</v>
      </c>
      <c r="B871">
        <v>3.0936559608890857E-2</v>
      </c>
      <c r="C871">
        <v>4.2705285026069961E-2</v>
      </c>
      <c r="D871">
        <v>2.8487511420069098E-2</v>
      </c>
      <c r="E871">
        <v>1.2078705796949918E-2</v>
      </c>
      <c r="F871">
        <v>3.3114242259777824E-3</v>
      </c>
      <c r="G871">
        <v>4.8093867347327067E-3</v>
      </c>
      <c r="H871">
        <v>4.8820315871496711E-2</v>
      </c>
      <c r="I871">
        <v>0.12854634714794666</v>
      </c>
      <c r="J871">
        <v>0</v>
      </c>
      <c r="K871">
        <v>0.37924349113709582</v>
      </c>
      <c r="L871">
        <v>0.17457213943026595</v>
      </c>
      <c r="M871">
        <v>0.82542786056973405</v>
      </c>
      <c r="N871">
        <v>4.5885785233307955E-2</v>
      </c>
      <c r="O871" s="72">
        <v>0.99972619065332768</v>
      </c>
      <c r="P871">
        <v>0.99994518022303336</v>
      </c>
      <c r="Q871">
        <v>0.99337975862264427</v>
      </c>
      <c r="R871">
        <v>0.45899580611192448</v>
      </c>
      <c r="S871">
        <v>0.38701632210439096</v>
      </c>
      <c r="T871">
        <v>0.25529267295280378</v>
      </c>
      <c r="U871">
        <v>0.76488282257327567</v>
      </c>
      <c r="V871">
        <v>0.6680824341910685</v>
      </c>
      <c r="W871">
        <v>0.53093101926586983</v>
      </c>
      <c r="X871">
        <v>0.4936149759349141</v>
      </c>
      <c r="Y871">
        <v>0.46198184283317589</v>
      </c>
      <c r="Z871">
        <v>0.45190145768781975</v>
      </c>
      <c r="AA871">
        <v>0.58773463456627395</v>
      </c>
      <c r="AB871">
        <v>0.72395448146787622</v>
      </c>
      <c r="AC871">
        <v>0.75388053304934011</v>
      </c>
      <c r="AD871">
        <v>0.56500586784412599</v>
      </c>
      <c r="AE871">
        <v>117.92558110704485</v>
      </c>
      <c r="AF871">
        <v>1029.7914006160349</v>
      </c>
      <c r="AG871">
        <v>2094.2746984085197</v>
      </c>
      <c r="AH871">
        <v>17119.858798353176</v>
      </c>
      <c r="AI871">
        <v>9066.5883659977844</v>
      </c>
      <c r="AJ871">
        <v>45488.208042007434</v>
      </c>
      <c r="AK871">
        <v>13467.230700386224</v>
      </c>
      <c r="AL871">
        <v>1943.3571628861121</v>
      </c>
      <c r="AM871">
        <v>436.53528398031779</v>
      </c>
      <c r="AO871">
        <v>45398.609120765359</v>
      </c>
      <c r="AP871">
        <v>12.136932205971339</v>
      </c>
      <c r="AQ871">
        <v>47276.584530366148</v>
      </c>
      <c r="AR871">
        <v>12.190055846650166</v>
      </c>
      <c r="AS871" s="2">
        <f t="shared" si="92"/>
        <v>1877.9754096007891</v>
      </c>
      <c r="AT871" s="2">
        <f t="shared" si="93"/>
        <v>5.3123640678826689E-2</v>
      </c>
      <c r="AV871">
        <f t="shared" si="94"/>
        <v>1168294.6114763685</v>
      </c>
      <c r="AW871">
        <f t="shared" si="95"/>
        <v>1171729.0001346504</v>
      </c>
      <c r="AY871">
        <f t="shared" si="96"/>
        <v>0</v>
      </c>
      <c r="AZ871">
        <f t="shared" si="97"/>
        <v>1</v>
      </c>
    </row>
    <row r="872" spans="1:52" x14ac:dyDescent="0.2">
      <c r="A872">
        <f t="shared" si="91"/>
        <v>868</v>
      </c>
      <c r="B872">
        <v>3.0037467159872766E-2</v>
      </c>
      <c r="C872">
        <v>4.4027607684468339E-2</v>
      </c>
      <c r="D872">
        <v>3.7489524394337295E-2</v>
      </c>
      <c r="E872">
        <v>5.8424759057440351E-3</v>
      </c>
      <c r="F872">
        <v>3.3807394158248405E-3</v>
      </c>
      <c r="G872">
        <v>8.7931513600210398E-3</v>
      </c>
      <c r="H872">
        <v>4.2744674600082799E-2</v>
      </c>
      <c r="I872">
        <v>0.12090369569277068</v>
      </c>
      <c r="J872">
        <v>0</v>
      </c>
      <c r="K872">
        <v>0.39000817920612685</v>
      </c>
      <c r="L872">
        <v>0.23899952694252102</v>
      </c>
      <c r="M872">
        <v>0.76100047305747898</v>
      </c>
      <c r="N872">
        <v>9.4449740613300803E-2</v>
      </c>
      <c r="O872" s="72">
        <v>0.95634679590772309</v>
      </c>
      <c r="P872">
        <v>0.9994892490179671</v>
      </c>
      <c r="Q872">
        <v>0.86491428820375726</v>
      </c>
      <c r="R872">
        <v>0.44148997493364861</v>
      </c>
      <c r="S872">
        <v>0.32436378819127287</v>
      </c>
      <c r="T872">
        <v>0.25114886911365697</v>
      </c>
      <c r="U872">
        <v>0.75074608535553211</v>
      </c>
      <c r="V872">
        <v>0.66998879584206228</v>
      </c>
      <c r="W872">
        <v>0.67387737401986048</v>
      </c>
      <c r="X872">
        <v>0.44315300338497071</v>
      </c>
      <c r="Y872">
        <v>0.49514282232643303</v>
      </c>
      <c r="Z872">
        <v>0.44865556689908737</v>
      </c>
      <c r="AA872">
        <v>0.67807252721166689</v>
      </c>
      <c r="AB872">
        <v>0.7916932060018409</v>
      </c>
      <c r="AC872">
        <v>0.76531759517725062</v>
      </c>
      <c r="AD872">
        <v>0.58084588773774759</v>
      </c>
      <c r="AE872">
        <v>257.84897763308533</v>
      </c>
      <c r="AF872">
        <v>1089.6319728091223</v>
      </c>
      <c r="AG872">
        <v>1945.9763662090841</v>
      </c>
      <c r="AH872">
        <v>10887.751152562674</v>
      </c>
      <c r="AI872">
        <v>13219.95714435536</v>
      </c>
      <c r="AJ872">
        <v>34343.978006291305</v>
      </c>
      <c r="AK872">
        <v>16209.655484176463</v>
      </c>
      <c r="AL872">
        <v>1841.2857046371571</v>
      </c>
      <c r="AM872">
        <v>340.694958409945</v>
      </c>
      <c r="AO872">
        <v>46011.771430003799</v>
      </c>
      <c r="AP872">
        <v>13.026539537430734</v>
      </c>
      <c r="AQ872">
        <v>46463.095035496452</v>
      </c>
      <c r="AR872">
        <v>13.166563842185456</v>
      </c>
      <c r="AS872" s="2">
        <f t="shared" si="92"/>
        <v>451.32360549265286</v>
      </c>
      <c r="AT872" s="2">
        <f t="shared" si="93"/>
        <v>0.14002430475472138</v>
      </c>
      <c r="AV872">
        <f t="shared" si="94"/>
        <v>1256642.1823130697</v>
      </c>
      <c r="AW872">
        <f t="shared" si="95"/>
        <v>1270193.2891830492</v>
      </c>
      <c r="AY872">
        <f t="shared" si="96"/>
        <v>0</v>
      </c>
      <c r="AZ872">
        <f t="shared" si="97"/>
        <v>1</v>
      </c>
    </row>
    <row r="873" spans="1:52" x14ac:dyDescent="0.2">
      <c r="A873">
        <f t="shared" si="91"/>
        <v>869</v>
      </c>
      <c r="B873">
        <v>2.5027106442678249E-2</v>
      </c>
      <c r="C873">
        <v>3.6894477270193349E-2</v>
      </c>
      <c r="D873">
        <v>5.0760160980657831E-2</v>
      </c>
      <c r="E873">
        <v>8.7253652410608975E-3</v>
      </c>
      <c r="F873">
        <v>3.2499454982105398E-3</v>
      </c>
      <c r="G873">
        <v>1.2405745297057624E-2</v>
      </c>
      <c r="H873">
        <v>1.8889989077163879E-2</v>
      </c>
      <c r="I873">
        <v>0.13766117285828028</v>
      </c>
      <c r="J873">
        <v>0</v>
      </c>
      <c r="K873">
        <v>0.46870665638057718</v>
      </c>
      <c r="L873">
        <v>0.29461734408871809</v>
      </c>
      <c r="M873">
        <v>0.70538265591128191</v>
      </c>
      <c r="N873">
        <v>5.5543126097964482E-2</v>
      </c>
      <c r="O873" s="72">
        <v>0.97324683426874004</v>
      </c>
      <c r="P873">
        <v>0.95800882816160571</v>
      </c>
      <c r="Q873">
        <v>0.94253335904080238</v>
      </c>
      <c r="R873">
        <v>0.45083033761140578</v>
      </c>
      <c r="S873">
        <v>0.40463529546849664</v>
      </c>
      <c r="T873">
        <v>0.28678311367577047</v>
      </c>
      <c r="U873">
        <v>0.73759393846572596</v>
      </c>
      <c r="V873">
        <v>0.59964853233292481</v>
      </c>
      <c r="W873">
        <v>0.60442508908753534</v>
      </c>
      <c r="X873">
        <v>0.44461251269105873</v>
      </c>
      <c r="Y873">
        <v>0.44192804423334892</v>
      </c>
      <c r="Z873">
        <v>0.46935552930148616</v>
      </c>
      <c r="AA873">
        <v>0.66707187427933212</v>
      </c>
      <c r="AB873">
        <v>0.81827425899486972</v>
      </c>
      <c r="AC873">
        <v>0.70047291626331776</v>
      </c>
      <c r="AD873">
        <v>0.65401202499516475</v>
      </c>
      <c r="AE873">
        <v>205.84977225824679</v>
      </c>
      <c r="AF873">
        <v>936.30836188517003</v>
      </c>
      <c r="AG873">
        <v>2005.4694452830674</v>
      </c>
      <c r="AH873">
        <v>10339.264481146483</v>
      </c>
      <c r="AI873">
        <v>16575.125210837479</v>
      </c>
      <c r="AJ873">
        <v>41885.900385545159</v>
      </c>
      <c r="AK873">
        <v>13138.449831058637</v>
      </c>
      <c r="AL873">
        <v>1838.0852517723213</v>
      </c>
      <c r="AM873">
        <v>348.55094502832605</v>
      </c>
      <c r="AO873">
        <v>43579.536633749361</v>
      </c>
      <c r="AP873">
        <v>13.291718565073406</v>
      </c>
      <c r="AQ873">
        <v>47436.551416903079</v>
      </c>
      <c r="AR873">
        <v>13.513699573755106</v>
      </c>
      <c r="AS873" s="2">
        <f t="shared" si="92"/>
        <v>3857.0147831537179</v>
      </c>
      <c r="AT873" s="2">
        <f t="shared" si="93"/>
        <v>0.22198100868170023</v>
      </c>
      <c r="AV873">
        <f t="shared" si="94"/>
        <v>1285592.3198735914</v>
      </c>
      <c r="AW873">
        <f t="shared" si="95"/>
        <v>1303933.4059586076</v>
      </c>
      <c r="AY873">
        <f t="shared" si="96"/>
        <v>0</v>
      </c>
      <c r="AZ873">
        <f t="shared" si="97"/>
        <v>1</v>
      </c>
    </row>
    <row r="874" spans="1:52" x14ac:dyDescent="0.2">
      <c r="A874">
        <f t="shared" si="91"/>
        <v>870</v>
      </c>
      <c r="B874">
        <v>1.9592820981444208E-2</v>
      </c>
      <c r="C874">
        <v>3.4503001762261502E-2</v>
      </c>
      <c r="D874">
        <v>3.500769946236576E-2</v>
      </c>
      <c r="E874">
        <v>8.8649507480798202E-3</v>
      </c>
      <c r="F874">
        <v>3.2276060113619232E-3</v>
      </c>
      <c r="G874">
        <v>1.5768252887509604E-2</v>
      </c>
      <c r="H874">
        <v>3.1280974023217833E-2</v>
      </c>
      <c r="I874">
        <v>0.12557524439881507</v>
      </c>
      <c r="J874">
        <v>0</v>
      </c>
      <c r="K874">
        <v>0.46482943843527658</v>
      </c>
      <c r="L874">
        <v>0.26878341742535194</v>
      </c>
      <c r="M874">
        <v>0.73121658257464806</v>
      </c>
      <c r="N874">
        <v>6.6470617872614324E-2</v>
      </c>
      <c r="O874" s="72">
        <v>0.97010496708020966</v>
      </c>
      <c r="P874">
        <v>0.98897836889930901</v>
      </c>
      <c r="Q874">
        <v>0.98288459410779061</v>
      </c>
      <c r="R874">
        <v>0.4593941350767361</v>
      </c>
      <c r="S874">
        <v>0.37282966217270741</v>
      </c>
      <c r="T874">
        <v>0.2867037372779665</v>
      </c>
      <c r="U874">
        <v>0.77228191675583069</v>
      </c>
      <c r="V874">
        <v>0.62659830162286423</v>
      </c>
      <c r="W874">
        <v>0.54911187391142768</v>
      </c>
      <c r="X874">
        <v>0.41771324466934756</v>
      </c>
      <c r="Y874">
        <v>0.40329205211418495</v>
      </c>
      <c r="Z874">
        <v>0.4137147059528215</v>
      </c>
      <c r="AA874">
        <v>0.6988745404997615</v>
      </c>
      <c r="AB874">
        <v>0.84393285548444064</v>
      </c>
      <c r="AC874">
        <v>0.74963777504472628</v>
      </c>
      <c r="AD874">
        <v>0.6306656750890387</v>
      </c>
      <c r="AE874">
        <v>199.44705870006635</v>
      </c>
      <c r="AF874">
        <v>928.83211095859667</v>
      </c>
      <c r="AG874">
        <v>1281.4548682018331</v>
      </c>
      <c r="AH874">
        <v>14341.181376899058</v>
      </c>
      <c r="AI874">
        <v>9994.741834826249</v>
      </c>
      <c r="AJ874">
        <v>37861.473064271166</v>
      </c>
      <c r="AK874">
        <v>13071.169328848797</v>
      </c>
      <c r="AL874">
        <v>1215.9662479676711</v>
      </c>
      <c r="AM874">
        <v>360.06275136772717</v>
      </c>
      <c r="AO874">
        <v>43586.321587015926</v>
      </c>
      <c r="AP874">
        <v>13.736364147197206</v>
      </c>
      <c r="AQ874">
        <v>46491.532364598766</v>
      </c>
      <c r="AR874">
        <v>13.932320268887963</v>
      </c>
      <c r="AS874" s="2">
        <f t="shared" si="92"/>
        <v>2905.2107775828408</v>
      </c>
      <c r="AT874" s="2">
        <f t="shared" si="93"/>
        <v>0.19595612169075771</v>
      </c>
      <c r="AV874">
        <f t="shared" si="94"/>
        <v>1330050.0931327047</v>
      </c>
      <c r="AW874">
        <f t="shared" si="95"/>
        <v>1346740.4945241977</v>
      </c>
      <c r="AY874">
        <f t="shared" si="96"/>
        <v>0</v>
      </c>
      <c r="AZ874">
        <f t="shared" si="97"/>
        <v>1</v>
      </c>
    </row>
    <row r="875" spans="1:52" x14ac:dyDescent="0.2">
      <c r="A875">
        <f t="shared" si="91"/>
        <v>871</v>
      </c>
      <c r="B875">
        <v>3.2847229501690944E-2</v>
      </c>
      <c r="C875">
        <v>2.36611525863786E-2</v>
      </c>
      <c r="D875">
        <v>4.9078100433365579E-2</v>
      </c>
      <c r="E875">
        <v>1.2317465285023532E-2</v>
      </c>
      <c r="F875">
        <v>3.3462380340384401E-3</v>
      </c>
      <c r="G875">
        <v>1.032168501042784E-2</v>
      </c>
      <c r="H875">
        <v>2.7133537022313789E-2</v>
      </c>
      <c r="I875">
        <v>0.11788686079507575</v>
      </c>
      <c r="J875">
        <v>0</v>
      </c>
      <c r="K875">
        <v>0.42061015217682601</v>
      </c>
      <c r="L875">
        <v>0.20786045580997714</v>
      </c>
      <c r="M875">
        <v>0.79213954419002286</v>
      </c>
      <c r="N875">
        <v>6.8129787446362222E-2</v>
      </c>
      <c r="O875" s="72">
        <v>0.99957343048052727</v>
      </c>
      <c r="P875">
        <v>0.97582353879968786</v>
      </c>
      <c r="Q875">
        <v>0.98945270141748543</v>
      </c>
      <c r="R875">
        <v>0.50197864108560597</v>
      </c>
      <c r="S875">
        <v>0.39753828211209741</v>
      </c>
      <c r="T875">
        <v>0.18478531988678193</v>
      </c>
      <c r="U875">
        <v>0.77496295939316817</v>
      </c>
      <c r="V875">
        <v>0.63415308282956517</v>
      </c>
      <c r="W875">
        <v>0.50459379895612966</v>
      </c>
      <c r="X875">
        <v>0.42347405839037217</v>
      </c>
      <c r="Y875">
        <v>0.4805307973917009</v>
      </c>
      <c r="Z875">
        <v>0.47331514925289098</v>
      </c>
      <c r="AA875">
        <v>0.71530398393672223</v>
      </c>
      <c r="AB875">
        <v>0.78885625172494922</v>
      </c>
      <c r="AC875">
        <v>0.72977671133592892</v>
      </c>
      <c r="AD875">
        <v>0.67227762244508238</v>
      </c>
      <c r="AE875">
        <v>205.61811903667717</v>
      </c>
      <c r="AF875">
        <v>1122.8758028257218</v>
      </c>
      <c r="AG875">
        <v>1376.9103206033028</v>
      </c>
      <c r="AH875">
        <v>14275.033856203891</v>
      </c>
      <c r="AI875">
        <v>9742.1922617940363</v>
      </c>
      <c r="AJ875">
        <v>35962.033615666711</v>
      </c>
      <c r="AK875">
        <v>14494.184194943606</v>
      </c>
      <c r="AL875">
        <v>2141.5237929671675</v>
      </c>
      <c r="AM875">
        <v>267.74917372559167</v>
      </c>
      <c r="AO875">
        <v>41942.504922805274</v>
      </c>
      <c r="AP875">
        <v>12.967149066041683</v>
      </c>
      <c r="AQ875">
        <v>45384.160657092994</v>
      </c>
      <c r="AR875">
        <v>13.190141512802439</v>
      </c>
      <c r="AS875" s="2">
        <f t="shared" si="92"/>
        <v>3441.6557342877204</v>
      </c>
      <c r="AT875" s="2">
        <f t="shared" si="93"/>
        <v>0.22299244676075602</v>
      </c>
      <c r="AV875">
        <f t="shared" si="94"/>
        <v>1254772.4016813629</v>
      </c>
      <c r="AW875">
        <f t="shared" si="95"/>
        <v>1273629.990623151</v>
      </c>
      <c r="AY875">
        <f t="shared" si="96"/>
        <v>0</v>
      </c>
      <c r="AZ875">
        <f t="shared" si="97"/>
        <v>1</v>
      </c>
    </row>
    <row r="876" spans="1:52" x14ac:dyDescent="0.2">
      <c r="A876">
        <f t="shared" si="91"/>
        <v>872</v>
      </c>
      <c r="B876">
        <v>1.946455317947253E-2</v>
      </c>
      <c r="C876">
        <v>3.9155066267998917E-2</v>
      </c>
      <c r="D876">
        <v>3.2877406586928969E-2</v>
      </c>
      <c r="E876">
        <v>2.717429519865977E-2</v>
      </c>
      <c r="F876">
        <v>3.1776330770984396E-3</v>
      </c>
      <c r="G876">
        <v>2.791797410138086E-2</v>
      </c>
      <c r="H876">
        <v>2.9233116930745484E-2</v>
      </c>
      <c r="I876">
        <v>0.13244735258700702</v>
      </c>
      <c r="J876">
        <v>0</v>
      </c>
      <c r="K876">
        <v>0.46639858231969278</v>
      </c>
      <c r="L876">
        <v>0.16053735085184168</v>
      </c>
      <c r="M876">
        <v>0.83946264914815827</v>
      </c>
      <c r="N876">
        <v>4.2263402962696831E-2</v>
      </c>
      <c r="O876" s="72">
        <v>0.99777111494466653</v>
      </c>
      <c r="P876">
        <v>0.99207283616680098</v>
      </c>
      <c r="Q876">
        <v>0.97976547906194655</v>
      </c>
      <c r="R876">
        <v>0.44283863101152654</v>
      </c>
      <c r="S876">
        <v>0.44538251888939218</v>
      </c>
      <c r="T876">
        <v>0.27773125019401301</v>
      </c>
      <c r="U876">
        <v>0.74449136708863006</v>
      </c>
      <c r="V876">
        <v>0.64466601446923877</v>
      </c>
      <c r="W876">
        <v>0.64578469631717561</v>
      </c>
      <c r="X876">
        <v>0.45975063927581539</v>
      </c>
      <c r="Y876">
        <v>0.43512911034020829</v>
      </c>
      <c r="Z876">
        <v>0.45672961194054695</v>
      </c>
      <c r="AA876">
        <v>0.71345379986575252</v>
      </c>
      <c r="AB876">
        <v>0.83964259974843802</v>
      </c>
      <c r="AC876">
        <v>0.6892037811991456</v>
      </c>
      <c r="AD876">
        <v>0.56042769513136914</v>
      </c>
      <c r="AE876">
        <v>166.93413050888509</v>
      </c>
      <c r="AF876">
        <v>1111.9809671587095</v>
      </c>
      <c r="AG876">
        <v>1799.3866755542724</v>
      </c>
      <c r="AH876">
        <v>11104.811341938046</v>
      </c>
      <c r="AI876">
        <v>8274.431409678391</v>
      </c>
      <c r="AJ876">
        <v>47275.485524854048</v>
      </c>
      <c r="AK876">
        <v>5899.9820497582796</v>
      </c>
      <c r="AL876">
        <v>1508.434454525199</v>
      </c>
      <c r="AM876">
        <v>338.03806897445281</v>
      </c>
      <c r="AO876">
        <v>43345.303718759336</v>
      </c>
      <c r="AP876">
        <v>13.459844546881241</v>
      </c>
      <c r="AQ876">
        <v>45898.550248725187</v>
      </c>
      <c r="AR876">
        <v>13.668901041206306</v>
      </c>
      <c r="AS876" s="2">
        <f t="shared" si="92"/>
        <v>2553.2465299658506</v>
      </c>
      <c r="AT876" s="2">
        <f t="shared" si="93"/>
        <v>0.20905649432506479</v>
      </c>
      <c r="AV876">
        <f t="shared" si="94"/>
        <v>1302639.1509693647</v>
      </c>
      <c r="AW876">
        <f t="shared" si="95"/>
        <v>1320991.5538719054</v>
      </c>
      <c r="AY876">
        <f t="shared" si="96"/>
        <v>0</v>
      </c>
      <c r="AZ876">
        <f t="shared" si="97"/>
        <v>1</v>
      </c>
    </row>
    <row r="877" spans="1:52" x14ac:dyDescent="0.2">
      <c r="A877">
        <f t="shared" si="91"/>
        <v>873</v>
      </c>
      <c r="B877">
        <v>1.8818981031617027E-2</v>
      </c>
      <c r="C877">
        <v>5.2154013932964371E-2</v>
      </c>
      <c r="D877">
        <v>3.9626505670743661E-2</v>
      </c>
      <c r="E877">
        <v>1.4753385006797681E-2</v>
      </c>
      <c r="F877">
        <v>3.3621338993221617E-3</v>
      </c>
      <c r="G877">
        <v>1.8522233646308783E-2</v>
      </c>
      <c r="H877">
        <v>3.4846617607723673E-2</v>
      </c>
      <c r="I877">
        <v>0.11800551204532726</v>
      </c>
      <c r="J877">
        <v>0</v>
      </c>
      <c r="K877">
        <v>0.42405033745600135</v>
      </c>
      <c r="L877">
        <v>0.19728751699786551</v>
      </c>
      <c r="M877">
        <v>0.80271248300213449</v>
      </c>
      <c r="N877">
        <v>4.7224012962983647E-2</v>
      </c>
      <c r="O877" s="72">
        <v>0.9992198931909233</v>
      </c>
      <c r="P877">
        <v>0.99619561566774706</v>
      </c>
      <c r="Q877">
        <v>0.99295615150922789</v>
      </c>
      <c r="R877">
        <v>0.50242667403425467</v>
      </c>
      <c r="S877">
        <v>0.3849875501925053</v>
      </c>
      <c r="T877">
        <v>0.32605787232865391</v>
      </c>
      <c r="U877">
        <v>0.80692475304032096</v>
      </c>
      <c r="V877">
        <v>0.64086633456112929</v>
      </c>
      <c r="W877">
        <v>0.59635520909431738</v>
      </c>
      <c r="X877">
        <v>0.43475513552872991</v>
      </c>
      <c r="Y877">
        <v>0.45943259321035579</v>
      </c>
      <c r="Z877">
        <v>0.45307871117870024</v>
      </c>
      <c r="AA877">
        <v>0.66599635321847361</v>
      </c>
      <c r="AB877">
        <v>0.7801137789822522</v>
      </c>
      <c r="AC877">
        <v>0.6561880513015983</v>
      </c>
      <c r="AD877">
        <v>0.58596786010277002</v>
      </c>
      <c r="AE877">
        <v>224.79073950924248</v>
      </c>
      <c r="AF877">
        <v>976.69704416022421</v>
      </c>
      <c r="AG877">
        <v>1797.8625758696792</v>
      </c>
      <c r="AH877">
        <v>15595.74126685312</v>
      </c>
      <c r="AI877">
        <v>9392.5170923305668</v>
      </c>
      <c r="AJ877">
        <v>36535.364507225313</v>
      </c>
      <c r="AK877">
        <v>11491.690796800876</v>
      </c>
      <c r="AL877">
        <v>1004.2238543791134</v>
      </c>
      <c r="AM877">
        <v>301.84982199356875</v>
      </c>
      <c r="AO877">
        <v>40147.119821537861</v>
      </c>
      <c r="AP877">
        <v>12.739891082209612</v>
      </c>
      <c r="AQ877">
        <v>45308.016249791428</v>
      </c>
      <c r="AR877">
        <v>12.819266859837983</v>
      </c>
      <c r="AS877" s="2">
        <f t="shared" si="92"/>
        <v>5160.8964282535671</v>
      </c>
      <c r="AT877" s="2">
        <f t="shared" si="93"/>
        <v>7.9375777628371225E-2</v>
      </c>
      <c r="AV877">
        <f t="shared" si="94"/>
        <v>1233841.9883994234</v>
      </c>
      <c r="AW877">
        <f t="shared" si="95"/>
        <v>1236618.6697340067</v>
      </c>
      <c r="AY877">
        <f t="shared" si="96"/>
        <v>0</v>
      </c>
      <c r="AZ877">
        <f t="shared" si="97"/>
        <v>1</v>
      </c>
    </row>
    <row r="878" spans="1:52" x14ac:dyDescent="0.2">
      <c r="A878">
        <f t="shared" si="91"/>
        <v>874</v>
      </c>
      <c r="B878">
        <v>2.9154187034592161E-2</v>
      </c>
      <c r="C878">
        <v>4.7167102762874613E-2</v>
      </c>
      <c r="D878">
        <v>4.9625760280244902E-2</v>
      </c>
      <c r="E878">
        <v>2.5030804538073492E-2</v>
      </c>
      <c r="F878">
        <v>3.2485921717111551E-3</v>
      </c>
      <c r="G878">
        <v>2.6177054824762513E-2</v>
      </c>
      <c r="H878">
        <v>2.2548649372911751E-2</v>
      </c>
      <c r="I878">
        <v>0.13300487093489788</v>
      </c>
      <c r="J878">
        <v>0</v>
      </c>
      <c r="K878">
        <v>0.41881472044700191</v>
      </c>
      <c r="L878">
        <v>0.26474782728193547</v>
      </c>
      <c r="M878">
        <v>0.73525217271806453</v>
      </c>
      <c r="N878">
        <v>6.4335021380432456E-2</v>
      </c>
      <c r="O878" s="72">
        <v>0.9982516307240672</v>
      </c>
      <c r="P878">
        <v>0.99987814204362369</v>
      </c>
      <c r="Q878">
        <v>0.95865066914567199</v>
      </c>
      <c r="R878">
        <v>0.43577640496137537</v>
      </c>
      <c r="S878">
        <v>0.45864109280539267</v>
      </c>
      <c r="T878">
        <v>7.5193926024659019E-2</v>
      </c>
      <c r="U878">
        <v>0.77002164979102616</v>
      </c>
      <c r="V878">
        <v>0.64565125696763148</v>
      </c>
      <c r="W878">
        <v>0.469862497842991</v>
      </c>
      <c r="X878">
        <v>0.49024284965001697</v>
      </c>
      <c r="Y878">
        <v>0.49202472256202234</v>
      </c>
      <c r="Z878">
        <v>0.43427023174826063</v>
      </c>
      <c r="AA878">
        <v>0.74665707062194375</v>
      </c>
      <c r="AB878">
        <v>0.76701132031565056</v>
      </c>
      <c r="AC878">
        <v>0.65558745939543273</v>
      </c>
      <c r="AD878">
        <v>0.65251364058711925</v>
      </c>
      <c r="AE878">
        <v>180.08347815692713</v>
      </c>
      <c r="AF878">
        <v>871.05906893085694</v>
      </c>
      <c r="AG878">
        <v>1531.2101589971587</v>
      </c>
      <c r="AH878">
        <v>11996.59914328151</v>
      </c>
      <c r="AI878">
        <v>11190.009949074278</v>
      </c>
      <c r="AJ878">
        <v>39426.438909694814</v>
      </c>
      <c r="AK878">
        <v>15053.911195137225</v>
      </c>
      <c r="AL878">
        <v>2026.1216827685137</v>
      </c>
      <c r="AM878">
        <v>403.75532433947211</v>
      </c>
      <c r="AO878">
        <v>50229.445333913623</v>
      </c>
      <c r="AP878">
        <v>12.346056349758944</v>
      </c>
      <c r="AQ878">
        <v>46747.852605044951</v>
      </c>
      <c r="AR878">
        <v>12.725356132829923</v>
      </c>
      <c r="AS878" s="2">
        <f t="shared" si="92"/>
        <v>-3481.5927288686726</v>
      </c>
      <c r="AT878" s="2">
        <f t="shared" si="93"/>
        <v>0.37929978307097834</v>
      </c>
      <c r="AV878">
        <f t="shared" si="94"/>
        <v>1184376.1896419807</v>
      </c>
      <c r="AW878">
        <f t="shared" si="95"/>
        <v>1225787.7606779474</v>
      </c>
      <c r="AY878">
        <f t="shared" si="96"/>
        <v>0</v>
      </c>
      <c r="AZ878">
        <f t="shared" si="97"/>
        <v>1</v>
      </c>
    </row>
    <row r="879" spans="1:52" x14ac:dyDescent="0.2">
      <c r="A879">
        <f t="shared" si="91"/>
        <v>875</v>
      </c>
      <c r="B879">
        <v>2.4376405039601919E-2</v>
      </c>
      <c r="C879">
        <v>5.2112246041345012E-2</v>
      </c>
      <c r="D879">
        <v>4.5030664410062204E-2</v>
      </c>
      <c r="E879">
        <v>1.3920475472193772E-2</v>
      </c>
      <c r="F879">
        <v>3.2437770191652243E-3</v>
      </c>
      <c r="G879">
        <v>3.4152581027800336E-3</v>
      </c>
      <c r="H879">
        <v>4.1106562823572612E-2</v>
      </c>
      <c r="I879">
        <v>0.1289521265020129</v>
      </c>
      <c r="J879">
        <v>0</v>
      </c>
      <c r="K879">
        <v>0.43067874839483733</v>
      </c>
      <c r="L879">
        <v>0.21138997249590818</v>
      </c>
      <c r="M879">
        <v>0.78861002750409182</v>
      </c>
      <c r="N879">
        <v>6.9854827783982332E-2</v>
      </c>
      <c r="O879" s="72">
        <v>0.9989873107595344</v>
      </c>
      <c r="P879">
        <v>0.99946759838531707</v>
      </c>
      <c r="Q879">
        <v>0.95990254483108028</v>
      </c>
      <c r="R879">
        <v>0.43496910426611812</v>
      </c>
      <c r="S879">
        <v>0.41795286781077012</v>
      </c>
      <c r="T879">
        <v>0.14419797437701887</v>
      </c>
      <c r="U879">
        <v>0.79115355075611415</v>
      </c>
      <c r="V879">
        <v>0.65755861803093429</v>
      </c>
      <c r="W879">
        <v>0.56054190126113435</v>
      </c>
      <c r="X879">
        <v>0.45290540609619834</v>
      </c>
      <c r="Y879">
        <v>0.46154898096347097</v>
      </c>
      <c r="Z879">
        <v>0.39205659355223654</v>
      </c>
      <c r="AA879">
        <v>0.68214508011224506</v>
      </c>
      <c r="AB879">
        <v>0.69180538322745611</v>
      </c>
      <c r="AC879">
        <v>0.69659559819215</v>
      </c>
      <c r="AD879">
        <v>0.52831160580607306</v>
      </c>
      <c r="AE879">
        <v>205.5226114055591</v>
      </c>
      <c r="AF879">
        <v>996.17533683450824</v>
      </c>
      <c r="AG879">
        <v>2062.018712114369</v>
      </c>
      <c r="AH879">
        <v>15142.440513961132</v>
      </c>
      <c r="AI879">
        <v>9205.7536097630236</v>
      </c>
      <c r="AJ879">
        <v>35877.158919464651</v>
      </c>
      <c r="AK879">
        <v>15953.155976752965</v>
      </c>
      <c r="AL879">
        <v>1664.8580714735319</v>
      </c>
      <c r="AM879">
        <v>366.19667047969853</v>
      </c>
      <c r="AO879">
        <v>48266.978001625474</v>
      </c>
      <c r="AP879">
        <v>11.553976378176802</v>
      </c>
      <c r="AQ879">
        <v>46325.197895250152</v>
      </c>
      <c r="AR879">
        <v>11.588610983575302</v>
      </c>
      <c r="AS879" s="2">
        <f t="shared" si="92"/>
        <v>-1941.7801063753213</v>
      </c>
      <c r="AT879" s="2">
        <f t="shared" si="93"/>
        <v>3.4634605398499829E-2</v>
      </c>
      <c r="AV879">
        <f t="shared" si="94"/>
        <v>1107130.6598160546</v>
      </c>
      <c r="AW879">
        <f t="shared" si="95"/>
        <v>1112535.9004622803</v>
      </c>
      <c r="AY879">
        <f t="shared" si="96"/>
        <v>0</v>
      </c>
      <c r="AZ879">
        <f t="shared" si="97"/>
        <v>1</v>
      </c>
    </row>
    <row r="880" spans="1:52" x14ac:dyDescent="0.2">
      <c r="A880">
        <f t="shared" si="91"/>
        <v>876</v>
      </c>
      <c r="B880">
        <v>2.6275872016402801E-2</v>
      </c>
      <c r="C880">
        <v>3.8840566320318293E-2</v>
      </c>
      <c r="D880">
        <v>7.0300095749155633E-2</v>
      </c>
      <c r="E880">
        <v>9.3216537094291205E-3</v>
      </c>
      <c r="F880">
        <v>3.3653462658571609E-3</v>
      </c>
      <c r="G880">
        <v>3.9418470640914527E-3</v>
      </c>
      <c r="H880">
        <v>4.2547535910983036E-2</v>
      </c>
      <c r="I880">
        <v>0.11412492191980905</v>
      </c>
      <c r="J880">
        <v>0</v>
      </c>
      <c r="K880">
        <v>0.40600227287989399</v>
      </c>
      <c r="L880">
        <v>0.20643046892214945</v>
      </c>
      <c r="M880">
        <v>0.79356953107785055</v>
      </c>
      <c r="N880">
        <v>6.7418731205865501E-2</v>
      </c>
      <c r="O880" s="72">
        <v>0.9903187350559387</v>
      </c>
      <c r="P880">
        <v>0.99946644818383412</v>
      </c>
      <c r="Q880">
        <v>0.99597733897758456</v>
      </c>
      <c r="R880">
        <v>0.45543086981788261</v>
      </c>
      <c r="S880">
        <v>0.36352844351518443</v>
      </c>
      <c r="T880">
        <v>0.25199923883045483</v>
      </c>
      <c r="U880">
        <v>0.76575162251005746</v>
      </c>
      <c r="V880">
        <v>0.60795297541969062</v>
      </c>
      <c r="W880">
        <v>0.52346278294576409</v>
      </c>
      <c r="X880">
        <v>0.41855040508048347</v>
      </c>
      <c r="Y880">
        <v>0.42363601358078751</v>
      </c>
      <c r="Z880">
        <v>0.51462445567139581</v>
      </c>
      <c r="AA880">
        <v>0.65077201815878893</v>
      </c>
      <c r="AB880">
        <v>0.81298360286578097</v>
      </c>
      <c r="AC880">
        <v>0.72926173840951258</v>
      </c>
      <c r="AD880">
        <v>0.64803404717725988</v>
      </c>
      <c r="AE880">
        <v>188.89829047117797</v>
      </c>
      <c r="AF880">
        <v>1149.2116160541025</v>
      </c>
      <c r="AG880">
        <v>1383.2797102867451</v>
      </c>
      <c r="AH880">
        <v>15474.287510924187</v>
      </c>
      <c r="AI880">
        <v>13850.828493794223</v>
      </c>
      <c r="AJ880">
        <v>40550.296571783147</v>
      </c>
      <c r="AK880">
        <v>10914.236799292985</v>
      </c>
      <c r="AL880">
        <v>1692.8562177014805</v>
      </c>
      <c r="AM880">
        <v>534.80968939704121</v>
      </c>
      <c r="AO880">
        <v>47535.590953673949</v>
      </c>
      <c r="AP880">
        <v>13.245073371840196</v>
      </c>
      <c r="AQ880">
        <v>48864.417046131442</v>
      </c>
      <c r="AR880">
        <v>13.492168926877902</v>
      </c>
      <c r="AS880" s="2">
        <f t="shared" si="92"/>
        <v>1328.8260924574934</v>
      </c>
      <c r="AT880" s="2">
        <f t="shared" si="93"/>
        <v>0.2470955550377063</v>
      </c>
      <c r="AV880">
        <f t="shared" si="94"/>
        <v>1276971.7462303457</v>
      </c>
      <c r="AW880">
        <f t="shared" si="95"/>
        <v>1300352.4756416588</v>
      </c>
      <c r="AY880">
        <f t="shared" si="96"/>
        <v>0</v>
      </c>
      <c r="AZ880">
        <f t="shared" si="97"/>
        <v>1</v>
      </c>
    </row>
    <row r="881" spans="1:52" x14ac:dyDescent="0.2">
      <c r="A881">
        <f t="shared" si="91"/>
        <v>877</v>
      </c>
      <c r="B881">
        <v>1.4776392865175646E-2</v>
      </c>
      <c r="C881">
        <v>3.7343450488033447E-2</v>
      </c>
      <c r="D881">
        <v>3.6670586932579984E-2</v>
      </c>
      <c r="E881">
        <v>1.626591157824131E-2</v>
      </c>
      <c r="F881">
        <v>3.2884298340810528E-3</v>
      </c>
      <c r="G881">
        <v>9.8512421619432154E-3</v>
      </c>
      <c r="H881">
        <v>5.4709621106271977E-2</v>
      </c>
      <c r="I881">
        <v>0.11577993512563664</v>
      </c>
      <c r="J881">
        <v>0</v>
      </c>
      <c r="K881">
        <v>0.466903935832929</v>
      </c>
      <c r="L881">
        <v>0.21449966608502247</v>
      </c>
      <c r="M881">
        <v>0.78550033391497753</v>
      </c>
      <c r="N881">
        <v>5.1866433815315187E-2</v>
      </c>
      <c r="O881" s="72">
        <v>0.99998143895282221</v>
      </c>
      <c r="P881">
        <v>0.95830703888301505</v>
      </c>
      <c r="Q881">
        <v>0.99003972937722162</v>
      </c>
      <c r="R881">
        <v>0.45558769575828939</v>
      </c>
      <c r="S881">
        <v>0.39158533905754977</v>
      </c>
      <c r="T881">
        <v>0.10986375364275136</v>
      </c>
      <c r="U881">
        <v>0.77219326140155597</v>
      </c>
      <c r="V881">
        <v>0.64756246333638967</v>
      </c>
      <c r="W881">
        <v>0.51761576359395023</v>
      </c>
      <c r="X881">
        <v>0.42435807279782745</v>
      </c>
      <c r="Y881">
        <v>0.44761845221366969</v>
      </c>
      <c r="Z881">
        <v>0.51262353525118876</v>
      </c>
      <c r="AA881">
        <v>0.70154180669609123</v>
      </c>
      <c r="AB881">
        <v>0.77007279679265983</v>
      </c>
      <c r="AC881">
        <v>0.6339658815030661</v>
      </c>
      <c r="AD881">
        <v>0.57894979764867005</v>
      </c>
      <c r="AE881">
        <v>153.38494299903999</v>
      </c>
      <c r="AF881">
        <v>984.36587924853586</v>
      </c>
      <c r="AG881">
        <v>1989.6652118940049</v>
      </c>
      <c r="AH881">
        <v>14227.443520549918</v>
      </c>
      <c r="AI881">
        <v>13465.410772598581</v>
      </c>
      <c r="AJ881">
        <v>41391.577285603125</v>
      </c>
      <c r="AK881">
        <v>20382.474722459585</v>
      </c>
      <c r="AL881">
        <v>2991.4948588732877</v>
      </c>
      <c r="AM881">
        <v>377.22659616336631</v>
      </c>
      <c r="AO881">
        <v>48752.925357819651</v>
      </c>
      <c r="AP881">
        <v>12.445142374598737</v>
      </c>
      <c r="AQ881">
        <v>47671.968937496094</v>
      </c>
      <c r="AR881">
        <v>12.630325050377619</v>
      </c>
      <c r="AS881" s="2">
        <f t="shared" si="92"/>
        <v>-1080.9564203235568</v>
      </c>
      <c r="AT881" s="2">
        <f t="shared" si="93"/>
        <v>0.18518267577888281</v>
      </c>
      <c r="AV881">
        <f t="shared" si="94"/>
        <v>1195761.3121020538</v>
      </c>
      <c r="AW881">
        <f t="shared" si="95"/>
        <v>1215360.5361002658</v>
      </c>
      <c r="AY881">
        <f t="shared" si="96"/>
        <v>0</v>
      </c>
      <c r="AZ881">
        <f t="shared" si="97"/>
        <v>1</v>
      </c>
    </row>
    <row r="882" spans="1:52" x14ac:dyDescent="0.2">
      <c r="A882">
        <f t="shared" si="91"/>
        <v>878</v>
      </c>
      <c r="B882">
        <v>2.8652822111220222E-2</v>
      </c>
      <c r="C882">
        <v>5.0350160806175492E-2</v>
      </c>
      <c r="D882">
        <v>5.8931025330326903E-2</v>
      </c>
      <c r="E882">
        <v>1.0130419115124726E-2</v>
      </c>
      <c r="F882">
        <v>3.2715649931707256E-3</v>
      </c>
      <c r="G882">
        <v>8.3910235271954531E-3</v>
      </c>
      <c r="H882">
        <v>2.3642940227637139E-2</v>
      </c>
      <c r="I882">
        <v>0.13506490697481466</v>
      </c>
      <c r="J882">
        <v>0</v>
      </c>
      <c r="K882">
        <v>0.40793386231162831</v>
      </c>
      <c r="L882">
        <v>0.14811018959407823</v>
      </c>
      <c r="M882">
        <v>0.85188981040592182</v>
      </c>
      <c r="N882">
        <v>7.1610412333320439E-2</v>
      </c>
      <c r="O882" s="72">
        <v>0.99948105741274029</v>
      </c>
      <c r="P882">
        <v>0.9974526744089105</v>
      </c>
      <c r="Q882">
        <v>0.95358456492667543</v>
      </c>
      <c r="R882">
        <v>0.48029442471907635</v>
      </c>
      <c r="S882">
        <v>0.30742722213924789</v>
      </c>
      <c r="T882">
        <v>0.1917581376493126</v>
      </c>
      <c r="U882">
        <v>0.79155562987097028</v>
      </c>
      <c r="V882">
        <v>0.72413060411346408</v>
      </c>
      <c r="W882">
        <v>0.62786947331605292</v>
      </c>
      <c r="X882">
        <v>0.45167013451537308</v>
      </c>
      <c r="Y882">
        <v>0.48146099300274914</v>
      </c>
      <c r="Z882">
        <v>0.4898204886188614</v>
      </c>
      <c r="AA882">
        <v>0.66431033026914865</v>
      </c>
      <c r="AB882">
        <v>0.87853981211040066</v>
      </c>
      <c r="AC882">
        <v>0.74538408163846681</v>
      </c>
      <c r="AD882">
        <v>0.61339669376935446</v>
      </c>
      <c r="AE882">
        <v>219.80950519503543</v>
      </c>
      <c r="AF882">
        <v>1036.7672206409281</v>
      </c>
      <c r="AG882">
        <v>1630.7662248225131</v>
      </c>
      <c r="AH882">
        <v>13647.352417976819</v>
      </c>
      <c r="AI882">
        <v>7105.4741021338905</v>
      </c>
      <c r="AJ882">
        <v>42325.330740453777</v>
      </c>
      <c r="AK882">
        <v>8721.2779983968558</v>
      </c>
      <c r="AL882">
        <v>1494.3783218469177</v>
      </c>
      <c r="AM882">
        <v>505.68850158803696</v>
      </c>
      <c r="AO882">
        <v>47710.661756501795</v>
      </c>
      <c r="AP882">
        <v>14.104827568864495</v>
      </c>
      <c r="AQ882">
        <v>48537.197126773077</v>
      </c>
      <c r="AR882">
        <v>14.380909770382097</v>
      </c>
      <c r="AS882" s="2">
        <f t="shared" si="92"/>
        <v>826.53537027128186</v>
      </c>
      <c r="AT882" s="2">
        <f t="shared" si="93"/>
        <v>0.27608220151760143</v>
      </c>
      <c r="AV882">
        <f t="shared" si="94"/>
        <v>1362772.0951299479</v>
      </c>
      <c r="AW882">
        <f t="shared" si="95"/>
        <v>1389553.7799114364</v>
      </c>
      <c r="AY882">
        <f t="shared" si="96"/>
        <v>0</v>
      </c>
      <c r="AZ882">
        <f t="shared" si="97"/>
        <v>1</v>
      </c>
    </row>
    <row r="883" spans="1:52" x14ac:dyDescent="0.2">
      <c r="A883">
        <f t="shared" si="91"/>
        <v>879</v>
      </c>
      <c r="B883">
        <v>2.3102056867180459E-2</v>
      </c>
      <c r="C883">
        <v>3.9871418625209265E-2</v>
      </c>
      <c r="D883">
        <v>2.9189180648519737E-2</v>
      </c>
      <c r="E883">
        <v>7.6191749705896306E-3</v>
      </c>
      <c r="F883">
        <v>3.3675891187193718E-3</v>
      </c>
      <c r="G883">
        <v>1.6535734278105174E-2</v>
      </c>
      <c r="H883">
        <v>1.625449284112053E-2</v>
      </c>
      <c r="I883">
        <v>0.11756878124392783</v>
      </c>
      <c r="J883">
        <v>0</v>
      </c>
      <c r="K883">
        <v>0.4458644403133698</v>
      </c>
      <c r="L883">
        <v>0.19332999497555767</v>
      </c>
      <c r="M883">
        <v>0.8066700050244423</v>
      </c>
      <c r="N883">
        <v>7.2912173851244377E-2</v>
      </c>
      <c r="O883" s="72">
        <v>0.99987666782718621</v>
      </c>
      <c r="P883">
        <v>0.99943947017324164</v>
      </c>
      <c r="Q883">
        <v>0.98695042820514356</v>
      </c>
      <c r="R883">
        <v>0.49052828619971411</v>
      </c>
      <c r="S883">
        <v>0.40918151263406455</v>
      </c>
      <c r="T883">
        <v>0.13921164538985609</v>
      </c>
      <c r="U883">
        <v>0.7691997920520921</v>
      </c>
      <c r="V883">
        <v>0.68809899959375076</v>
      </c>
      <c r="W883">
        <v>0.59198215751225336</v>
      </c>
      <c r="X883">
        <v>0.49386068391588556</v>
      </c>
      <c r="Y883">
        <v>0.45588519001210714</v>
      </c>
      <c r="Z883">
        <v>0.42672351579776052</v>
      </c>
      <c r="AA883">
        <v>0.76431550681518279</v>
      </c>
      <c r="AB883">
        <v>0.83159938133826072</v>
      </c>
      <c r="AC883">
        <v>0.71013908086991706</v>
      </c>
      <c r="AD883">
        <v>0.63647402939682873</v>
      </c>
      <c r="AE883">
        <v>224.82188645691832</v>
      </c>
      <c r="AF883">
        <v>1041.5345704884849</v>
      </c>
      <c r="AG883">
        <v>1366.9123189083746</v>
      </c>
      <c r="AH883">
        <v>12349.703876122761</v>
      </c>
      <c r="AI883">
        <v>8831.4181474324305</v>
      </c>
      <c r="AJ883">
        <v>41999.954148951037</v>
      </c>
      <c r="AK883">
        <v>12244.861093840344</v>
      </c>
      <c r="AL883">
        <v>1719.0301163745287</v>
      </c>
      <c r="AM883">
        <v>406.88528787444039</v>
      </c>
      <c r="AO883">
        <v>45859.293944460405</v>
      </c>
      <c r="AP883">
        <v>13.498314945935691</v>
      </c>
      <c r="AQ883">
        <v>46784.881605003924</v>
      </c>
      <c r="AR883">
        <v>13.700439456208208</v>
      </c>
      <c r="AS883" s="2">
        <f t="shared" si="92"/>
        <v>925.58766054351872</v>
      </c>
      <c r="AT883" s="2">
        <f t="shared" si="93"/>
        <v>0.2021245102725171</v>
      </c>
      <c r="AV883">
        <f t="shared" si="94"/>
        <v>1303972.2006491087</v>
      </c>
      <c r="AW883">
        <f t="shared" si="95"/>
        <v>1323259.0640158169</v>
      </c>
      <c r="AY883">
        <f t="shared" si="96"/>
        <v>0</v>
      </c>
      <c r="AZ883">
        <f t="shared" si="97"/>
        <v>1</v>
      </c>
    </row>
    <row r="884" spans="1:52" x14ac:dyDescent="0.2">
      <c r="A884">
        <f t="shared" si="91"/>
        <v>880</v>
      </c>
      <c r="B884">
        <v>2.2448358888922319E-2</v>
      </c>
      <c r="C884">
        <v>4.1862037867980151E-2</v>
      </c>
      <c r="D884">
        <v>3.9219801743578864E-2</v>
      </c>
      <c r="E884">
        <v>4.0247993896964113E-3</v>
      </c>
      <c r="F884">
        <v>3.3115627984217589E-3</v>
      </c>
      <c r="G884">
        <v>7.8102113104830681E-3</v>
      </c>
      <c r="H884">
        <v>3.2113492919836562E-2</v>
      </c>
      <c r="I884">
        <v>0.12367218870983965</v>
      </c>
      <c r="J884">
        <v>0</v>
      </c>
      <c r="K884">
        <v>0.42112688505102863</v>
      </c>
      <c r="L884">
        <v>0.20021344381626974</v>
      </c>
      <c r="M884">
        <v>0.79978655618373029</v>
      </c>
      <c r="N884">
        <v>7.4982995942549535E-2</v>
      </c>
      <c r="O884" s="72">
        <v>0.98413029636571725</v>
      </c>
      <c r="P884">
        <v>0.99607859559393785</v>
      </c>
      <c r="Q884">
        <v>0.96112875128110387</v>
      </c>
      <c r="R884">
        <v>0.47614833202409779</v>
      </c>
      <c r="S884">
        <v>0.31991088880840757</v>
      </c>
      <c r="T884">
        <v>0.22058835848063751</v>
      </c>
      <c r="U884">
        <v>0.79572879171213418</v>
      </c>
      <c r="V884">
        <v>0.60431305451066764</v>
      </c>
      <c r="W884">
        <v>0.52590573146698116</v>
      </c>
      <c r="X884">
        <v>0.51043686456092219</v>
      </c>
      <c r="Y884">
        <v>0.52126105116596744</v>
      </c>
      <c r="Z884">
        <v>0.46905134713775898</v>
      </c>
      <c r="AA884">
        <v>0.69370718287892241</v>
      </c>
      <c r="AB884">
        <v>0.78931213547806944</v>
      </c>
      <c r="AC884">
        <v>0.66742140690438978</v>
      </c>
      <c r="AD884">
        <v>0.62298076156499316</v>
      </c>
      <c r="AE884">
        <v>215.28493391333018</v>
      </c>
      <c r="AF884">
        <v>980.07797866252076</v>
      </c>
      <c r="AG884">
        <v>1981.6275091866323</v>
      </c>
      <c r="AH884">
        <v>12366.819662098394</v>
      </c>
      <c r="AI884">
        <v>9282.3749943066741</v>
      </c>
      <c r="AJ884">
        <v>47283.755346280537</v>
      </c>
      <c r="AK884">
        <v>12040.503770562193</v>
      </c>
      <c r="AL884">
        <v>2223.4839190264183</v>
      </c>
      <c r="AM884">
        <v>404.17587448701704</v>
      </c>
      <c r="AO884">
        <v>45600.90240565985</v>
      </c>
      <c r="AP884">
        <v>12.871646221243305</v>
      </c>
      <c r="AQ884">
        <v>47043.016330565166</v>
      </c>
      <c r="AR884">
        <v>13.018020683240202</v>
      </c>
      <c r="AS884" s="2">
        <f t="shared" si="92"/>
        <v>1442.1139249053158</v>
      </c>
      <c r="AT884" s="2">
        <f t="shared" si="93"/>
        <v>0.14637446199689741</v>
      </c>
      <c r="AV884">
        <f t="shared" si="94"/>
        <v>1241563.7197186705</v>
      </c>
      <c r="AW884">
        <f t="shared" si="95"/>
        <v>1254759.051993455</v>
      </c>
      <c r="AY884">
        <f t="shared" si="96"/>
        <v>0</v>
      </c>
      <c r="AZ884">
        <f t="shared" si="97"/>
        <v>1</v>
      </c>
    </row>
    <row r="885" spans="1:52" x14ac:dyDescent="0.2">
      <c r="A885">
        <f t="shared" si="91"/>
        <v>881</v>
      </c>
      <c r="B885">
        <v>2.3178141886143689E-2</v>
      </c>
      <c r="C885">
        <v>5.7163165560527252E-2</v>
      </c>
      <c r="D885">
        <v>4.1074742363528371E-2</v>
      </c>
      <c r="E885">
        <v>1.0337710545842432E-2</v>
      </c>
      <c r="F885">
        <v>3.3177266797685501E-3</v>
      </c>
      <c r="G885">
        <v>5.9425303681513138E-3</v>
      </c>
      <c r="H885">
        <v>1.1540109954221523E-2</v>
      </c>
      <c r="I885">
        <v>0.11281702288021879</v>
      </c>
      <c r="J885">
        <v>0</v>
      </c>
      <c r="K885">
        <v>0.45712944330327321</v>
      </c>
      <c r="L885">
        <v>0.2077344695390948</v>
      </c>
      <c r="M885">
        <v>0.7922655304609052</v>
      </c>
      <c r="N885">
        <v>5.8757045818387366E-2</v>
      </c>
      <c r="O885" s="72">
        <v>0.99695596842728362</v>
      </c>
      <c r="P885">
        <v>0.9917548357080459</v>
      </c>
      <c r="Q885">
        <v>0.99806328906658537</v>
      </c>
      <c r="R885">
        <v>0.46069762419256666</v>
      </c>
      <c r="S885">
        <v>0.40211282935660708</v>
      </c>
      <c r="T885">
        <v>0.22437653924286538</v>
      </c>
      <c r="U885">
        <v>0.78512200013182676</v>
      </c>
      <c r="V885">
        <v>0.6134486662098827</v>
      </c>
      <c r="W885">
        <v>0.52754620794149099</v>
      </c>
      <c r="X885">
        <v>0.39231084871962341</v>
      </c>
      <c r="Y885">
        <v>0.4160169504027097</v>
      </c>
      <c r="Z885">
        <v>0.44728505041549876</v>
      </c>
      <c r="AA885">
        <v>0.65418914712318166</v>
      </c>
      <c r="AB885">
        <v>0.8680993271092059</v>
      </c>
      <c r="AC885">
        <v>0.64380135815257422</v>
      </c>
      <c r="AD885">
        <v>0.57689559253875056</v>
      </c>
      <c r="AE885">
        <v>170.94638891260016</v>
      </c>
      <c r="AF885">
        <v>1164.0611748621927</v>
      </c>
      <c r="AG885">
        <v>1706.5984109145497</v>
      </c>
      <c r="AH885">
        <v>11318.25590557541</v>
      </c>
      <c r="AI885">
        <v>12784.859628614166</v>
      </c>
      <c r="AJ885">
        <v>39668.635528300605</v>
      </c>
      <c r="AK885">
        <v>16736.531001453273</v>
      </c>
      <c r="AL885">
        <v>1915.8882002727046</v>
      </c>
      <c r="AM885">
        <v>361.03573682810207</v>
      </c>
      <c r="AO885">
        <v>44450.205136064666</v>
      </c>
      <c r="AP885">
        <v>13.748076858383095</v>
      </c>
      <c r="AQ885">
        <v>46268.41252260709</v>
      </c>
      <c r="AR885">
        <v>14.002531429704145</v>
      </c>
      <c r="AS885" s="2">
        <f t="shared" si="92"/>
        <v>1818.2073865424245</v>
      </c>
      <c r="AT885" s="2">
        <f t="shared" si="93"/>
        <v>0.25445457132104998</v>
      </c>
      <c r="AV885">
        <f t="shared" si="94"/>
        <v>1330357.4807022449</v>
      </c>
      <c r="AW885">
        <f t="shared" si="95"/>
        <v>1353984.7304478076</v>
      </c>
      <c r="AY885">
        <f t="shared" si="96"/>
        <v>0</v>
      </c>
      <c r="AZ885">
        <f t="shared" si="97"/>
        <v>1</v>
      </c>
    </row>
    <row r="886" spans="1:52" x14ac:dyDescent="0.2">
      <c r="A886">
        <f t="shared" si="91"/>
        <v>882</v>
      </c>
      <c r="B886">
        <v>2.6208453739678839E-2</v>
      </c>
      <c r="C886">
        <v>4.4792042447307057E-2</v>
      </c>
      <c r="D886">
        <v>2.7150192866761014E-2</v>
      </c>
      <c r="E886">
        <v>2.2376952456735433E-2</v>
      </c>
      <c r="F886">
        <v>3.2533549578952661E-3</v>
      </c>
      <c r="G886">
        <v>1.4507893295409802E-2</v>
      </c>
      <c r="H886">
        <v>4.0811346742172461E-2</v>
      </c>
      <c r="I886">
        <v>0.11818009702550836</v>
      </c>
      <c r="J886">
        <v>0</v>
      </c>
      <c r="K886">
        <v>0.40989169347035376</v>
      </c>
      <c r="L886">
        <v>0.23631384665247035</v>
      </c>
      <c r="M886">
        <v>0.76368615334752965</v>
      </c>
      <c r="N886">
        <v>5.593374601804256E-2</v>
      </c>
      <c r="O886" s="72">
        <v>0.96673936424316076</v>
      </c>
      <c r="P886">
        <v>0.99998913560530867</v>
      </c>
      <c r="Q886">
        <v>0.97557167195527572</v>
      </c>
      <c r="R886">
        <v>0.47353276652958864</v>
      </c>
      <c r="S886">
        <v>0.46149189326126161</v>
      </c>
      <c r="T886">
        <v>0.23588327780641904</v>
      </c>
      <c r="U886">
        <v>0.76097571190629654</v>
      </c>
      <c r="V886">
        <v>0.63590766881140925</v>
      </c>
      <c r="W886">
        <v>0.62530384876103395</v>
      </c>
      <c r="X886">
        <v>0.42576190367600475</v>
      </c>
      <c r="Y886">
        <v>0.44492215010825276</v>
      </c>
      <c r="Z886">
        <v>0.48591763204295624</v>
      </c>
      <c r="AA886">
        <v>0.67613429214085397</v>
      </c>
      <c r="AB886">
        <v>0.86177997183030608</v>
      </c>
      <c r="AC886">
        <v>0.69164831786459258</v>
      </c>
      <c r="AD886">
        <v>0.59853450276397502</v>
      </c>
      <c r="AE886">
        <v>147.50408452679378</v>
      </c>
      <c r="AF886">
        <v>1007.8214366147927</v>
      </c>
      <c r="AG886">
        <v>1504.6460557394105</v>
      </c>
      <c r="AH886">
        <v>12358.456934298514</v>
      </c>
      <c r="AI886">
        <v>7776.1563331712305</v>
      </c>
      <c r="AJ886">
        <v>42687.015517654479</v>
      </c>
      <c r="AK886">
        <v>21046.966813790004</v>
      </c>
      <c r="AL886">
        <v>2670.6420092494618</v>
      </c>
      <c r="AM886">
        <v>428.74806712712524</v>
      </c>
      <c r="AO886">
        <v>43591.693059967307</v>
      </c>
      <c r="AP886">
        <v>13.800468921294897</v>
      </c>
      <c r="AQ886">
        <v>47236.639818879761</v>
      </c>
      <c r="AR886">
        <v>14.032768412970324</v>
      </c>
      <c r="AS886" s="2">
        <f t="shared" si="92"/>
        <v>3644.9467589124542</v>
      </c>
      <c r="AT886" s="2">
        <f t="shared" si="93"/>
        <v>0.23229949167542685</v>
      </c>
      <c r="AV886">
        <f t="shared" si="94"/>
        <v>1336455.1990695223</v>
      </c>
      <c r="AW886">
        <f t="shared" si="95"/>
        <v>1356040.2014781525</v>
      </c>
      <c r="AY886">
        <f t="shared" si="96"/>
        <v>0</v>
      </c>
      <c r="AZ886">
        <f t="shared" si="97"/>
        <v>1</v>
      </c>
    </row>
    <row r="887" spans="1:52" x14ac:dyDescent="0.2">
      <c r="A887">
        <f t="shared" si="91"/>
        <v>883</v>
      </c>
      <c r="B887">
        <v>2.6581613001560145E-2</v>
      </c>
      <c r="C887">
        <v>2.8289256059303644E-2</v>
      </c>
      <c r="D887">
        <v>4.8856701575883732E-2</v>
      </c>
      <c r="E887">
        <v>5.2282786687382369E-3</v>
      </c>
      <c r="F887">
        <v>3.2593317805249817E-3</v>
      </c>
      <c r="G887">
        <v>4.3532797072324148E-3</v>
      </c>
      <c r="H887">
        <v>1.8346415979020869E-2</v>
      </c>
      <c r="I887">
        <v>0.11766140832536648</v>
      </c>
      <c r="J887">
        <v>0</v>
      </c>
      <c r="K887">
        <v>0.4580529108879835</v>
      </c>
      <c r="L887">
        <v>0.17119189792358697</v>
      </c>
      <c r="M887">
        <v>0.82880810207641309</v>
      </c>
      <c r="N887">
        <v>3.5272475079572693E-2</v>
      </c>
      <c r="O887" s="72">
        <v>0.99998261536229416</v>
      </c>
      <c r="P887">
        <v>0.99883091331135376</v>
      </c>
      <c r="Q887">
        <v>0.9815135927674572</v>
      </c>
      <c r="R887">
        <v>0.50475303410403916</v>
      </c>
      <c r="S887">
        <v>0.38731291965693793</v>
      </c>
      <c r="T887">
        <v>0.25045639714387469</v>
      </c>
      <c r="U887">
        <v>0.74763315147711895</v>
      </c>
      <c r="V887">
        <v>0.63250613302230874</v>
      </c>
      <c r="W887">
        <v>0.46448928129924483</v>
      </c>
      <c r="X887">
        <v>0.42831088307995474</v>
      </c>
      <c r="Y887">
        <v>0.50823364262576454</v>
      </c>
      <c r="Z887">
        <v>0.42742127040325528</v>
      </c>
      <c r="AA887">
        <v>0.67712996155717442</v>
      </c>
      <c r="AB887">
        <v>0.81829265738917922</v>
      </c>
      <c r="AC887">
        <v>0.68572474641542425</v>
      </c>
      <c r="AD887">
        <v>0.61730841640916334</v>
      </c>
      <c r="AE887">
        <v>225.75613715594355</v>
      </c>
      <c r="AF887">
        <v>1069.8222492024076</v>
      </c>
      <c r="AG887">
        <v>2241.1382355217174</v>
      </c>
      <c r="AH887">
        <v>15236.661360441571</v>
      </c>
      <c r="AI887">
        <v>17150.378253955456</v>
      </c>
      <c r="AJ887">
        <v>34986.534918435114</v>
      </c>
      <c r="AK887">
        <v>27437.665313606842</v>
      </c>
      <c r="AL887">
        <v>1393.7424758521511</v>
      </c>
      <c r="AM887">
        <v>354.1439595937365</v>
      </c>
      <c r="AO887">
        <v>42278.880435132858</v>
      </c>
      <c r="AP887">
        <v>13.231743740122706</v>
      </c>
      <c r="AQ887">
        <v>46147.907427596561</v>
      </c>
      <c r="AR887">
        <v>13.444868762278663</v>
      </c>
      <c r="AS887" s="2">
        <f t="shared" si="92"/>
        <v>3869.0269924637032</v>
      </c>
      <c r="AT887" s="2">
        <f t="shared" si="93"/>
        <v>0.21312502215595686</v>
      </c>
      <c r="AV887">
        <f t="shared" si="94"/>
        <v>1280895.4935771378</v>
      </c>
      <c r="AW887">
        <f t="shared" si="95"/>
        <v>1298338.9688002698</v>
      </c>
      <c r="AY887">
        <f t="shared" si="96"/>
        <v>0</v>
      </c>
      <c r="AZ887">
        <f t="shared" si="97"/>
        <v>1</v>
      </c>
    </row>
    <row r="888" spans="1:52" x14ac:dyDescent="0.2">
      <c r="A888">
        <f t="shared" si="91"/>
        <v>884</v>
      </c>
      <c r="B888">
        <v>1.9876258284982632E-2</v>
      </c>
      <c r="C888">
        <v>4.1598987681368715E-2</v>
      </c>
      <c r="D888">
        <v>2.5617094845838878E-2</v>
      </c>
      <c r="E888">
        <v>1.537206229667043E-2</v>
      </c>
      <c r="F888">
        <v>3.3332062939312717E-3</v>
      </c>
      <c r="G888">
        <v>3.9867094786250681E-3</v>
      </c>
      <c r="H888">
        <v>3.3930958984862314E-2</v>
      </c>
      <c r="I888">
        <v>0.14711966333007653</v>
      </c>
      <c r="J888">
        <v>0</v>
      </c>
      <c r="K888">
        <v>0.4567235914702702</v>
      </c>
      <c r="L888">
        <v>0.23968892480121073</v>
      </c>
      <c r="M888">
        <v>0.76031107519878927</v>
      </c>
      <c r="N888">
        <v>5.5581280322844338E-2</v>
      </c>
      <c r="O888" s="72">
        <v>0.98436747836299232</v>
      </c>
      <c r="P888">
        <v>0.91491710815945759</v>
      </c>
      <c r="Q888">
        <v>0.95703691331752483</v>
      </c>
      <c r="R888">
        <v>0.49937423736634301</v>
      </c>
      <c r="S888">
        <v>0.41337029820193005</v>
      </c>
      <c r="T888">
        <v>0.26754457125589659</v>
      </c>
      <c r="U888">
        <v>0.76661615335428457</v>
      </c>
      <c r="V888">
        <v>0.65243275824274183</v>
      </c>
      <c r="W888">
        <v>0.49375057749286044</v>
      </c>
      <c r="X888">
        <v>0.4546304772248434</v>
      </c>
      <c r="Y888">
        <v>0.49063820413922199</v>
      </c>
      <c r="Z888">
        <v>0.46065911748554056</v>
      </c>
      <c r="AA888">
        <v>0.73971043710496631</v>
      </c>
      <c r="AB888">
        <v>0.79988151395117757</v>
      </c>
      <c r="AC888">
        <v>0.69853160283919769</v>
      </c>
      <c r="AD888">
        <v>0.56963576689822204</v>
      </c>
      <c r="AE888">
        <v>192.29375781279924</v>
      </c>
      <c r="AF888">
        <v>1336.6680607531523</v>
      </c>
      <c r="AG888">
        <v>1398.7582751215677</v>
      </c>
      <c r="AH888">
        <v>16768.166051744032</v>
      </c>
      <c r="AI888">
        <v>11316.082058676779</v>
      </c>
      <c r="AJ888">
        <v>41729.827238647063</v>
      </c>
      <c r="AK888">
        <v>7006.6870820020895</v>
      </c>
      <c r="AL888">
        <v>1952.7836926761504</v>
      </c>
      <c r="AM888">
        <v>410.50194873118011</v>
      </c>
      <c r="AO888">
        <v>42248.915218519782</v>
      </c>
      <c r="AP888">
        <v>13.007664258715959</v>
      </c>
      <c r="AQ888">
        <v>49909.516828588276</v>
      </c>
      <c r="AR888">
        <v>13.140978180131384</v>
      </c>
      <c r="AS888" s="2">
        <f t="shared" si="92"/>
        <v>7660.6016100684938</v>
      </c>
      <c r="AT888" s="2">
        <f t="shared" si="93"/>
        <v>0.13331392141542509</v>
      </c>
      <c r="AV888">
        <f t="shared" si="94"/>
        <v>1258517.5106530762</v>
      </c>
      <c r="AW888">
        <f t="shared" si="95"/>
        <v>1264188.3011845502</v>
      </c>
      <c r="AY888">
        <f t="shared" si="96"/>
        <v>0</v>
      </c>
      <c r="AZ888">
        <f t="shared" si="97"/>
        <v>1</v>
      </c>
    </row>
    <row r="889" spans="1:52" x14ac:dyDescent="0.2">
      <c r="A889">
        <f t="shared" si="91"/>
        <v>885</v>
      </c>
      <c r="B889">
        <v>2.5764459760611258E-2</v>
      </c>
      <c r="C889">
        <v>3.9496149186204921E-2</v>
      </c>
      <c r="D889">
        <v>3.6690794412947154E-2</v>
      </c>
      <c r="E889">
        <v>4.3474443754620198E-3</v>
      </c>
      <c r="F889">
        <v>3.2737991528233113E-3</v>
      </c>
      <c r="G889">
        <v>1.4214557653832172E-2</v>
      </c>
      <c r="H889">
        <v>3.7455909804469223E-2</v>
      </c>
      <c r="I889">
        <v>0.12445182481386616</v>
      </c>
      <c r="J889">
        <v>0</v>
      </c>
      <c r="K889">
        <v>0.43517138379333886</v>
      </c>
      <c r="L889">
        <v>0.25325889387334644</v>
      </c>
      <c r="M889">
        <v>0.74674110612665356</v>
      </c>
      <c r="N889">
        <v>5.5967991876112774E-2</v>
      </c>
      <c r="O889" s="72">
        <v>0.9999996405133994</v>
      </c>
      <c r="P889">
        <v>0.99264751231339532</v>
      </c>
      <c r="Q889">
        <v>0.97113387021232789</v>
      </c>
      <c r="R889">
        <v>0.47870083256623264</v>
      </c>
      <c r="S889">
        <v>0.42387037711514419</v>
      </c>
      <c r="T889">
        <v>0.17980049145303023</v>
      </c>
      <c r="U889">
        <v>0.76780125336009963</v>
      </c>
      <c r="V889">
        <v>0.63417356523563095</v>
      </c>
      <c r="W889">
        <v>0.61228135408652951</v>
      </c>
      <c r="X889">
        <v>0.41100044372687289</v>
      </c>
      <c r="Y889">
        <v>0.49071452941050597</v>
      </c>
      <c r="Z889">
        <v>0.42919618672597293</v>
      </c>
      <c r="AA889">
        <v>0.68221547849419784</v>
      </c>
      <c r="AB889">
        <v>0.8386034449223887</v>
      </c>
      <c r="AC889">
        <v>0.76511744358237044</v>
      </c>
      <c r="AD889">
        <v>0.57186708937610886</v>
      </c>
      <c r="AE889">
        <v>212.95861256531254</v>
      </c>
      <c r="AF889">
        <v>1084.314636078183</v>
      </c>
      <c r="AG889">
        <v>1667.4344133220454</v>
      </c>
      <c r="AH889">
        <v>12777.688990424847</v>
      </c>
      <c r="AI889">
        <v>11535.77694034116</v>
      </c>
      <c r="AJ889">
        <v>36373.361139840948</v>
      </c>
      <c r="AK889">
        <v>10320.505924055369</v>
      </c>
      <c r="AL889">
        <v>2146.644993147288</v>
      </c>
      <c r="AM889">
        <v>322.76489170088979</v>
      </c>
      <c r="AO889">
        <v>43837.132162713642</v>
      </c>
      <c r="AP889">
        <v>13.624944824466843</v>
      </c>
      <c r="AQ889">
        <v>45744.806526407832</v>
      </c>
      <c r="AR889">
        <v>13.8069084131397</v>
      </c>
      <c r="AS889" s="2">
        <f t="shared" si="92"/>
        <v>1907.6743636941901</v>
      </c>
      <c r="AT889" s="2">
        <f t="shared" si="93"/>
        <v>0.18196358867285767</v>
      </c>
      <c r="AV889">
        <f t="shared" si="94"/>
        <v>1318657.3502839706</v>
      </c>
      <c r="AW889">
        <f t="shared" si="95"/>
        <v>1334946.0347875622</v>
      </c>
      <c r="AY889">
        <f t="shared" si="96"/>
        <v>0</v>
      </c>
      <c r="AZ889">
        <f t="shared" si="97"/>
        <v>1</v>
      </c>
    </row>
    <row r="890" spans="1:52" x14ac:dyDescent="0.2">
      <c r="A890">
        <f t="shared" si="91"/>
        <v>886</v>
      </c>
      <c r="B890">
        <v>2.2029529599505254E-2</v>
      </c>
      <c r="C890">
        <v>4.0334083737566639E-2</v>
      </c>
      <c r="D890">
        <v>5.0265812708978119E-2</v>
      </c>
      <c r="E890">
        <v>3.2270529341915988E-2</v>
      </c>
      <c r="F890">
        <v>3.4325390757544705E-3</v>
      </c>
      <c r="G890">
        <v>7.4375685596970182E-3</v>
      </c>
      <c r="H890">
        <v>5.0623220414148906E-2</v>
      </c>
      <c r="I890">
        <v>0.13818594960267983</v>
      </c>
      <c r="J890">
        <v>0</v>
      </c>
      <c r="K890">
        <v>0.41164299354692435</v>
      </c>
      <c r="L890">
        <v>0.25843973433833145</v>
      </c>
      <c r="M890">
        <v>0.74156026566166855</v>
      </c>
      <c r="N890">
        <v>5.6985177943052912E-2</v>
      </c>
      <c r="O890" s="72">
        <v>0.99999685751518974</v>
      </c>
      <c r="P890">
        <v>0.99992499805758395</v>
      </c>
      <c r="Q890">
        <v>0.96541862237796039</v>
      </c>
      <c r="R890">
        <v>0.49422418596596951</v>
      </c>
      <c r="S890">
        <v>0.29279934538989816</v>
      </c>
      <c r="T890">
        <v>0.19076563583953776</v>
      </c>
      <c r="U890">
        <v>0.77643559249014193</v>
      </c>
      <c r="V890">
        <v>0.68228523093022708</v>
      </c>
      <c r="W890">
        <v>0.50457709660248773</v>
      </c>
      <c r="X890">
        <v>0.45515139329913068</v>
      </c>
      <c r="Y890">
        <v>0.49263082376014578</v>
      </c>
      <c r="Z890">
        <v>0.43253674377010515</v>
      </c>
      <c r="AA890">
        <v>0.71650322419186829</v>
      </c>
      <c r="AB890">
        <v>0.7649549059776265</v>
      </c>
      <c r="AC890">
        <v>0.69368777965928996</v>
      </c>
      <c r="AD890">
        <v>0.54788752983959632</v>
      </c>
      <c r="AE890">
        <v>127.45474772837592</v>
      </c>
      <c r="AF890">
        <v>1055.1336190978448</v>
      </c>
      <c r="AG890">
        <v>1439.1384928210014</v>
      </c>
      <c r="AH890">
        <v>12670.558050851467</v>
      </c>
      <c r="AI890">
        <v>13791.785773386198</v>
      </c>
      <c r="AJ890">
        <v>42379.596510504824</v>
      </c>
      <c r="AK890">
        <v>11602.313992318046</v>
      </c>
      <c r="AL890">
        <v>2497.0775349996948</v>
      </c>
      <c r="AM890">
        <v>407.20791117428058</v>
      </c>
      <c r="AO890">
        <v>45242.468426919702</v>
      </c>
      <c r="AP890">
        <v>12.441681468031637</v>
      </c>
      <c r="AQ890">
        <v>46778.842326537131</v>
      </c>
      <c r="AR890">
        <v>12.62303816919164</v>
      </c>
      <c r="AS890" s="2">
        <f t="shared" si="92"/>
        <v>1536.3738996174288</v>
      </c>
      <c r="AT890" s="2">
        <f t="shared" si="93"/>
        <v>0.18135670116000213</v>
      </c>
      <c r="AV890">
        <f t="shared" si="94"/>
        <v>1198925.6783762439</v>
      </c>
      <c r="AW890">
        <f t="shared" si="95"/>
        <v>1215524.9745926268</v>
      </c>
      <c r="AY890">
        <f t="shared" si="96"/>
        <v>0</v>
      </c>
      <c r="AZ890">
        <f t="shared" si="97"/>
        <v>1</v>
      </c>
    </row>
    <row r="891" spans="1:52" x14ac:dyDescent="0.2">
      <c r="A891">
        <f t="shared" si="91"/>
        <v>887</v>
      </c>
      <c r="B891">
        <v>2.2207343694368886E-2</v>
      </c>
      <c r="C891">
        <v>3.2553473325969959E-2</v>
      </c>
      <c r="D891">
        <v>4.0124962069388426E-2</v>
      </c>
      <c r="E891">
        <v>6.1663230118495001E-3</v>
      </c>
      <c r="F891">
        <v>3.2914804822117769E-3</v>
      </c>
      <c r="G891">
        <v>1.8440737521166595E-2</v>
      </c>
      <c r="H891">
        <v>5.4535232768217479E-2</v>
      </c>
      <c r="I891">
        <v>0.12006774970080052</v>
      </c>
      <c r="J891">
        <v>0</v>
      </c>
      <c r="K891">
        <v>0.4877081823156969</v>
      </c>
      <c r="L891">
        <v>0.27702399550204315</v>
      </c>
      <c r="M891">
        <v>0.72297600449795685</v>
      </c>
      <c r="N891">
        <v>4.9560152698543081E-2</v>
      </c>
      <c r="O891" s="72">
        <v>0.99991512731406573</v>
      </c>
      <c r="P891">
        <v>0.99998877508331152</v>
      </c>
      <c r="Q891">
        <v>0.99571951713939888</v>
      </c>
      <c r="R891">
        <v>0.49138503336153472</v>
      </c>
      <c r="S891">
        <v>0.37781985637057824</v>
      </c>
      <c r="T891">
        <v>0.22756493215269624</v>
      </c>
      <c r="U891">
        <v>0.78166603378245791</v>
      </c>
      <c r="V891">
        <v>0.67752834807692097</v>
      </c>
      <c r="W891">
        <v>0.54675349316267774</v>
      </c>
      <c r="X891">
        <v>0.4436248713589353</v>
      </c>
      <c r="Y891">
        <v>0.47945756289522901</v>
      </c>
      <c r="Z891">
        <v>0.44168472121691377</v>
      </c>
      <c r="AA891">
        <v>0.60787481278326216</v>
      </c>
      <c r="AB891">
        <v>0.84548970031880288</v>
      </c>
      <c r="AC891">
        <v>0.68914297611644892</v>
      </c>
      <c r="AD891">
        <v>0.54874355741494618</v>
      </c>
      <c r="AE891">
        <v>234.27561085909701</v>
      </c>
      <c r="AF891">
        <v>1056.0946089744898</v>
      </c>
      <c r="AG891">
        <v>1787.3659500765434</v>
      </c>
      <c r="AH891">
        <v>11158.36582179692</v>
      </c>
      <c r="AI891">
        <v>9481.8024005594925</v>
      </c>
      <c r="AJ891">
        <v>35282.839489517115</v>
      </c>
      <c r="AK891">
        <v>10660.018777164174</v>
      </c>
      <c r="AL891">
        <v>1610.5028136420515</v>
      </c>
      <c r="AM891">
        <v>328.39350479771042</v>
      </c>
      <c r="AO891">
        <v>42521.357027796781</v>
      </c>
      <c r="AP891">
        <v>13.564325363474993</v>
      </c>
      <c r="AQ891">
        <v>45510.450081153256</v>
      </c>
      <c r="AR891">
        <v>13.735065012147732</v>
      </c>
      <c r="AS891" s="2">
        <f t="shared" si="92"/>
        <v>2989.0930533564751</v>
      </c>
      <c r="AT891" s="2">
        <f t="shared" si="93"/>
        <v>0.17073964867273972</v>
      </c>
      <c r="AV891">
        <f t="shared" si="94"/>
        <v>1313911.1793197026</v>
      </c>
      <c r="AW891">
        <f t="shared" si="95"/>
        <v>1327996.0511336199</v>
      </c>
      <c r="AY891">
        <f t="shared" si="96"/>
        <v>0</v>
      </c>
      <c r="AZ891">
        <f t="shared" si="97"/>
        <v>1</v>
      </c>
    </row>
    <row r="892" spans="1:52" x14ac:dyDescent="0.2">
      <c r="A892">
        <f t="shared" si="91"/>
        <v>888</v>
      </c>
      <c r="B892">
        <v>3.3413515185925169E-2</v>
      </c>
      <c r="C892">
        <v>3.6046203659607395E-2</v>
      </c>
      <c r="D892">
        <v>5.1548057611125464E-2</v>
      </c>
      <c r="E892">
        <v>6.6773432077151555E-3</v>
      </c>
      <c r="F892">
        <v>3.2904373519326542E-3</v>
      </c>
      <c r="G892">
        <v>7.2775880509839148E-3</v>
      </c>
      <c r="H892">
        <v>1.3208829252297541E-2</v>
      </c>
      <c r="I892">
        <v>0.11588570010064077</v>
      </c>
      <c r="J892">
        <v>0</v>
      </c>
      <c r="K892">
        <v>0.41802461735170221</v>
      </c>
      <c r="L892">
        <v>0.19638734424987583</v>
      </c>
      <c r="M892">
        <v>0.80361265575012419</v>
      </c>
      <c r="N892">
        <v>6.2212009327865303E-2</v>
      </c>
      <c r="O892" s="72">
        <v>0.99511554396154744</v>
      </c>
      <c r="P892">
        <v>0.99992993699461763</v>
      </c>
      <c r="Q892">
        <v>0.96285885501509849</v>
      </c>
      <c r="R892">
        <v>0.4497329666510107</v>
      </c>
      <c r="S892">
        <v>0.45263205489075553</v>
      </c>
      <c r="T892">
        <v>0.26420551865386932</v>
      </c>
      <c r="U892">
        <v>0.77677399017812254</v>
      </c>
      <c r="V892">
        <v>0.66465098549910584</v>
      </c>
      <c r="W892">
        <v>0.69123128272237344</v>
      </c>
      <c r="X892">
        <v>0.46034951900579335</v>
      </c>
      <c r="Y892">
        <v>0.49413292181857538</v>
      </c>
      <c r="Z892">
        <v>0.47091821080121565</v>
      </c>
      <c r="AA892">
        <v>0.63891156959052708</v>
      </c>
      <c r="AB892">
        <v>0.80905973880663185</v>
      </c>
      <c r="AC892">
        <v>0.73585638649133278</v>
      </c>
      <c r="AD892">
        <v>0.64932217707472184</v>
      </c>
      <c r="AE892">
        <v>159.34175232490307</v>
      </c>
      <c r="AF892">
        <v>1130.2192543042088</v>
      </c>
      <c r="AG892">
        <v>2464.873564062425</v>
      </c>
      <c r="AH892">
        <v>13785.965652004192</v>
      </c>
      <c r="AI892">
        <v>15192.907876373431</v>
      </c>
      <c r="AJ892">
        <v>43047.41808491596</v>
      </c>
      <c r="AK892">
        <v>10039.822618108701</v>
      </c>
      <c r="AL892">
        <v>2592.7304969488678</v>
      </c>
      <c r="AM892">
        <v>295.73748020573561</v>
      </c>
      <c r="AO892">
        <v>43197.758777439441</v>
      </c>
      <c r="AP892">
        <v>13.293047212310031</v>
      </c>
      <c r="AQ892">
        <v>45228.067410091709</v>
      </c>
      <c r="AR892">
        <v>13.450940595011843</v>
      </c>
      <c r="AS892" s="2">
        <f t="shared" si="92"/>
        <v>2030.308632652268</v>
      </c>
      <c r="AT892" s="2">
        <f t="shared" si="93"/>
        <v>0.15789338270181297</v>
      </c>
      <c r="AV892">
        <f t="shared" si="94"/>
        <v>1286106.9624535637</v>
      </c>
      <c r="AW892">
        <f t="shared" si="95"/>
        <v>1299865.9920910927</v>
      </c>
      <c r="AY892">
        <f t="shared" si="96"/>
        <v>0</v>
      </c>
      <c r="AZ892">
        <f t="shared" si="97"/>
        <v>1</v>
      </c>
    </row>
    <row r="893" spans="1:52" x14ac:dyDescent="0.2">
      <c r="A893">
        <f t="shared" si="91"/>
        <v>889</v>
      </c>
      <c r="B893">
        <v>1.9235897901494131E-2</v>
      </c>
      <c r="C893">
        <v>4.1068624050655478E-2</v>
      </c>
      <c r="D893">
        <v>3.360146396495161E-2</v>
      </c>
      <c r="E893">
        <v>1.335830214230882E-2</v>
      </c>
      <c r="F893">
        <v>3.2159548500668069E-3</v>
      </c>
      <c r="G893">
        <v>2.1310819919367814E-3</v>
      </c>
      <c r="H893">
        <v>9.3304994387981722E-3</v>
      </c>
      <c r="I893">
        <v>0.13360094367871844</v>
      </c>
      <c r="J893">
        <v>0</v>
      </c>
      <c r="K893">
        <v>0.46758799599219003</v>
      </c>
      <c r="L893">
        <v>0.22210764291849128</v>
      </c>
      <c r="M893">
        <v>0.77789235708150872</v>
      </c>
      <c r="N893">
        <v>7.0710381400966416E-2</v>
      </c>
      <c r="O893" s="72">
        <v>0.9994359849999136</v>
      </c>
      <c r="P893">
        <v>0.99625712497966123</v>
      </c>
      <c r="Q893">
        <v>0.99617417464388858</v>
      </c>
      <c r="R893">
        <v>0.48294917202165255</v>
      </c>
      <c r="S893">
        <v>0.37826205154534398</v>
      </c>
      <c r="T893">
        <v>0.1953864823412198</v>
      </c>
      <c r="U893">
        <v>0.79520915199910513</v>
      </c>
      <c r="V893">
        <v>0.60731722732968862</v>
      </c>
      <c r="W893">
        <v>0.6212727093918331</v>
      </c>
      <c r="X893">
        <v>0.43697697297835758</v>
      </c>
      <c r="Y893">
        <v>0.53230896132063332</v>
      </c>
      <c r="Z893">
        <v>0.4283010033610844</v>
      </c>
      <c r="AA893">
        <v>0.62715966061620287</v>
      </c>
      <c r="AB893">
        <v>0.88060729901130452</v>
      </c>
      <c r="AC893">
        <v>0.78223974458782086</v>
      </c>
      <c r="AD893">
        <v>0.62609867824597765</v>
      </c>
      <c r="AE893">
        <v>147.21615930011251</v>
      </c>
      <c r="AF893">
        <v>933.2103573166354</v>
      </c>
      <c r="AG893">
        <v>1747.3882882742487</v>
      </c>
      <c r="AH893">
        <v>9709.5737145620751</v>
      </c>
      <c r="AI893">
        <v>8800.3104898617967</v>
      </c>
      <c r="AJ893">
        <v>36955.064482376169</v>
      </c>
      <c r="AK893">
        <v>13273.706933781068</v>
      </c>
      <c r="AL893">
        <v>1783.7593315617287</v>
      </c>
      <c r="AM893">
        <v>401.9338411370419</v>
      </c>
      <c r="AO893">
        <v>44370.414382727628</v>
      </c>
      <c r="AP893">
        <v>14.258039823917745</v>
      </c>
      <c r="AQ893">
        <v>46654.427391056743</v>
      </c>
      <c r="AR893">
        <v>14.495119784001375</v>
      </c>
      <c r="AS893" s="2">
        <f t="shared" si="92"/>
        <v>2284.0130083291151</v>
      </c>
      <c r="AT893" s="2">
        <f t="shared" si="93"/>
        <v>0.23707996008362997</v>
      </c>
      <c r="AV893">
        <f t="shared" si="94"/>
        <v>1381433.5680090468</v>
      </c>
      <c r="AW893">
        <f t="shared" si="95"/>
        <v>1402857.5510090808</v>
      </c>
      <c r="AY893">
        <f t="shared" si="96"/>
        <v>0</v>
      </c>
      <c r="AZ893">
        <f t="shared" si="97"/>
        <v>1</v>
      </c>
    </row>
    <row r="894" spans="1:52" x14ac:dyDescent="0.2">
      <c r="A894">
        <f t="shared" si="91"/>
        <v>890</v>
      </c>
      <c r="B894">
        <v>3.1328647097801476E-2</v>
      </c>
      <c r="C894">
        <v>4.9878610874704798E-2</v>
      </c>
      <c r="D894">
        <v>3.4596436052212298E-2</v>
      </c>
      <c r="E894">
        <v>1.4036946470214844E-3</v>
      </c>
      <c r="F894">
        <v>3.3853955391550672E-3</v>
      </c>
      <c r="G894">
        <v>4.7965616804925273E-3</v>
      </c>
      <c r="H894">
        <v>3.321648060760074E-2</v>
      </c>
      <c r="I894">
        <v>0.12803553508575488</v>
      </c>
      <c r="J894">
        <v>0</v>
      </c>
      <c r="K894">
        <v>0.41904349550570952</v>
      </c>
      <c r="L894">
        <v>0.20394698460257096</v>
      </c>
      <c r="M894">
        <v>0.79605301539742901</v>
      </c>
      <c r="N894">
        <v>5.4242590019100666E-2</v>
      </c>
      <c r="O894" s="72">
        <v>0.99789743231819383</v>
      </c>
      <c r="P894">
        <v>0.99979537095663085</v>
      </c>
      <c r="Q894">
        <v>0.99372994962057226</v>
      </c>
      <c r="R894">
        <v>0.53107378951588546</v>
      </c>
      <c r="S894">
        <v>0.29908592562557035</v>
      </c>
      <c r="T894">
        <v>0.30342453265498026</v>
      </c>
      <c r="U894">
        <v>0.78917529287370325</v>
      </c>
      <c r="V894">
        <v>0.65365852613422182</v>
      </c>
      <c r="W894">
        <v>0.57961985957124074</v>
      </c>
      <c r="X894">
        <v>0.46690975776382215</v>
      </c>
      <c r="Y894">
        <v>0.46119065286933325</v>
      </c>
      <c r="Z894">
        <v>0.44241552091480812</v>
      </c>
      <c r="AA894">
        <v>0.74358002457303474</v>
      </c>
      <c r="AB894">
        <v>0.8016749888584831</v>
      </c>
      <c r="AC894">
        <v>0.76094783004731315</v>
      </c>
      <c r="AD894">
        <v>0.62544319585937624</v>
      </c>
      <c r="AE894">
        <v>263.0381422491763</v>
      </c>
      <c r="AF894">
        <v>1042.1575724239563</v>
      </c>
      <c r="AG894">
        <v>1481.1836282693541</v>
      </c>
      <c r="AH894">
        <v>15969.120855541507</v>
      </c>
      <c r="AI894">
        <v>11285.838559530648</v>
      </c>
      <c r="AJ894">
        <v>35517.822911687588</v>
      </c>
      <c r="AK894">
        <v>13413.405481249649</v>
      </c>
      <c r="AL894">
        <v>1391.7032616636791</v>
      </c>
      <c r="AM894">
        <v>484.55461362908483</v>
      </c>
      <c r="AO894">
        <v>43287.14480351899</v>
      </c>
      <c r="AP894">
        <v>13.234198306291814</v>
      </c>
      <c r="AQ894">
        <v>48088.753761852007</v>
      </c>
      <c r="AR894">
        <v>13.362391284774377</v>
      </c>
      <c r="AS894" s="2">
        <f t="shared" si="92"/>
        <v>4801.6089583330177</v>
      </c>
      <c r="AT894" s="2">
        <f t="shared" si="93"/>
        <v>0.12819297848256284</v>
      </c>
      <c r="AV894">
        <f t="shared" si="94"/>
        <v>1280132.6858256625</v>
      </c>
      <c r="AW894">
        <f t="shared" si="95"/>
        <v>1288150.3747155857</v>
      </c>
      <c r="AY894">
        <f t="shared" si="96"/>
        <v>0</v>
      </c>
      <c r="AZ894">
        <f t="shared" si="97"/>
        <v>1</v>
      </c>
    </row>
    <row r="895" spans="1:52" x14ac:dyDescent="0.2">
      <c r="A895">
        <f t="shared" si="91"/>
        <v>891</v>
      </c>
      <c r="B895">
        <v>2.4779077084931489E-2</v>
      </c>
      <c r="C895">
        <v>2.5396551081502444E-2</v>
      </c>
      <c r="D895">
        <v>3.960202542964153E-2</v>
      </c>
      <c r="E895">
        <v>1.8238359678416916E-2</v>
      </c>
      <c r="F895">
        <v>3.3834099205418688E-3</v>
      </c>
      <c r="G895">
        <v>8.4563420335429587E-3</v>
      </c>
      <c r="H895">
        <v>2.1557126612548754E-2</v>
      </c>
      <c r="I895">
        <v>0.13895011001040913</v>
      </c>
      <c r="J895">
        <v>0</v>
      </c>
      <c r="K895">
        <v>0.49190317727327226</v>
      </c>
      <c r="L895">
        <v>0.18741601938241106</v>
      </c>
      <c r="M895">
        <v>0.81258398061758896</v>
      </c>
      <c r="N895">
        <v>6.2475781369742078E-2</v>
      </c>
      <c r="O895" s="72">
        <v>0.99792818178984377</v>
      </c>
      <c r="P895">
        <v>0.98736686785930039</v>
      </c>
      <c r="Q895">
        <v>0.99590889442161612</v>
      </c>
      <c r="R895">
        <v>0.46159101101930344</v>
      </c>
      <c r="S895">
        <v>0.32104371463610692</v>
      </c>
      <c r="T895">
        <v>0.29953596618777656</v>
      </c>
      <c r="U895">
        <v>0.75624931810767604</v>
      </c>
      <c r="V895">
        <v>0.66388644660353813</v>
      </c>
      <c r="W895">
        <v>0.54497296641087856</v>
      </c>
      <c r="X895">
        <v>0.46759057468466647</v>
      </c>
      <c r="Y895">
        <v>0.49160919670017611</v>
      </c>
      <c r="Z895">
        <v>0.45876738788493643</v>
      </c>
      <c r="AA895">
        <v>0.74360900888927839</v>
      </c>
      <c r="AB895">
        <v>0.8457315577339406</v>
      </c>
      <c r="AC895">
        <v>0.7739985390184273</v>
      </c>
      <c r="AD895">
        <v>0.60195186356412012</v>
      </c>
      <c r="AE895">
        <v>232.64652963637675</v>
      </c>
      <c r="AF895">
        <v>975.15128265986016</v>
      </c>
      <c r="AG895">
        <v>1785.9755170794058</v>
      </c>
      <c r="AH895">
        <v>11225.772986377569</v>
      </c>
      <c r="AI895">
        <v>12264.010434399273</v>
      </c>
      <c r="AJ895">
        <v>34655.117893356881</v>
      </c>
      <c r="AK895">
        <v>15928.047658674654</v>
      </c>
      <c r="AL895">
        <v>1798.8703385336096</v>
      </c>
      <c r="AM895">
        <v>304.42018202156964</v>
      </c>
      <c r="AO895">
        <v>43274.406559044255</v>
      </c>
      <c r="AP895">
        <v>13.740268099379223</v>
      </c>
      <c r="AQ895">
        <v>45526.745143073284</v>
      </c>
      <c r="AR895">
        <v>13.962452452045291</v>
      </c>
      <c r="AS895" s="2">
        <f t="shared" si="92"/>
        <v>2252.3385840290284</v>
      </c>
      <c r="AT895" s="2">
        <f t="shared" si="93"/>
        <v>0.2221843526660674</v>
      </c>
      <c r="AV895">
        <f t="shared" si="94"/>
        <v>1330752.403378878</v>
      </c>
      <c r="AW895">
        <f t="shared" si="95"/>
        <v>1350718.5000614556</v>
      </c>
      <c r="AY895">
        <f t="shared" si="96"/>
        <v>0</v>
      </c>
      <c r="AZ895">
        <f t="shared" si="97"/>
        <v>1</v>
      </c>
    </row>
    <row r="896" spans="1:52" x14ac:dyDescent="0.2">
      <c r="A896">
        <f t="shared" ref="A896:A959" si="98">A895+1</f>
        <v>892</v>
      </c>
      <c r="B896">
        <v>3.1308885772963091E-2</v>
      </c>
      <c r="C896">
        <v>3.3146373699154706E-2</v>
      </c>
      <c r="D896">
        <v>3.9080830938958977E-2</v>
      </c>
      <c r="E896">
        <v>1.6890390672238409E-2</v>
      </c>
      <c r="F896">
        <v>3.2788870582347151E-3</v>
      </c>
      <c r="G896">
        <v>1.014292615610315E-2</v>
      </c>
      <c r="H896">
        <v>1.9979086488474875E-2</v>
      </c>
      <c r="I896">
        <v>0.13971906385986543</v>
      </c>
      <c r="J896">
        <v>0</v>
      </c>
      <c r="K896">
        <v>0.44269044474581476</v>
      </c>
      <c r="L896">
        <v>0.19444626886530805</v>
      </c>
      <c r="M896">
        <v>0.80555373113469197</v>
      </c>
      <c r="N896">
        <v>5.1104094676052952E-2</v>
      </c>
      <c r="O896" s="72">
        <v>0.99865901088965914</v>
      </c>
      <c r="P896">
        <v>0.99484577589361289</v>
      </c>
      <c r="Q896">
        <v>0.90819809382782979</v>
      </c>
      <c r="R896">
        <v>0.47327836294865322</v>
      </c>
      <c r="S896">
        <v>0.40409261720490686</v>
      </c>
      <c r="T896">
        <v>0.27047645735724224</v>
      </c>
      <c r="U896">
        <v>0.74929081374349538</v>
      </c>
      <c r="V896">
        <v>0.66084247665627704</v>
      </c>
      <c r="W896">
        <v>0.529153052206362</v>
      </c>
      <c r="X896">
        <v>0.4393658781744556</v>
      </c>
      <c r="Y896">
        <v>0.47622211494537536</v>
      </c>
      <c r="Z896">
        <v>0.50133413475052502</v>
      </c>
      <c r="AA896">
        <v>0.7475468886478156</v>
      </c>
      <c r="AB896">
        <v>0.86606909751708128</v>
      </c>
      <c r="AC896">
        <v>0.66426804960929475</v>
      </c>
      <c r="AD896">
        <v>0.67883055588675756</v>
      </c>
      <c r="AE896">
        <v>190.45310760258167</v>
      </c>
      <c r="AF896">
        <v>928.31531107500223</v>
      </c>
      <c r="AG896">
        <v>1597.9094466738188</v>
      </c>
      <c r="AH896">
        <v>9291.2586446823079</v>
      </c>
      <c r="AI896">
        <v>10274.941246877162</v>
      </c>
      <c r="AJ896">
        <v>40555.191993037646</v>
      </c>
      <c r="AK896">
        <v>8378.5096099016355</v>
      </c>
      <c r="AL896">
        <v>1229.9076025462382</v>
      </c>
      <c r="AM896">
        <v>446.94204988257241</v>
      </c>
      <c r="AO896">
        <v>43790.032462212213</v>
      </c>
      <c r="AP896">
        <v>13.857098800891444</v>
      </c>
      <c r="AQ896">
        <v>47733.440392857163</v>
      </c>
      <c r="AR896">
        <v>14.146680680643019</v>
      </c>
      <c r="AS896" s="2">
        <f t="shared" si="92"/>
        <v>3943.4079306449494</v>
      </c>
      <c r="AT896" s="2">
        <f t="shared" si="93"/>
        <v>0.28958187975157479</v>
      </c>
      <c r="AV896">
        <f t="shared" si="94"/>
        <v>1341919.8476269322</v>
      </c>
      <c r="AW896">
        <f t="shared" si="95"/>
        <v>1366934.6276714448</v>
      </c>
      <c r="AY896">
        <f t="shared" si="96"/>
        <v>0</v>
      </c>
      <c r="AZ896">
        <f t="shared" si="97"/>
        <v>1</v>
      </c>
    </row>
    <row r="897" spans="1:52" x14ac:dyDescent="0.2">
      <c r="A897">
        <f t="shared" si="98"/>
        <v>893</v>
      </c>
      <c r="B897">
        <v>2.4911953722186908E-2</v>
      </c>
      <c r="C897">
        <v>3.5805230061525292E-2</v>
      </c>
      <c r="D897">
        <v>3.8129568666365805E-2</v>
      </c>
      <c r="E897">
        <v>4.3237435516363422E-3</v>
      </c>
      <c r="F897">
        <v>3.349183010977641E-3</v>
      </c>
      <c r="G897">
        <v>9.0652834874081355E-4</v>
      </c>
      <c r="H897">
        <v>1.6094406346628187E-2</v>
      </c>
      <c r="I897">
        <v>0.13542376825670921</v>
      </c>
      <c r="J897">
        <v>0</v>
      </c>
      <c r="K897">
        <v>0.5094375878443127</v>
      </c>
      <c r="L897">
        <v>0.2576300058458566</v>
      </c>
      <c r="M897">
        <v>0.7423699941541434</v>
      </c>
      <c r="N897">
        <v>7.0756875078357817E-2</v>
      </c>
      <c r="O897" s="72">
        <v>0.999738151746566</v>
      </c>
      <c r="P897">
        <v>0.96564530210912847</v>
      </c>
      <c r="Q897">
        <v>0.94429762926269023</v>
      </c>
      <c r="R897">
        <v>0.51602208781578507</v>
      </c>
      <c r="S897">
        <v>0.40131288829731127</v>
      </c>
      <c r="T897">
        <v>0.24001453929980432</v>
      </c>
      <c r="U897">
        <v>0.78780967339898977</v>
      </c>
      <c r="V897">
        <v>0.67595357930794786</v>
      </c>
      <c r="W897">
        <v>0.61480519136229583</v>
      </c>
      <c r="X897">
        <v>0.42525205104347613</v>
      </c>
      <c r="Y897">
        <v>0.50804587186045791</v>
      </c>
      <c r="Z897">
        <v>0.39031998338953044</v>
      </c>
      <c r="AA897">
        <v>0.67633069969711535</v>
      </c>
      <c r="AB897">
        <v>0.8189590611648454</v>
      </c>
      <c r="AC897">
        <v>0.74910950603519377</v>
      </c>
      <c r="AD897">
        <v>0.60132465372274246</v>
      </c>
      <c r="AE897">
        <v>149.7290566183085</v>
      </c>
      <c r="AF897">
        <v>1116.7585423241451</v>
      </c>
      <c r="AG897">
        <v>1560.6205999492643</v>
      </c>
      <c r="AH897">
        <v>10317.405352564645</v>
      </c>
      <c r="AI897">
        <v>15495.740343476988</v>
      </c>
      <c r="AJ897">
        <v>40447.54960595697</v>
      </c>
      <c r="AK897">
        <v>8638.9386431521943</v>
      </c>
      <c r="AL897">
        <v>2335.562022302387</v>
      </c>
      <c r="AM897">
        <v>456.24458591071755</v>
      </c>
      <c r="AO897">
        <v>42569.913492048865</v>
      </c>
      <c r="AP897">
        <v>13.415852166152362</v>
      </c>
      <c r="AQ897">
        <v>48693.538793645079</v>
      </c>
      <c r="AR897">
        <v>13.542722584203807</v>
      </c>
      <c r="AS897" s="2">
        <f t="shared" si="92"/>
        <v>6123.6253015962138</v>
      </c>
      <c r="AT897" s="2">
        <f t="shared" si="93"/>
        <v>0.12687041805144439</v>
      </c>
      <c r="AV897">
        <f t="shared" si="94"/>
        <v>1299015.3031231873</v>
      </c>
      <c r="AW897">
        <f t="shared" si="95"/>
        <v>1305578.7196267357</v>
      </c>
      <c r="AY897">
        <f t="shared" si="96"/>
        <v>0</v>
      </c>
      <c r="AZ897">
        <f t="shared" si="97"/>
        <v>1</v>
      </c>
    </row>
    <row r="898" spans="1:52" x14ac:dyDescent="0.2">
      <c r="A898">
        <f t="shared" si="98"/>
        <v>894</v>
      </c>
      <c r="B898">
        <v>2.6627868781423203E-2</v>
      </c>
      <c r="C898">
        <v>3.6619377344051851E-2</v>
      </c>
      <c r="D898">
        <v>5.0168762077490547E-2</v>
      </c>
      <c r="E898">
        <v>9.5425493587472637E-3</v>
      </c>
      <c r="F898">
        <v>3.2664897959418966E-3</v>
      </c>
      <c r="G898">
        <v>9.9650912939316313E-3</v>
      </c>
      <c r="H898">
        <v>2.0782748559779848E-2</v>
      </c>
      <c r="I898">
        <v>0.13273507482568481</v>
      </c>
      <c r="J898">
        <v>0</v>
      </c>
      <c r="K898">
        <v>0.42970421139994097</v>
      </c>
      <c r="L898">
        <v>0.17397534493131236</v>
      </c>
      <c r="M898">
        <v>0.82602465506868761</v>
      </c>
      <c r="N898">
        <v>4.912026870099527E-2</v>
      </c>
      <c r="O898" s="72">
        <v>0.99986834415835391</v>
      </c>
      <c r="P898">
        <v>0.99952757249879742</v>
      </c>
      <c r="Q898">
        <v>0.96072722866449733</v>
      </c>
      <c r="R898">
        <v>0.52063124315155296</v>
      </c>
      <c r="S898">
        <v>0.42787468697064512</v>
      </c>
      <c r="T898">
        <v>0.2369599095058984</v>
      </c>
      <c r="U898">
        <v>0.75837078533216273</v>
      </c>
      <c r="V898">
        <v>0.63957057451192956</v>
      </c>
      <c r="W898">
        <v>0.5080534959426608</v>
      </c>
      <c r="X898">
        <v>0.41507494891499358</v>
      </c>
      <c r="Y898">
        <v>0.43639899615378686</v>
      </c>
      <c r="Z898">
        <v>0.38696764340335549</v>
      </c>
      <c r="AA898">
        <v>0.68008490085587425</v>
      </c>
      <c r="AB898">
        <v>0.80210777420552148</v>
      </c>
      <c r="AC898">
        <v>0.71223855019260174</v>
      </c>
      <c r="AD898">
        <v>0.66786980122703643</v>
      </c>
      <c r="AE898">
        <v>219.45060828951051</v>
      </c>
      <c r="AF898">
        <v>879.12326004147769</v>
      </c>
      <c r="AG898">
        <v>1802.0241167046358</v>
      </c>
      <c r="AH898">
        <v>13555.823355005034</v>
      </c>
      <c r="AI898">
        <v>14970.437506489456</v>
      </c>
      <c r="AJ898">
        <v>43064.757895572184</v>
      </c>
      <c r="AK898">
        <v>10830.339534860184</v>
      </c>
      <c r="AL898">
        <v>2711.0839611460319</v>
      </c>
      <c r="AM898">
        <v>362.8437558779284</v>
      </c>
      <c r="AO898">
        <v>41068.609804330415</v>
      </c>
      <c r="AP898">
        <v>13.129519799049936</v>
      </c>
      <c r="AQ898">
        <v>46210.47756140092</v>
      </c>
      <c r="AR898">
        <v>13.335082751905279</v>
      </c>
      <c r="AS898" s="2">
        <f t="shared" si="92"/>
        <v>5141.867757070504</v>
      </c>
      <c r="AT898" s="2">
        <f t="shared" si="93"/>
        <v>0.20556295285534354</v>
      </c>
      <c r="AV898">
        <f t="shared" si="94"/>
        <v>1271883.3701006633</v>
      </c>
      <c r="AW898">
        <f t="shared" si="95"/>
        <v>1287297.797629127</v>
      </c>
      <c r="AY898">
        <f t="shared" si="96"/>
        <v>0</v>
      </c>
      <c r="AZ898">
        <f t="shared" si="97"/>
        <v>1</v>
      </c>
    </row>
    <row r="899" spans="1:52" x14ac:dyDescent="0.2">
      <c r="A899">
        <f t="shared" si="98"/>
        <v>895</v>
      </c>
      <c r="B899">
        <v>2.6020580747122324E-2</v>
      </c>
      <c r="C899">
        <v>2.6859434498954966E-2</v>
      </c>
      <c r="D899">
        <v>5.3322320572348314E-2</v>
      </c>
      <c r="E899">
        <v>2.994400960912269E-2</v>
      </c>
      <c r="F899">
        <v>3.2825657617952283E-3</v>
      </c>
      <c r="G899">
        <v>1.506063195905305E-2</v>
      </c>
      <c r="H899">
        <v>3.484203326951707E-2</v>
      </c>
      <c r="I899">
        <v>0.13702916443635993</v>
      </c>
      <c r="J899">
        <v>0</v>
      </c>
      <c r="K899">
        <v>0.40567675722219726</v>
      </c>
      <c r="L899">
        <v>0.25500889142947181</v>
      </c>
      <c r="M899">
        <v>0.74499110857052819</v>
      </c>
      <c r="N899">
        <v>4.9379122968471516E-2</v>
      </c>
      <c r="O899" s="72">
        <v>0.99993860585409078</v>
      </c>
      <c r="P899">
        <v>0.9930833555539087</v>
      </c>
      <c r="Q899">
        <v>0.99237982021404558</v>
      </c>
      <c r="R899">
        <v>0.48810782863033908</v>
      </c>
      <c r="S899">
        <v>0.34648831133568148</v>
      </c>
      <c r="T899">
        <v>0.23468912364351235</v>
      </c>
      <c r="U899">
        <v>0.78974387796768397</v>
      </c>
      <c r="V899">
        <v>0.70119051676008937</v>
      </c>
      <c r="W899">
        <v>0.63511008902527855</v>
      </c>
      <c r="X899">
        <v>0.43018635365878694</v>
      </c>
      <c r="Y899">
        <v>0.43438551668966613</v>
      </c>
      <c r="Z899">
        <v>0.50329307449174376</v>
      </c>
      <c r="AA899">
        <v>0.701989583070323</v>
      </c>
      <c r="AB899">
        <v>0.79710506119760238</v>
      </c>
      <c r="AC899">
        <v>0.75507802194638918</v>
      </c>
      <c r="AD899">
        <v>0.64891923768889836</v>
      </c>
      <c r="AE899">
        <v>141.29374316756821</v>
      </c>
      <c r="AF899">
        <v>1192.7956023818601</v>
      </c>
      <c r="AG899">
        <v>1814.2844107302594</v>
      </c>
      <c r="AH899">
        <v>10798.114892765787</v>
      </c>
      <c r="AI899">
        <v>10646.601858145686</v>
      </c>
      <c r="AJ899">
        <v>36983.598865634165</v>
      </c>
      <c r="AK899">
        <v>9226.7051483477608</v>
      </c>
      <c r="AL899">
        <v>1771.6026673719289</v>
      </c>
      <c r="AM899">
        <v>277.20889647211084</v>
      </c>
      <c r="AO899">
        <v>41862.681764383764</v>
      </c>
      <c r="AP899">
        <v>13.137162306640015</v>
      </c>
      <c r="AQ899">
        <v>44855.730807820299</v>
      </c>
      <c r="AR899">
        <v>13.319179052214997</v>
      </c>
      <c r="AS899" s="2">
        <f t="shared" si="92"/>
        <v>2993.0490434365347</v>
      </c>
      <c r="AT899" s="2">
        <f t="shared" si="93"/>
        <v>0.18201674557498215</v>
      </c>
      <c r="AV899">
        <f t="shared" si="94"/>
        <v>1271853.5488996177</v>
      </c>
      <c r="AW899">
        <f t="shared" si="95"/>
        <v>1287062.1744136794</v>
      </c>
      <c r="AY899">
        <f t="shared" si="96"/>
        <v>0</v>
      </c>
      <c r="AZ899">
        <f t="shared" si="97"/>
        <v>1</v>
      </c>
    </row>
    <row r="900" spans="1:52" x14ac:dyDescent="0.2">
      <c r="A900">
        <f t="shared" si="98"/>
        <v>896</v>
      </c>
      <c r="B900">
        <v>2.069594162805647E-2</v>
      </c>
      <c r="C900">
        <v>3.3952864649445462E-2</v>
      </c>
      <c r="D900">
        <v>3.414871997327007E-2</v>
      </c>
      <c r="E900">
        <v>2.3817172664563957E-2</v>
      </c>
      <c r="F900">
        <v>3.4463449001677082E-3</v>
      </c>
      <c r="G900">
        <v>1.9030960641576056E-2</v>
      </c>
      <c r="H900">
        <v>3.4310251348591336E-2</v>
      </c>
      <c r="I900">
        <v>0.13791073131592824</v>
      </c>
      <c r="J900">
        <v>0</v>
      </c>
      <c r="K900">
        <v>0.39467465248121125</v>
      </c>
      <c r="L900">
        <v>0.23438899607994623</v>
      </c>
      <c r="M900">
        <v>0.76561100392005377</v>
      </c>
      <c r="N900">
        <v>3.1127251270123495E-2</v>
      </c>
      <c r="O900" s="72">
        <v>0.99872126940630712</v>
      </c>
      <c r="P900">
        <v>0.98044522578479842</v>
      </c>
      <c r="Q900">
        <v>0.98421402368736277</v>
      </c>
      <c r="R900">
        <v>0.504502491635483</v>
      </c>
      <c r="S900">
        <v>0.35851015058369107</v>
      </c>
      <c r="T900">
        <v>0.26032393883111771</v>
      </c>
      <c r="U900">
        <v>0.76317525325601865</v>
      </c>
      <c r="V900">
        <v>0.66306103355903279</v>
      </c>
      <c r="W900">
        <v>0.50609680006462621</v>
      </c>
      <c r="X900">
        <v>0.48143392746298486</v>
      </c>
      <c r="Y900">
        <v>0.48200979536801536</v>
      </c>
      <c r="Z900">
        <v>0.47816528942322567</v>
      </c>
      <c r="AA900">
        <v>0.7794044212837703</v>
      </c>
      <c r="AB900">
        <v>0.85777059546494305</v>
      </c>
      <c r="AC900">
        <v>0.70472710518065051</v>
      </c>
      <c r="AD900">
        <v>0.60944766038940146</v>
      </c>
      <c r="AE900">
        <v>239.53772779110747</v>
      </c>
      <c r="AF900">
        <v>1052.7773028492127</v>
      </c>
      <c r="AG900">
        <v>1984.4529713445961</v>
      </c>
      <c r="AH900">
        <v>14469.826692803656</v>
      </c>
      <c r="AI900">
        <v>17353.056847791944</v>
      </c>
      <c r="AJ900">
        <v>41635.544211990775</v>
      </c>
      <c r="AK900">
        <v>13477.412762555743</v>
      </c>
      <c r="AL900">
        <v>1726.3596761428607</v>
      </c>
      <c r="AM900">
        <v>539.4259947176497</v>
      </c>
      <c r="AO900">
        <v>44787.166020226003</v>
      </c>
      <c r="AP900">
        <v>13.788917919700513</v>
      </c>
      <c r="AQ900">
        <v>49568.950396676031</v>
      </c>
      <c r="AR900">
        <v>14.013461985171702</v>
      </c>
      <c r="AS900" s="2">
        <f t="shared" si="92"/>
        <v>4781.7843764500285</v>
      </c>
      <c r="AT900" s="2">
        <f t="shared" si="93"/>
        <v>0.22454406547118921</v>
      </c>
      <c r="AV900">
        <f t="shared" si="94"/>
        <v>1334104.6259498254</v>
      </c>
      <c r="AW900">
        <f t="shared" si="95"/>
        <v>1351777.2481204942</v>
      </c>
      <c r="AY900">
        <f t="shared" si="96"/>
        <v>0</v>
      </c>
      <c r="AZ900">
        <f t="shared" si="97"/>
        <v>1</v>
      </c>
    </row>
    <row r="901" spans="1:52" x14ac:dyDescent="0.2">
      <c r="A901">
        <f t="shared" si="98"/>
        <v>897</v>
      </c>
      <c r="B901">
        <v>2.1486713433198946E-2</v>
      </c>
      <c r="C901">
        <v>3.7877065449967495E-2</v>
      </c>
      <c r="D901">
        <v>2.4139204270195062E-2</v>
      </c>
      <c r="E901">
        <v>4.2069599669916271E-3</v>
      </c>
      <c r="F901">
        <v>3.418456090405475E-3</v>
      </c>
      <c r="G901">
        <v>3.5158969512381288E-2</v>
      </c>
      <c r="H901">
        <v>2.2020784036861328E-2</v>
      </c>
      <c r="I901">
        <v>0.13226945610661778</v>
      </c>
      <c r="J901">
        <v>0</v>
      </c>
      <c r="K901">
        <v>0.44053471456450799</v>
      </c>
      <c r="L901">
        <v>0.21731592193752636</v>
      </c>
      <c r="M901">
        <v>0.78268407806247364</v>
      </c>
      <c r="N901">
        <v>5.919776050933645E-2</v>
      </c>
      <c r="O901" s="72">
        <v>0.99999998207466789</v>
      </c>
      <c r="P901">
        <v>0.99999962465527892</v>
      </c>
      <c r="Q901">
        <v>0.9671048445360535</v>
      </c>
      <c r="R901">
        <v>0.47911692127612371</v>
      </c>
      <c r="S901">
        <v>0.36338185503026899</v>
      </c>
      <c r="T901">
        <v>0.17895976851054618</v>
      </c>
      <c r="U901">
        <v>0.75957442113862317</v>
      </c>
      <c r="V901">
        <v>0.74511122708627919</v>
      </c>
      <c r="W901">
        <v>0.53418852849594367</v>
      </c>
      <c r="X901">
        <v>0.40464516769210757</v>
      </c>
      <c r="Y901">
        <v>0.46623346765615525</v>
      </c>
      <c r="Z901">
        <v>0.4611160845727017</v>
      </c>
      <c r="AA901">
        <v>0.68043877141956199</v>
      </c>
      <c r="AB901">
        <v>0.82866862949921827</v>
      </c>
      <c r="AC901">
        <v>0.65632364261995368</v>
      </c>
      <c r="AD901">
        <v>0.63018729826920683</v>
      </c>
      <c r="AE901">
        <v>229.91070312800227</v>
      </c>
      <c r="AF901">
        <v>866.78543512018939</v>
      </c>
      <c r="AG901">
        <v>1653.5376973461821</v>
      </c>
      <c r="AH901">
        <v>15492.689276149464</v>
      </c>
      <c r="AI901">
        <v>13356.526567835484</v>
      </c>
      <c r="AJ901">
        <v>47000.534742755612</v>
      </c>
      <c r="AK901">
        <v>13993.957681933141</v>
      </c>
      <c r="AL901">
        <v>2198.1397534074517</v>
      </c>
      <c r="AM901">
        <v>403.55968520788343</v>
      </c>
      <c r="AO901">
        <v>45826.052725525951</v>
      </c>
      <c r="AP901">
        <v>13.368649048005118</v>
      </c>
      <c r="AQ901">
        <v>46835.356241799556</v>
      </c>
      <c r="AR901">
        <v>13.55015236314423</v>
      </c>
      <c r="AS901" s="2">
        <f t="shared" si="92"/>
        <v>1009.3035162736051</v>
      </c>
      <c r="AT901" s="2">
        <f t="shared" si="93"/>
        <v>0.18150331513911233</v>
      </c>
      <c r="AV901">
        <f t="shared" si="94"/>
        <v>1291038.8520749856</v>
      </c>
      <c r="AW901">
        <f t="shared" si="95"/>
        <v>1308179.8800726233</v>
      </c>
      <c r="AY901">
        <f t="shared" si="96"/>
        <v>0</v>
      </c>
      <c r="AZ901">
        <f t="shared" si="97"/>
        <v>1</v>
      </c>
    </row>
    <row r="902" spans="1:52" x14ac:dyDescent="0.2">
      <c r="A902">
        <f t="shared" si="98"/>
        <v>898</v>
      </c>
      <c r="B902">
        <v>2.1588151181576483E-2</v>
      </c>
      <c r="C902">
        <v>4.6533979176919593E-2</v>
      </c>
      <c r="D902">
        <v>3.968048756166398E-2</v>
      </c>
      <c r="E902">
        <v>6.0031636751489495E-3</v>
      </c>
      <c r="F902">
        <v>3.381573378140601E-3</v>
      </c>
      <c r="G902">
        <v>4.0158114039402998E-3</v>
      </c>
      <c r="H902">
        <v>3.8805848292436718E-2</v>
      </c>
      <c r="I902">
        <v>0.13131714744588063</v>
      </c>
      <c r="J902">
        <v>0</v>
      </c>
      <c r="K902">
        <v>0.42493719193354118</v>
      </c>
      <c r="L902">
        <v>0.30679908343309714</v>
      </c>
      <c r="M902">
        <v>0.69320091656690286</v>
      </c>
      <c r="N902">
        <v>5.441218251704702E-2</v>
      </c>
      <c r="O902" s="72">
        <v>0.9997826775430857</v>
      </c>
      <c r="P902">
        <v>0.9916646580234918</v>
      </c>
      <c r="Q902">
        <v>0.99435803596300709</v>
      </c>
      <c r="R902">
        <v>0.48583934203158297</v>
      </c>
      <c r="S902">
        <v>0.47194691732462346</v>
      </c>
      <c r="T902">
        <v>0.12200796022905913</v>
      </c>
      <c r="U902">
        <v>0.77504279984453173</v>
      </c>
      <c r="V902">
        <v>0.64485857827879034</v>
      </c>
      <c r="W902">
        <v>0.54058803441404069</v>
      </c>
      <c r="X902">
        <v>0.43069171573062631</v>
      </c>
      <c r="Y902">
        <v>0.46506268152475905</v>
      </c>
      <c r="Z902">
        <v>0.45749740653463489</v>
      </c>
      <c r="AA902">
        <v>0.74409402016569903</v>
      </c>
      <c r="AB902">
        <v>0.84455253789529694</v>
      </c>
      <c r="AC902">
        <v>0.69291619762312928</v>
      </c>
      <c r="AD902">
        <v>0.55802947349307741</v>
      </c>
      <c r="AE902">
        <v>207.73235417546962</v>
      </c>
      <c r="AF902">
        <v>1143.0716260037132</v>
      </c>
      <c r="AG902">
        <v>1134.5170421261241</v>
      </c>
      <c r="AH902">
        <v>16051.586172685404</v>
      </c>
      <c r="AI902">
        <v>9648.2461236207728</v>
      </c>
      <c r="AJ902">
        <v>40779.172928639833</v>
      </c>
      <c r="AK902">
        <v>16473.83617257854</v>
      </c>
      <c r="AL902">
        <v>2660.5237864945439</v>
      </c>
      <c r="AM902">
        <v>317.79525132454262</v>
      </c>
      <c r="AO902">
        <v>45051.009590680958</v>
      </c>
      <c r="AP902">
        <v>13.517998302644546</v>
      </c>
      <c r="AQ902">
        <v>45658.588665501906</v>
      </c>
      <c r="AR902">
        <v>13.739935879829481</v>
      </c>
      <c r="AS902" s="2">
        <f t="shared" ref="AS902:AS965" si="99">AQ902-AO902</f>
        <v>607.57907482094743</v>
      </c>
      <c r="AT902" s="2">
        <f t="shared" ref="AT902:AT965" si="100">AR902-AP902</f>
        <v>0.22193757718493501</v>
      </c>
      <c r="AV902">
        <f t="shared" ref="AV902:AV965" si="101">$AW$1*AP902-AO902</f>
        <v>1306748.8206737738</v>
      </c>
      <c r="AW902">
        <f t="shared" ref="AW902:AW965" si="102">$AW$1*AR902-AQ902</f>
        <v>1328334.9993174463</v>
      </c>
      <c r="AY902">
        <f t="shared" ref="AY902:AY965" si="103">IF(AV902=MAX($AV902:$AW902),1,0)</f>
        <v>0</v>
      </c>
      <c r="AZ902">
        <f t="shared" ref="AZ902:AZ965" si="104">IF(AW902=MAX($AV902:$AW902),1,0)</f>
        <v>1</v>
      </c>
    </row>
    <row r="903" spans="1:52" x14ac:dyDescent="0.2">
      <c r="A903">
        <f t="shared" si="98"/>
        <v>899</v>
      </c>
      <c r="B903">
        <v>2.1626536191575518E-2</v>
      </c>
      <c r="C903">
        <v>5.562096624451951E-2</v>
      </c>
      <c r="D903">
        <v>3.4085862456708138E-2</v>
      </c>
      <c r="E903">
        <v>1.374063803188208E-2</v>
      </c>
      <c r="F903">
        <v>3.4157223708245477E-3</v>
      </c>
      <c r="G903">
        <v>1.0889055978647604E-2</v>
      </c>
      <c r="H903">
        <v>2.2975667238543811E-2</v>
      </c>
      <c r="I903">
        <v>0.13231702240104026</v>
      </c>
      <c r="J903">
        <v>0</v>
      </c>
      <c r="K903">
        <v>0.41918584278850818</v>
      </c>
      <c r="L903">
        <v>0.19283159025550298</v>
      </c>
      <c r="M903">
        <v>0.807168409744497</v>
      </c>
      <c r="N903">
        <v>4.3254076568169438E-2</v>
      </c>
      <c r="O903" s="72">
        <v>0.99830769787516016</v>
      </c>
      <c r="P903">
        <v>0.9948555720434813</v>
      </c>
      <c r="Q903">
        <v>0.97175601946952739</v>
      </c>
      <c r="R903">
        <v>0.48978086938880439</v>
      </c>
      <c r="S903">
        <v>0.46779863248657449</v>
      </c>
      <c r="T903">
        <v>0.17383279498194648</v>
      </c>
      <c r="U903">
        <v>0.76997862283800056</v>
      </c>
      <c r="V903">
        <v>0.73684574122441271</v>
      </c>
      <c r="W903">
        <v>0.55038336647723873</v>
      </c>
      <c r="X903">
        <v>0.46446175531814826</v>
      </c>
      <c r="Y903">
        <v>0.40281759822649083</v>
      </c>
      <c r="Z903">
        <v>0.43682553019701625</v>
      </c>
      <c r="AA903">
        <v>0.63669138308974216</v>
      </c>
      <c r="AB903">
        <v>0.84757562006791276</v>
      </c>
      <c r="AC903">
        <v>0.71108057666832392</v>
      </c>
      <c r="AD903">
        <v>0.58703849893615168</v>
      </c>
      <c r="AE903">
        <v>151.71934239272701</v>
      </c>
      <c r="AF903">
        <v>959.99063595781513</v>
      </c>
      <c r="AG903">
        <v>1694.1740792780367</v>
      </c>
      <c r="AH903">
        <v>14365.38652303171</v>
      </c>
      <c r="AI903">
        <v>18053.169859605921</v>
      </c>
      <c r="AJ903">
        <v>39828.983604007284</v>
      </c>
      <c r="AK903">
        <v>10440.017010385389</v>
      </c>
      <c r="AL903">
        <v>1411.189373017266</v>
      </c>
      <c r="AM903">
        <v>312.61487254283713</v>
      </c>
      <c r="AO903">
        <v>42830.323908122715</v>
      </c>
      <c r="AP903">
        <v>13.641571100334952</v>
      </c>
      <c r="AQ903">
        <v>45504.533427947979</v>
      </c>
      <c r="AR903">
        <v>13.853761900645873</v>
      </c>
      <c r="AS903" s="2">
        <f t="shared" si="99"/>
        <v>2674.2095198252646</v>
      </c>
      <c r="AT903" s="2">
        <f t="shared" si="100"/>
        <v>0.21219080031092119</v>
      </c>
      <c r="AV903">
        <f t="shared" si="101"/>
        <v>1321326.7861253724</v>
      </c>
      <c r="AW903">
        <f t="shared" si="102"/>
        <v>1339871.6566366395</v>
      </c>
      <c r="AY903">
        <f t="shared" si="103"/>
        <v>0</v>
      </c>
      <c r="AZ903">
        <f t="shared" si="104"/>
        <v>1</v>
      </c>
    </row>
    <row r="904" spans="1:52" x14ac:dyDescent="0.2">
      <c r="A904">
        <f t="shared" si="98"/>
        <v>900</v>
      </c>
      <c r="B904">
        <v>3.0125771738402363E-2</v>
      </c>
      <c r="C904">
        <v>3.5590885849842088E-2</v>
      </c>
      <c r="D904">
        <v>4.0535320004956854E-2</v>
      </c>
      <c r="E904">
        <v>1.782997701313549E-2</v>
      </c>
      <c r="F904">
        <v>3.3470108136799404E-3</v>
      </c>
      <c r="G904">
        <v>3.6197840849650498E-2</v>
      </c>
      <c r="H904">
        <v>2.1136399312417245E-2</v>
      </c>
      <c r="I904">
        <v>0.13382484466790845</v>
      </c>
      <c r="J904">
        <v>0</v>
      </c>
      <c r="K904">
        <v>0.45544928304437682</v>
      </c>
      <c r="L904">
        <v>0.26557362690476283</v>
      </c>
      <c r="M904">
        <v>0.73442637309523717</v>
      </c>
      <c r="N904">
        <v>5.4634215469028018E-2</v>
      </c>
      <c r="O904" s="72">
        <v>0.98168693783878713</v>
      </c>
      <c r="P904">
        <v>0.99459698260106177</v>
      </c>
      <c r="Q904">
        <v>0.91009704524966295</v>
      </c>
      <c r="R904">
        <v>0.46333597270311278</v>
      </c>
      <c r="S904">
        <v>0.34609280284412125</v>
      </c>
      <c r="T904">
        <v>0.24877267089227273</v>
      </c>
      <c r="U904">
        <v>0.7931817288122277</v>
      </c>
      <c r="V904">
        <v>0.69480388153464334</v>
      </c>
      <c r="W904">
        <v>0.55800022665797855</v>
      </c>
      <c r="X904">
        <v>0.4716208275128928</v>
      </c>
      <c r="Y904">
        <v>0.43794946918690053</v>
      </c>
      <c r="Z904">
        <v>0.50148039723233351</v>
      </c>
      <c r="AA904">
        <v>0.74399775101303556</v>
      </c>
      <c r="AB904">
        <v>0.77589442088318206</v>
      </c>
      <c r="AC904">
        <v>0.64919844050515829</v>
      </c>
      <c r="AD904">
        <v>0.67628655863900911</v>
      </c>
      <c r="AE904">
        <v>211.42684673027617</v>
      </c>
      <c r="AF904">
        <v>994.99701370592811</v>
      </c>
      <c r="AG904">
        <v>1308.5409719594336</v>
      </c>
      <c r="AH904">
        <v>15160.918217431177</v>
      </c>
      <c r="AI904">
        <v>8947.3813530381885</v>
      </c>
      <c r="AJ904">
        <v>38928.467946889679</v>
      </c>
      <c r="AK904">
        <v>10479.211151833157</v>
      </c>
      <c r="AL904">
        <v>1725.0062904216545</v>
      </c>
      <c r="AM904">
        <v>499.51541122902154</v>
      </c>
      <c r="AO904">
        <v>46419.850960700438</v>
      </c>
      <c r="AP904">
        <v>12.7164682482227</v>
      </c>
      <c r="AQ904">
        <v>48737.895032242901</v>
      </c>
      <c r="AR904">
        <v>12.865866698439794</v>
      </c>
      <c r="AS904" s="2">
        <f t="shared" si="99"/>
        <v>2318.0440715424629</v>
      </c>
      <c r="AT904" s="2">
        <f t="shared" si="100"/>
        <v>0.14939845021709353</v>
      </c>
      <c r="AV904">
        <f t="shared" si="101"/>
        <v>1225226.9738615695</v>
      </c>
      <c r="AW904">
        <f t="shared" si="102"/>
        <v>1237848.7748117365</v>
      </c>
      <c r="AY904">
        <f t="shared" si="103"/>
        <v>0</v>
      </c>
      <c r="AZ904">
        <f t="shared" si="104"/>
        <v>1</v>
      </c>
    </row>
    <row r="905" spans="1:52" x14ac:dyDescent="0.2">
      <c r="A905">
        <f t="shared" si="98"/>
        <v>901</v>
      </c>
      <c r="B905">
        <v>1.9567613750069036E-2</v>
      </c>
      <c r="C905">
        <v>3.5548734960845194E-2</v>
      </c>
      <c r="D905">
        <v>3.6000229610125542E-2</v>
      </c>
      <c r="E905">
        <v>5.9051265462634036E-3</v>
      </c>
      <c r="F905">
        <v>3.4935111513888506E-3</v>
      </c>
      <c r="G905">
        <v>1.2475783971370946E-2</v>
      </c>
      <c r="H905">
        <v>1.4415370078330044E-2</v>
      </c>
      <c r="I905">
        <v>0.11559738338795891</v>
      </c>
      <c r="J905">
        <v>0</v>
      </c>
      <c r="K905">
        <v>0.38315621407387385</v>
      </c>
      <c r="L905">
        <v>0.26654854590861332</v>
      </c>
      <c r="M905">
        <v>0.73345145409138668</v>
      </c>
      <c r="N905">
        <v>8.6051984094626999E-2</v>
      </c>
      <c r="O905" s="72">
        <v>0.9123527249101796</v>
      </c>
      <c r="P905">
        <v>0.99619375258055642</v>
      </c>
      <c r="Q905">
        <v>0.96953606694652894</v>
      </c>
      <c r="R905">
        <v>0.4861689759835276</v>
      </c>
      <c r="S905">
        <v>0.39999280577768281</v>
      </c>
      <c r="T905">
        <v>0.26413772718819828</v>
      </c>
      <c r="U905">
        <v>0.77642769755766738</v>
      </c>
      <c r="V905">
        <v>0.67081025024755947</v>
      </c>
      <c r="W905">
        <v>0.4885287913359434</v>
      </c>
      <c r="X905">
        <v>0.4721138344026008</v>
      </c>
      <c r="Y905">
        <v>0.42412414713910263</v>
      </c>
      <c r="Z905">
        <v>0.43326737746541405</v>
      </c>
      <c r="AA905">
        <v>0.5921497421275983</v>
      </c>
      <c r="AB905">
        <v>0.78483146330657982</v>
      </c>
      <c r="AC905">
        <v>0.72136873678210711</v>
      </c>
      <c r="AD905">
        <v>0.55517161624798994</v>
      </c>
      <c r="AE905">
        <v>130.03803949240637</v>
      </c>
      <c r="AF905">
        <v>1055.9875905663407</v>
      </c>
      <c r="AG905">
        <v>1596.2721217322392</v>
      </c>
      <c r="AH905">
        <v>16667.10623343843</v>
      </c>
      <c r="AI905">
        <v>14489.814309790416</v>
      </c>
      <c r="AJ905">
        <v>42894.266229430068</v>
      </c>
      <c r="AK905">
        <v>17968.598319266515</v>
      </c>
      <c r="AL905">
        <v>2059.6134913215851</v>
      </c>
      <c r="AM905">
        <v>400.48086401505566</v>
      </c>
      <c r="AO905">
        <v>43115.957908730947</v>
      </c>
      <c r="AP905">
        <v>12.850198883580131</v>
      </c>
      <c r="AQ905">
        <v>47311.833809925549</v>
      </c>
      <c r="AR905">
        <v>12.957486911741297</v>
      </c>
      <c r="AS905" s="2">
        <f t="shared" si="99"/>
        <v>4195.8759011946022</v>
      </c>
      <c r="AT905" s="2">
        <f t="shared" si="100"/>
        <v>0.10728802816116634</v>
      </c>
      <c r="AV905">
        <f t="shared" si="101"/>
        <v>1241903.9304492821</v>
      </c>
      <c r="AW905">
        <f t="shared" si="102"/>
        <v>1248436.8573642042</v>
      </c>
      <c r="AY905">
        <f t="shared" si="103"/>
        <v>0</v>
      </c>
      <c r="AZ905">
        <f t="shared" si="104"/>
        <v>1</v>
      </c>
    </row>
    <row r="906" spans="1:52" x14ac:dyDescent="0.2">
      <c r="A906">
        <f t="shared" si="98"/>
        <v>902</v>
      </c>
      <c r="B906">
        <v>2.6661375830932976E-2</v>
      </c>
      <c r="C906">
        <v>3.0714234403088028E-2</v>
      </c>
      <c r="D906">
        <v>4.7653480171956586E-2</v>
      </c>
      <c r="E906">
        <v>5.1247718418517092E-3</v>
      </c>
      <c r="F906">
        <v>3.3279701211612429E-3</v>
      </c>
      <c r="G906">
        <v>6.9750465001754674E-3</v>
      </c>
      <c r="H906">
        <v>1.6956529293387056E-2</v>
      </c>
      <c r="I906">
        <v>0.11098707096051441</v>
      </c>
      <c r="J906">
        <v>0</v>
      </c>
      <c r="K906">
        <v>0.40895839849128124</v>
      </c>
      <c r="L906">
        <v>0.20684972983956781</v>
      </c>
      <c r="M906">
        <v>0.79315027016043216</v>
      </c>
      <c r="N906">
        <v>7.5176516261929893E-2</v>
      </c>
      <c r="O906" s="72">
        <v>0.99996605446504438</v>
      </c>
      <c r="P906">
        <v>0.97545582355854765</v>
      </c>
      <c r="Q906">
        <v>0.99768179591498751</v>
      </c>
      <c r="R906">
        <v>0.51727183847051461</v>
      </c>
      <c r="S906">
        <v>0.37326466946602821</v>
      </c>
      <c r="T906">
        <v>0.22288843132243519</v>
      </c>
      <c r="U906">
        <v>0.75658939679555304</v>
      </c>
      <c r="V906">
        <v>0.65348109374813701</v>
      </c>
      <c r="W906">
        <v>0.51521602065431171</v>
      </c>
      <c r="X906">
        <v>0.44240797234215834</v>
      </c>
      <c r="Y906">
        <v>0.48777136879805849</v>
      </c>
      <c r="Z906">
        <v>0.44873762930201516</v>
      </c>
      <c r="AA906">
        <v>0.70848628397472979</v>
      </c>
      <c r="AB906">
        <v>0.73800352101286748</v>
      </c>
      <c r="AC906">
        <v>0.69019858663178479</v>
      </c>
      <c r="AD906">
        <v>0.5706003491967061</v>
      </c>
      <c r="AE906">
        <v>237.13229889166985</v>
      </c>
      <c r="AF906">
        <v>1143.497756952366</v>
      </c>
      <c r="AG906">
        <v>1544.6201030622785</v>
      </c>
      <c r="AH906">
        <v>11158.720783850829</v>
      </c>
      <c r="AI906">
        <v>12393.597774867925</v>
      </c>
      <c r="AJ906">
        <v>43331.207415014709</v>
      </c>
      <c r="AK906">
        <v>25155.78400260381</v>
      </c>
      <c r="AL906">
        <v>2368.0624836944062</v>
      </c>
      <c r="AM906">
        <v>308.55290871101795</v>
      </c>
      <c r="AO906">
        <v>41313.760172875045</v>
      </c>
      <c r="AP906">
        <v>12.169692419418359</v>
      </c>
      <c r="AQ906">
        <v>45998.332070122779</v>
      </c>
      <c r="AR906">
        <v>12.276139958413287</v>
      </c>
      <c r="AS906" s="2">
        <f t="shared" si="99"/>
        <v>4684.5718972477334</v>
      </c>
      <c r="AT906" s="2">
        <f t="shared" si="100"/>
        <v>0.10644753899492798</v>
      </c>
      <c r="AV906">
        <f t="shared" si="101"/>
        <v>1175655.4817689608</v>
      </c>
      <c r="AW906">
        <f t="shared" si="102"/>
        <v>1181615.663771206</v>
      </c>
      <c r="AY906">
        <f t="shared" si="103"/>
        <v>0</v>
      </c>
      <c r="AZ906">
        <f t="shared" si="104"/>
        <v>1</v>
      </c>
    </row>
    <row r="907" spans="1:52" x14ac:dyDescent="0.2">
      <c r="A907">
        <f t="shared" si="98"/>
        <v>903</v>
      </c>
      <c r="B907">
        <v>2.9546997141211895E-2</v>
      </c>
      <c r="C907">
        <v>3.0694041641607606E-2</v>
      </c>
      <c r="D907">
        <v>5.5594336373890552E-2</v>
      </c>
      <c r="E907">
        <v>7.2580017804237439E-3</v>
      </c>
      <c r="F907">
        <v>3.4334937263362786E-3</v>
      </c>
      <c r="G907">
        <v>7.064554960142108E-3</v>
      </c>
      <c r="H907">
        <v>4.5478589328794339E-2</v>
      </c>
      <c r="I907">
        <v>0.12401287725425805</v>
      </c>
      <c r="J907">
        <v>0</v>
      </c>
      <c r="K907">
        <v>0.45209508196755221</v>
      </c>
      <c r="L907">
        <v>0.20077315963423886</v>
      </c>
      <c r="M907">
        <v>0.79922684036576119</v>
      </c>
      <c r="N907">
        <v>5.3052684200776003E-2</v>
      </c>
      <c r="O907" s="72">
        <v>0.99956375910848427</v>
      </c>
      <c r="P907">
        <v>0.99995516264514916</v>
      </c>
      <c r="Q907">
        <v>0.97491227991790752</v>
      </c>
      <c r="R907">
        <v>0.43819431244397067</v>
      </c>
      <c r="S907">
        <v>0.36869664058061169</v>
      </c>
      <c r="T907">
        <v>0.17354485784132034</v>
      </c>
      <c r="U907">
        <v>0.78040493424780577</v>
      </c>
      <c r="V907">
        <v>0.73595915623051078</v>
      </c>
      <c r="W907">
        <v>0.60040992099530477</v>
      </c>
      <c r="X907">
        <v>0.45156700565508967</v>
      </c>
      <c r="Y907">
        <v>0.4710864926548709</v>
      </c>
      <c r="Z907">
        <v>0.43023773599814247</v>
      </c>
      <c r="AA907">
        <v>0.67214968883985715</v>
      </c>
      <c r="AB907">
        <v>0.81839084649176541</v>
      </c>
      <c r="AC907">
        <v>0.74040691586906071</v>
      </c>
      <c r="AD907">
        <v>0.5724338897858019</v>
      </c>
      <c r="AE907">
        <v>170.84363506126937</v>
      </c>
      <c r="AF907">
        <v>1178.4718124934684</v>
      </c>
      <c r="AG907">
        <v>1892.2334681628436</v>
      </c>
      <c r="AH907">
        <v>13746.715493283889</v>
      </c>
      <c r="AI907">
        <v>9756.7808998082473</v>
      </c>
      <c r="AJ907">
        <v>36319.507024146587</v>
      </c>
      <c r="AK907">
        <v>12459.378368602796</v>
      </c>
      <c r="AL907">
        <v>1629.6265002665548</v>
      </c>
      <c r="AM907">
        <v>380.85666828196435</v>
      </c>
      <c r="AO907">
        <v>47808.161938839832</v>
      </c>
      <c r="AP907">
        <v>13.299161547766513</v>
      </c>
      <c r="AQ907">
        <v>46451.461321934599</v>
      </c>
      <c r="AR907">
        <v>13.483676260336093</v>
      </c>
      <c r="AS907" s="2">
        <f t="shared" si="99"/>
        <v>-1356.7006169052329</v>
      </c>
      <c r="AT907" s="2">
        <f t="shared" si="100"/>
        <v>0.1845147125695803</v>
      </c>
      <c r="AV907">
        <f t="shared" si="101"/>
        <v>1282107.9928378114</v>
      </c>
      <c r="AW907">
        <f t="shared" si="102"/>
        <v>1301916.1647116747</v>
      </c>
      <c r="AY907">
        <f t="shared" si="103"/>
        <v>0</v>
      </c>
      <c r="AZ907">
        <f t="shared" si="104"/>
        <v>1</v>
      </c>
    </row>
    <row r="908" spans="1:52" x14ac:dyDescent="0.2">
      <c r="A908">
        <f t="shared" si="98"/>
        <v>904</v>
      </c>
      <c r="B908">
        <v>2.7012312004293326E-2</v>
      </c>
      <c r="C908">
        <v>2.954793600103264E-2</v>
      </c>
      <c r="D908">
        <v>3.6599261704590123E-2</v>
      </c>
      <c r="E908">
        <v>9.1914132575221137E-3</v>
      </c>
      <c r="F908">
        <v>3.3231416320029647E-3</v>
      </c>
      <c r="G908">
        <v>1.2254307911398477E-2</v>
      </c>
      <c r="H908">
        <v>2.2308733873434988E-2</v>
      </c>
      <c r="I908">
        <v>0.12115114791764545</v>
      </c>
      <c r="J908">
        <v>0</v>
      </c>
      <c r="K908">
        <v>0.4122282740733148</v>
      </c>
      <c r="L908">
        <v>0.23433591841875467</v>
      </c>
      <c r="M908">
        <v>0.76566408158124533</v>
      </c>
      <c r="N908">
        <v>3.7581167561083199E-2</v>
      </c>
      <c r="O908" s="72">
        <v>0.99942216364646841</v>
      </c>
      <c r="P908">
        <v>0.97856355227664449</v>
      </c>
      <c r="Q908">
        <v>0.97326036351205536</v>
      </c>
      <c r="R908">
        <v>0.5089380923421245</v>
      </c>
      <c r="S908">
        <v>0.47784406311649197</v>
      </c>
      <c r="T908">
        <v>0.25095805489659417</v>
      </c>
      <c r="U908">
        <v>0.76041266584538003</v>
      </c>
      <c r="V908">
        <v>0.67802061585985984</v>
      </c>
      <c r="W908">
        <v>0.63312216062871352</v>
      </c>
      <c r="X908">
        <v>0.40387364756168281</v>
      </c>
      <c r="Y908">
        <v>0.44656166533610192</v>
      </c>
      <c r="Z908">
        <v>0.433238037411946</v>
      </c>
      <c r="AA908">
        <v>0.67388836670174346</v>
      </c>
      <c r="AB908">
        <v>0.86323162650879792</v>
      </c>
      <c r="AC908">
        <v>0.66069681481968701</v>
      </c>
      <c r="AD908">
        <v>0.58617723908448649</v>
      </c>
      <c r="AE908">
        <v>180.62954640130047</v>
      </c>
      <c r="AF908">
        <v>997.74080647736992</v>
      </c>
      <c r="AG908">
        <v>1697.9005879012514</v>
      </c>
      <c r="AH908">
        <v>11283.363860663978</v>
      </c>
      <c r="AI908">
        <v>13260.525397982141</v>
      </c>
      <c r="AJ908">
        <v>36642.003423130212</v>
      </c>
      <c r="AK908">
        <v>10334.709788424758</v>
      </c>
      <c r="AL908">
        <v>2280.8662782831157</v>
      </c>
      <c r="AM908">
        <v>293.02790283199153</v>
      </c>
      <c r="AO908">
        <v>39629.343502900927</v>
      </c>
      <c r="AP908">
        <v>13.785899137021998</v>
      </c>
      <c r="AQ908">
        <v>45670.259376833812</v>
      </c>
      <c r="AR908">
        <v>13.975830965987338</v>
      </c>
      <c r="AS908" s="2">
        <f t="shared" si="99"/>
        <v>6040.915873932885</v>
      </c>
      <c r="AT908" s="2">
        <f t="shared" si="100"/>
        <v>0.18993182896534044</v>
      </c>
      <c r="AV908">
        <f t="shared" si="101"/>
        <v>1338960.5701992987</v>
      </c>
      <c r="AW908">
        <f t="shared" si="102"/>
        <v>1351912.8372219</v>
      </c>
      <c r="AY908">
        <f t="shared" si="103"/>
        <v>0</v>
      </c>
      <c r="AZ908">
        <f t="shared" si="104"/>
        <v>1</v>
      </c>
    </row>
    <row r="909" spans="1:52" x14ac:dyDescent="0.2">
      <c r="A909">
        <f t="shared" si="98"/>
        <v>905</v>
      </c>
      <c r="B909">
        <v>2.3642373819298984E-2</v>
      </c>
      <c r="C909">
        <v>3.1210589127575229E-2</v>
      </c>
      <c r="D909">
        <v>2.8914129967369633E-2</v>
      </c>
      <c r="E909">
        <v>6.0644784296852872E-3</v>
      </c>
      <c r="F909">
        <v>3.3206903799192235E-3</v>
      </c>
      <c r="G909">
        <v>4.11433706149536E-3</v>
      </c>
      <c r="H909">
        <v>2.6595501641251535E-2</v>
      </c>
      <c r="I909">
        <v>0.13404736853268706</v>
      </c>
      <c r="J909">
        <v>0</v>
      </c>
      <c r="K909">
        <v>0.39308945167140741</v>
      </c>
      <c r="L909">
        <v>0.25205457497426975</v>
      </c>
      <c r="M909">
        <v>0.74794542502573025</v>
      </c>
      <c r="N909">
        <v>5.9448672730827212E-2</v>
      </c>
      <c r="O909" s="72">
        <v>0.99706469179818691</v>
      </c>
      <c r="P909">
        <v>0.99997474317067325</v>
      </c>
      <c r="Q909">
        <v>0.98805041012118211</v>
      </c>
      <c r="R909">
        <v>0.52017993049748579</v>
      </c>
      <c r="S909">
        <v>0.43432832422339929</v>
      </c>
      <c r="T909">
        <v>0.28748470987449481</v>
      </c>
      <c r="U909">
        <v>0.75892015288181092</v>
      </c>
      <c r="V909">
        <v>0.65198000074280882</v>
      </c>
      <c r="W909">
        <v>0.56102277198938277</v>
      </c>
      <c r="X909">
        <v>0.42503741145102919</v>
      </c>
      <c r="Y909">
        <v>0.42262360230529605</v>
      </c>
      <c r="Z909">
        <v>0.47367616025192627</v>
      </c>
      <c r="AA909">
        <v>0.68321393874759839</v>
      </c>
      <c r="AB909">
        <v>0.82528375834211309</v>
      </c>
      <c r="AC909">
        <v>0.74587660629738295</v>
      </c>
      <c r="AD909">
        <v>0.67514978482428389</v>
      </c>
      <c r="AE909">
        <v>234.46236977032024</v>
      </c>
      <c r="AF909">
        <v>1035.291235277695</v>
      </c>
      <c r="AG909">
        <v>2105.0619984532646</v>
      </c>
      <c r="AH909">
        <v>12861.117559504937</v>
      </c>
      <c r="AI909">
        <v>10630.349884393318</v>
      </c>
      <c r="AJ909">
        <v>36976.175835450194</v>
      </c>
      <c r="AK909">
        <v>18978.910924338612</v>
      </c>
      <c r="AL909">
        <v>1644.0036314836188</v>
      </c>
      <c r="AM909">
        <v>315.78442318169328</v>
      </c>
      <c r="AO909">
        <v>39523.047399420924</v>
      </c>
      <c r="AP909">
        <v>13.573147762750326</v>
      </c>
      <c r="AQ909">
        <v>45414.998756592206</v>
      </c>
      <c r="AR909">
        <v>13.728971094309506</v>
      </c>
      <c r="AS909" s="2">
        <f t="shared" si="99"/>
        <v>5891.9513571712814</v>
      </c>
      <c r="AT909" s="2">
        <f t="shared" si="100"/>
        <v>0.15582333155917993</v>
      </c>
      <c r="AV909">
        <f t="shared" si="101"/>
        <v>1317791.7288756117</v>
      </c>
      <c r="AW909">
        <f t="shared" si="102"/>
        <v>1327482.1106743584</v>
      </c>
      <c r="AY909">
        <f t="shared" si="103"/>
        <v>0</v>
      </c>
      <c r="AZ909">
        <f t="shared" si="104"/>
        <v>1</v>
      </c>
    </row>
    <row r="910" spans="1:52" x14ac:dyDescent="0.2">
      <c r="A910">
        <f t="shared" si="98"/>
        <v>906</v>
      </c>
      <c r="B910">
        <v>2.1636985781857448E-2</v>
      </c>
      <c r="C910">
        <v>5.1858880366890237E-2</v>
      </c>
      <c r="D910">
        <v>2.9788152589034507E-2</v>
      </c>
      <c r="E910">
        <v>2.0161981141999408E-2</v>
      </c>
      <c r="F910">
        <v>3.3247452285900289E-3</v>
      </c>
      <c r="G910">
        <v>4.5496063957986776E-2</v>
      </c>
      <c r="H910">
        <v>5.3987122229706141E-2</v>
      </c>
      <c r="I910">
        <v>0.10999422812164245</v>
      </c>
      <c r="J910">
        <v>0</v>
      </c>
      <c r="K910">
        <v>0.42462787833602372</v>
      </c>
      <c r="L910">
        <v>0.20693176110299832</v>
      </c>
      <c r="M910">
        <v>0.79306823889700162</v>
      </c>
      <c r="N910">
        <v>7.962797766915064E-2</v>
      </c>
      <c r="O910" s="72">
        <v>0.99566652029421721</v>
      </c>
      <c r="P910">
        <v>0.7532082822049746</v>
      </c>
      <c r="Q910">
        <v>0.928512891930378</v>
      </c>
      <c r="R910">
        <v>0.46924019802514405</v>
      </c>
      <c r="S910">
        <v>0.35985072425799403</v>
      </c>
      <c r="T910">
        <v>0.2329462206764622</v>
      </c>
      <c r="U910">
        <v>0.7906022910676318</v>
      </c>
      <c r="V910">
        <v>0.6763697142939249</v>
      </c>
      <c r="W910">
        <v>0.56801008515126483</v>
      </c>
      <c r="X910">
        <v>0.43849441387221344</v>
      </c>
      <c r="Y910">
        <v>0.44700800020692943</v>
      </c>
      <c r="Z910">
        <v>0.40788375188779635</v>
      </c>
      <c r="AA910">
        <v>0.71478103764054501</v>
      </c>
      <c r="AB910">
        <v>0.83817865771048183</v>
      </c>
      <c r="AC910">
        <v>0.79620867457278555</v>
      </c>
      <c r="AD910">
        <v>0.62250034519494746</v>
      </c>
      <c r="AE910">
        <v>188.13107934836219</v>
      </c>
      <c r="AF910">
        <v>1317.9932577662282</v>
      </c>
      <c r="AG910">
        <v>1640.4307816307039</v>
      </c>
      <c r="AH910">
        <v>15660.637497207937</v>
      </c>
      <c r="AI910">
        <v>13775.260938242092</v>
      </c>
      <c r="AJ910">
        <v>39234.083006864603</v>
      </c>
      <c r="AK910">
        <v>16210.074525343247</v>
      </c>
      <c r="AL910">
        <v>1428.9179662592308</v>
      </c>
      <c r="AM910">
        <v>389.49631723644461</v>
      </c>
      <c r="AO910">
        <v>44805.831315626441</v>
      </c>
      <c r="AP910">
        <v>13.724990308034357</v>
      </c>
      <c r="AQ910">
        <v>56715.201268390279</v>
      </c>
      <c r="AR910">
        <v>13.908957990034249</v>
      </c>
      <c r="AS910" s="2">
        <f t="shared" si="99"/>
        <v>11909.369952763838</v>
      </c>
      <c r="AT910" s="2">
        <f t="shared" si="100"/>
        <v>0.18396768199989211</v>
      </c>
      <c r="AV910">
        <f t="shared" si="101"/>
        <v>1327693.1994878093</v>
      </c>
      <c r="AW910">
        <f t="shared" si="102"/>
        <v>1334180.5977350345</v>
      </c>
      <c r="AY910">
        <f t="shared" si="103"/>
        <v>0</v>
      </c>
      <c r="AZ910">
        <f t="shared" si="104"/>
        <v>1</v>
      </c>
    </row>
    <row r="911" spans="1:52" x14ac:dyDescent="0.2">
      <c r="A911">
        <f t="shared" si="98"/>
        <v>907</v>
      </c>
      <c r="B911">
        <v>2.5768040334663733E-2</v>
      </c>
      <c r="C911">
        <v>3.7415443157443384E-2</v>
      </c>
      <c r="D911">
        <v>2.5894632076348435E-2</v>
      </c>
      <c r="E911">
        <v>1.1895216905403516E-2</v>
      </c>
      <c r="F911">
        <v>3.3579243800929692E-3</v>
      </c>
      <c r="G911">
        <v>3.5635618767779098E-2</v>
      </c>
      <c r="H911">
        <v>3.6965876456797386E-2</v>
      </c>
      <c r="I911">
        <v>0.12988476021334594</v>
      </c>
      <c r="J911">
        <v>0</v>
      </c>
      <c r="K911">
        <v>0.37711002053292858</v>
      </c>
      <c r="L911">
        <v>0.164804565703181</v>
      </c>
      <c r="M911">
        <v>0.83519543429681897</v>
      </c>
      <c r="N911">
        <v>4.7181932045813904E-2</v>
      </c>
      <c r="O911" s="72">
        <v>0.99994577550659591</v>
      </c>
      <c r="P911">
        <v>0.9999997583832414</v>
      </c>
      <c r="Q911">
        <v>0.97743865314064404</v>
      </c>
      <c r="R911">
        <v>0.51532110478625737</v>
      </c>
      <c r="S911">
        <v>0.3921551043553263</v>
      </c>
      <c r="T911">
        <v>0.28167243728924174</v>
      </c>
      <c r="U911">
        <v>0.76352522363249331</v>
      </c>
      <c r="V911">
        <v>0.66834137347070699</v>
      </c>
      <c r="W911">
        <v>0.49319170942427326</v>
      </c>
      <c r="X911">
        <v>0.4754457000344342</v>
      </c>
      <c r="Y911">
        <v>0.45949238937192782</v>
      </c>
      <c r="Z911">
        <v>0.46878612339849413</v>
      </c>
      <c r="AA911">
        <v>0.70545954777724273</v>
      </c>
      <c r="AB911">
        <v>0.83648960309222886</v>
      </c>
      <c r="AC911">
        <v>0.74803504604142634</v>
      </c>
      <c r="AD911">
        <v>0.6021158062096067</v>
      </c>
      <c r="AE911">
        <v>225.5918888317423</v>
      </c>
      <c r="AF911">
        <v>1075.9914948769845</v>
      </c>
      <c r="AG911">
        <v>1647.7165322898077</v>
      </c>
      <c r="AH911">
        <v>13359.477225038114</v>
      </c>
      <c r="AI911">
        <v>9754.7495301171475</v>
      </c>
      <c r="AJ911">
        <v>40412.888041231185</v>
      </c>
      <c r="AK911">
        <v>18678.925958707467</v>
      </c>
      <c r="AL911">
        <v>1990.9837846627418</v>
      </c>
      <c r="AM911">
        <v>479.09576533037324</v>
      </c>
      <c r="AO911">
        <v>42529.602249308955</v>
      </c>
      <c r="AP911">
        <v>13.61426838227619</v>
      </c>
      <c r="AQ911">
        <v>47956.498497735927</v>
      </c>
      <c r="AR911">
        <v>13.789060135529708</v>
      </c>
      <c r="AS911" s="2">
        <f t="shared" si="99"/>
        <v>5426.8962484269723</v>
      </c>
      <c r="AT911" s="2">
        <f t="shared" si="100"/>
        <v>0.17479175325351726</v>
      </c>
      <c r="AV911">
        <f t="shared" si="101"/>
        <v>1318897.23597831</v>
      </c>
      <c r="AW911">
        <f t="shared" si="102"/>
        <v>1330949.5150552348</v>
      </c>
      <c r="AY911">
        <f t="shared" si="103"/>
        <v>0</v>
      </c>
      <c r="AZ911">
        <f t="shared" si="104"/>
        <v>1</v>
      </c>
    </row>
    <row r="912" spans="1:52" x14ac:dyDescent="0.2">
      <c r="A912">
        <f t="shared" si="98"/>
        <v>908</v>
      </c>
      <c r="B912">
        <v>2.2659252195746691E-2</v>
      </c>
      <c r="C912">
        <v>4.7914454275321705E-2</v>
      </c>
      <c r="D912">
        <v>3.7960542693024013E-2</v>
      </c>
      <c r="E912">
        <v>6.0742603268305276E-3</v>
      </c>
      <c r="F912">
        <v>3.2919489348947131E-3</v>
      </c>
      <c r="G912">
        <v>6.772206449444533E-3</v>
      </c>
      <c r="H912">
        <v>5.7403949832920742E-2</v>
      </c>
      <c r="I912">
        <v>0.13102863847814894</v>
      </c>
      <c r="J912">
        <v>0</v>
      </c>
      <c r="K912">
        <v>0.42775204717020443</v>
      </c>
      <c r="L912">
        <v>0.15505239302462981</v>
      </c>
      <c r="M912">
        <v>0.84494760697537019</v>
      </c>
      <c r="N912">
        <v>4.5823545817549896E-2</v>
      </c>
      <c r="O912" s="72">
        <v>0.99881695940367399</v>
      </c>
      <c r="P912">
        <v>0.98656312925389089</v>
      </c>
      <c r="Q912">
        <v>0.96417639326270332</v>
      </c>
      <c r="R912">
        <v>0.43934739335068107</v>
      </c>
      <c r="S912">
        <v>0.50406554192066277</v>
      </c>
      <c r="T912">
        <v>0.20141159310540502</v>
      </c>
      <c r="U912">
        <v>0.76513544225557784</v>
      </c>
      <c r="V912">
        <v>0.64065388231529441</v>
      </c>
      <c r="W912">
        <v>0.58211553640839553</v>
      </c>
      <c r="X912">
        <v>0.47421601323865614</v>
      </c>
      <c r="Y912">
        <v>0.40619751553202571</v>
      </c>
      <c r="Z912">
        <v>0.4512398132123544</v>
      </c>
      <c r="AA912">
        <v>0.71944000928320695</v>
      </c>
      <c r="AB912">
        <v>0.8289351495699413</v>
      </c>
      <c r="AC912">
        <v>0.71862767218043078</v>
      </c>
      <c r="AD912">
        <v>0.64854555368096678</v>
      </c>
      <c r="AE912">
        <v>143.77285914724277</v>
      </c>
      <c r="AF912">
        <v>962.53761019354124</v>
      </c>
      <c r="AG912">
        <v>1436.5111690086298</v>
      </c>
      <c r="AH912">
        <v>13836.70652811449</v>
      </c>
      <c r="AI912">
        <v>11373.198201224006</v>
      </c>
      <c r="AJ912">
        <v>36085.948266589832</v>
      </c>
      <c r="AK912">
        <v>8210.7134822839089</v>
      </c>
      <c r="AL912">
        <v>2036.2124855207924</v>
      </c>
      <c r="AM912">
        <v>361.14900349391513</v>
      </c>
      <c r="AO912">
        <v>45046.917776875627</v>
      </c>
      <c r="AP912">
        <v>13.489651473186351</v>
      </c>
      <c r="AQ912">
        <v>46494.775672078933</v>
      </c>
      <c r="AR912">
        <v>13.695078494120846</v>
      </c>
      <c r="AS912" s="2">
        <f t="shared" si="99"/>
        <v>1447.8578952033058</v>
      </c>
      <c r="AT912" s="2">
        <f t="shared" si="100"/>
        <v>0.20542702093449527</v>
      </c>
      <c r="AV912">
        <f t="shared" si="101"/>
        <v>1303918.2295417595</v>
      </c>
      <c r="AW912">
        <f t="shared" si="102"/>
        <v>1323013.0737400057</v>
      </c>
      <c r="AY912">
        <f t="shared" si="103"/>
        <v>0</v>
      </c>
      <c r="AZ912">
        <f t="shared" si="104"/>
        <v>1</v>
      </c>
    </row>
    <row r="913" spans="1:52" x14ac:dyDescent="0.2">
      <c r="A913">
        <f t="shared" si="98"/>
        <v>909</v>
      </c>
      <c r="B913">
        <v>2.9261630577676945E-2</v>
      </c>
      <c r="C913">
        <v>3.4654696564027872E-2</v>
      </c>
      <c r="D913">
        <v>3.8196747125517128E-2</v>
      </c>
      <c r="E913">
        <v>7.4883894050028835E-3</v>
      </c>
      <c r="F913">
        <v>3.4066118873844475E-3</v>
      </c>
      <c r="G913">
        <v>1.2848335202152228E-2</v>
      </c>
      <c r="H913">
        <v>4.0244416896516477E-2</v>
      </c>
      <c r="I913">
        <v>0.13194961503799174</v>
      </c>
      <c r="J913">
        <v>0</v>
      </c>
      <c r="K913">
        <v>0.38899440838326016</v>
      </c>
      <c r="L913">
        <v>0.2518948189167487</v>
      </c>
      <c r="M913">
        <v>0.7481051810832513</v>
      </c>
      <c r="N913">
        <v>5.4009035516049221E-2</v>
      </c>
      <c r="O913" s="72">
        <v>0.99737088620932135</v>
      </c>
      <c r="P913">
        <v>0.89166770095211889</v>
      </c>
      <c r="Q913">
        <v>0.98388596431354403</v>
      </c>
      <c r="R913">
        <v>0.48049353209367573</v>
      </c>
      <c r="S913">
        <v>0.40870909452629889</v>
      </c>
      <c r="T913">
        <v>0.20318710607982726</v>
      </c>
      <c r="U913">
        <v>0.79615474925590113</v>
      </c>
      <c r="V913">
        <v>0.69510193441570123</v>
      </c>
      <c r="W913">
        <v>0.57140927836383171</v>
      </c>
      <c r="X913">
        <v>0.40064286950315775</v>
      </c>
      <c r="Y913">
        <v>0.44351528507897375</v>
      </c>
      <c r="Z913">
        <v>0.47086217736405023</v>
      </c>
      <c r="AA913">
        <v>0.69619737171319773</v>
      </c>
      <c r="AB913">
        <v>0.78248822235198479</v>
      </c>
      <c r="AC913">
        <v>0.70501583715895089</v>
      </c>
      <c r="AD913">
        <v>0.58034160706734195</v>
      </c>
      <c r="AE913">
        <v>231.63397797702424</v>
      </c>
      <c r="AF913">
        <v>1034.9908983893768</v>
      </c>
      <c r="AG913">
        <v>1684.3401367443857</v>
      </c>
      <c r="AH913">
        <v>9789.8720722511716</v>
      </c>
      <c r="AI913">
        <v>8361.3123070899055</v>
      </c>
      <c r="AJ913">
        <v>39479.05467861949</v>
      </c>
      <c r="AK913">
        <v>9603.0332323088387</v>
      </c>
      <c r="AL913">
        <v>2563.0218391280032</v>
      </c>
      <c r="AM913">
        <v>331.78546895097224</v>
      </c>
      <c r="AO913">
        <v>43201.323853512426</v>
      </c>
      <c r="AP913">
        <v>12.820045906830451</v>
      </c>
      <c r="AQ913">
        <v>49309.684792936605</v>
      </c>
      <c r="AR913">
        <v>12.928755507332164</v>
      </c>
      <c r="AS913" s="2">
        <f t="shared" si="99"/>
        <v>6108.3609394241794</v>
      </c>
      <c r="AT913" s="2">
        <f t="shared" si="100"/>
        <v>0.10870960050171341</v>
      </c>
      <c r="AV913">
        <f t="shared" si="101"/>
        <v>1238803.2668295326</v>
      </c>
      <c r="AW913">
        <f t="shared" si="102"/>
        <v>1243565.8659402798</v>
      </c>
      <c r="AY913">
        <f t="shared" si="103"/>
        <v>0</v>
      </c>
      <c r="AZ913">
        <f t="shared" si="104"/>
        <v>1</v>
      </c>
    </row>
    <row r="914" spans="1:52" x14ac:dyDescent="0.2">
      <c r="A914">
        <f t="shared" si="98"/>
        <v>910</v>
      </c>
      <c r="B914">
        <v>1.7010373997461175E-2</v>
      </c>
      <c r="C914">
        <v>3.7650565963469163E-2</v>
      </c>
      <c r="D914">
        <v>4.643271531691584E-2</v>
      </c>
      <c r="E914">
        <v>1.4067986832370094E-2</v>
      </c>
      <c r="F914">
        <v>3.3434287147108277E-3</v>
      </c>
      <c r="G914">
        <v>1.9878126142563235E-2</v>
      </c>
      <c r="H914">
        <v>2.2259929396272547E-2</v>
      </c>
      <c r="I914">
        <v>0.13089869165207801</v>
      </c>
      <c r="J914">
        <v>0</v>
      </c>
      <c r="K914">
        <v>0.44417021068021678</v>
      </c>
      <c r="L914">
        <v>0.24608634451742983</v>
      </c>
      <c r="M914">
        <v>0.75391365548257017</v>
      </c>
      <c r="N914">
        <v>7.4393540392682977E-2</v>
      </c>
      <c r="O914" s="72">
        <v>0.98670532065222394</v>
      </c>
      <c r="P914">
        <v>0.99815019339523992</v>
      </c>
      <c r="Q914">
        <v>0.99638571972555023</v>
      </c>
      <c r="R914">
        <v>0.49108512302759266</v>
      </c>
      <c r="S914">
        <v>0.41537411399194568</v>
      </c>
      <c r="T914">
        <v>0.34194497983099115</v>
      </c>
      <c r="U914">
        <v>0.75097940159544652</v>
      </c>
      <c r="V914">
        <v>0.6205714890666626</v>
      </c>
      <c r="W914">
        <v>0.53348116334916673</v>
      </c>
      <c r="X914">
        <v>0.40020440260481316</v>
      </c>
      <c r="Y914">
        <v>0.48124190571256209</v>
      </c>
      <c r="Z914">
        <v>0.43764645522566359</v>
      </c>
      <c r="AA914">
        <v>0.67553514531937697</v>
      </c>
      <c r="AB914">
        <v>0.80590143585284169</v>
      </c>
      <c r="AC914">
        <v>0.80222178601296923</v>
      </c>
      <c r="AD914">
        <v>0.62236456567542353</v>
      </c>
      <c r="AE914">
        <v>171.67777320038093</v>
      </c>
      <c r="AF914">
        <v>1075.2345586138727</v>
      </c>
      <c r="AG914">
        <v>1619.5443834484699</v>
      </c>
      <c r="AH914">
        <v>17604.924287180173</v>
      </c>
      <c r="AI914">
        <v>12128.177456237025</v>
      </c>
      <c r="AJ914">
        <v>37544.919122752151</v>
      </c>
      <c r="AK914">
        <v>11936.144536615062</v>
      </c>
      <c r="AL914">
        <v>1090.2313877628355</v>
      </c>
      <c r="AM914">
        <v>366.87275693119199</v>
      </c>
      <c r="AO914">
        <v>41115.158332935091</v>
      </c>
      <c r="AP914">
        <v>13.323303196739742</v>
      </c>
      <c r="AQ914">
        <v>46284.440589398051</v>
      </c>
      <c r="AR914">
        <v>13.488416584791333</v>
      </c>
      <c r="AS914" s="2">
        <f t="shared" si="99"/>
        <v>5169.2822564629605</v>
      </c>
      <c r="AT914" s="2">
        <f t="shared" si="100"/>
        <v>0.1651133880515907</v>
      </c>
      <c r="AV914">
        <f t="shared" si="101"/>
        <v>1291215.1613410392</v>
      </c>
      <c r="AW914">
        <f t="shared" si="102"/>
        <v>1302557.217889735</v>
      </c>
      <c r="AY914">
        <f t="shared" si="103"/>
        <v>0</v>
      </c>
      <c r="AZ914">
        <f t="shared" si="104"/>
        <v>1</v>
      </c>
    </row>
    <row r="915" spans="1:52" x14ac:dyDescent="0.2">
      <c r="A915">
        <f t="shared" si="98"/>
        <v>911</v>
      </c>
      <c r="B915">
        <v>2.1409952150364248E-2</v>
      </c>
      <c r="C915">
        <v>3.9376458268057912E-2</v>
      </c>
      <c r="D915">
        <v>3.3277381050488254E-2</v>
      </c>
      <c r="E915">
        <v>4.569722238762719E-2</v>
      </c>
      <c r="F915">
        <v>3.486612586516169E-3</v>
      </c>
      <c r="G915">
        <v>1.1244540308308184E-2</v>
      </c>
      <c r="H915">
        <v>3.9816867551646706E-2</v>
      </c>
      <c r="I915">
        <v>0.13860275573195369</v>
      </c>
      <c r="J915">
        <v>0</v>
      </c>
      <c r="K915">
        <v>0.44815808942173163</v>
      </c>
      <c r="L915">
        <v>0.16476766362852066</v>
      </c>
      <c r="M915">
        <v>0.83523233637147931</v>
      </c>
      <c r="N915">
        <v>4.7747957888468889E-2</v>
      </c>
      <c r="O915" s="72">
        <v>0.99970544828287045</v>
      </c>
      <c r="P915">
        <v>0.84651592351236604</v>
      </c>
      <c r="Q915">
        <v>0.95433389791793588</v>
      </c>
      <c r="R915">
        <v>0.45187241268736622</v>
      </c>
      <c r="S915">
        <v>0.34392609994194023</v>
      </c>
      <c r="T915">
        <v>0.294285951501848</v>
      </c>
      <c r="U915">
        <v>0.74291205852192943</v>
      </c>
      <c r="V915">
        <v>0.66075665430265684</v>
      </c>
      <c r="W915">
        <v>0.63001426242767877</v>
      </c>
      <c r="X915">
        <v>0.43639492078849701</v>
      </c>
      <c r="Y915">
        <v>0.47324873926556332</v>
      </c>
      <c r="Z915">
        <v>0.44684777609145354</v>
      </c>
      <c r="AA915">
        <v>0.63882089909661388</v>
      </c>
      <c r="AB915">
        <v>0.86056619225319375</v>
      </c>
      <c r="AC915">
        <v>0.62471097496820838</v>
      </c>
      <c r="AD915">
        <v>0.65145911748690932</v>
      </c>
      <c r="AE915">
        <v>158.41387904672894</v>
      </c>
      <c r="AF915">
        <v>1162.0674812693269</v>
      </c>
      <c r="AG915">
        <v>1282.9907486589195</v>
      </c>
      <c r="AH915">
        <v>16318.106673380742</v>
      </c>
      <c r="AI915">
        <v>10389.486433380256</v>
      </c>
      <c r="AJ915">
        <v>44027.395986771451</v>
      </c>
      <c r="AK915">
        <v>12379.956561660898</v>
      </c>
      <c r="AL915">
        <v>1502.5200402521752</v>
      </c>
      <c r="AM915">
        <v>351.15045111631099</v>
      </c>
      <c r="AO915">
        <v>44041.950489301016</v>
      </c>
      <c r="AP915">
        <v>13.680185392941921</v>
      </c>
      <c r="AQ915">
        <v>51564.078032915801</v>
      </c>
      <c r="AR915">
        <v>13.935236378014192</v>
      </c>
      <c r="AS915" s="2">
        <f t="shared" si="99"/>
        <v>7522.1275436147844</v>
      </c>
      <c r="AT915" s="2">
        <f t="shared" si="100"/>
        <v>0.25505098507227153</v>
      </c>
      <c r="AV915">
        <f t="shared" si="101"/>
        <v>1323976.5888048911</v>
      </c>
      <c r="AW915">
        <f t="shared" si="102"/>
        <v>1341959.5597685035</v>
      </c>
      <c r="AY915">
        <f t="shared" si="103"/>
        <v>0</v>
      </c>
      <c r="AZ915">
        <f t="shared" si="104"/>
        <v>1</v>
      </c>
    </row>
    <row r="916" spans="1:52" x14ac:dyDescent="0.2">
      <c r="A916">
        <f t="shared" si="98"/>
        <v>912</v>
      </c>
      <c r="B916">
        <v>2.7944492314464831E-2</v>
      </c>
      <c r="C916">
        <v>3.415542199473437E-2</v>
      </c>
      <c r="D916">
        <v>4.7691990743806922E-2</v>
      </c>
      <c r="E916">
        <v>1.3040491042532576E-2</v>
      </c>
      <c r="F916">
        <v>3.3274008143928265E-3</v>
      </c>
      <c r="G916">
        <v>9.1284380985879512E-3</v>
      </c>
      <c r="H916">
        <v>1.9064070944398662E-2</v>
      </c>
      <c r="I916">
        <v>0.13154440563836789</v>
      </c>
      <c r="J916">
        <v>0</v>
      </c>
      <c r="K916">
        <v>0.41445466946258036</v>
      </c>
      <c r="L916">
        <v>0.2153272360712909</v>
      </c>
      <c r="M916">
        <v>0.7846727639287091</v>
      </c>
      <c r="N916">
        <v>4.9593403310503298E-2</v>
      </c>
      <c r="O916" s="72">
        <v>0.9639517676977386</v>
      </c>
      <c r="P916">
        <v>0.99972897362297208</v>
      </c>
      <c r="Q916">
        <v>0.92698581395766366</v>
      </c>
      <c r="R916">
        <v>0.51043685876566158</v>
      </c>
      <c r="S916">
        <v>0.41053092652075174</v>
      </c>
      <c r="T916">
        <v>0.19528299816269901</v>
      </c>
      <c r="U916">
        <v>0.74561728077804523</v>
      </c>
      <c r="V916">
        <v>0.63954242255254568</v>
      </c>
      <c r="W916">
        <v>0.64236276188746277</v>
      </c>
      <c r="X916">
        <v>0.48640473914597093</v>
      </c>
      <c r="Y916">
        <v>0.45119120203923579</v>
      </c>
      <c r="Z916">
        <v>0.49269978676320747</v>
      </c>
      <c r="AA916">
        <v>0.74114925778919005</v>
      </c>
      <c r="AB916">
        <v>0.81350624772282687</v>
      </c>
      <c r="AC916">
        <v>0.68690673117435874</v>
      </c>
      <c r="AD916">
        <v>0.59818600385698828</v>
      </c>
      <c r="AE916">
        <v>197.16870438767796</v>
      </c>
      <c r="AF916">
        <v>980.24652164858787</v>
      </c>
      <c r="AG916">
        <v>1278.9117204715574</v>
      </c>
      <c r="AH916">
        <v>15088.061711139962</v>
      </c>
      <c r="AI916">
        <v>9544.5089649328929</v>
      </c>
      <c r="AJ916">
        <v>35359.372179144644</v>
      </c>
      <c r="AK916">
        <v>7720.4312911882853</v>
      </c>
      <c r="AL916">
        <v>1898.4134568318357</v>
      </c>
      <c r="AM916">
        <v>402.35456777621584</v>
      </c>
      <c r="AO916">
        <v>43028.804970207995</v>
      </c>
      <c r="AP916">
        <v>13.15619524134045</v>
      </c>
      <c r="AQ916">
        <v>47082.571711327822</v>
      </c>
      <c r="AR916">
        <v>13.352388556802241</v>
      </c>
      <c r="AS916" s="2">
        <f t="shared" si="99"/>
        <v>4053.7667411198272</v>
      </c>
      <c r="AT916" s="2">
        <f t="shared" si="100"/>
        <v>0.19619331546179097</v>
      </c>
      <c r="AV916">
        <f t="shared" si="101"/>
        <v>1272590.7191638369</v>
      </c>
      <c r="AW916">
        <f t="shared" si="102"/>
        <v>1288156.2839688961</v>
      </c>
      <c r="AY916">
        <f t="shared" si="103"/>
        <v>0</v>
      </c>
      <c r="AZ916">
        <f t="shared" si="104"/>
        <v>1</v>
      </c>
    </row>
    <row r="917" spans="1:52" x14ac:dyDescent="0.2">
      <c r="A917">
        <f t="shared" si="98"/>
        <v>913</v>
      </c>
      <c r="B917">
        <v>2.5064786025731811E-2</v>
      </c>
      <c r="C917">
        <v>3.122646268270874E-2</v>
      </c>
      <c r="D917">
        <v>4.2363450922503931E-2</v>
      </c>
      <c r="E917">
        <v>1.6108910236005136E-2</v>
      </c>
      <c r="F917">
        <v>3.2830313973445258E-3</v>
      </c>
      <c r="G917">
        <v>1.113633048082582E-2</v>
      </c>
      <c r="H917">
        <v>2.2768234543514978E-2</v>
      </c>
      <c r="I917">
        <v>0.1365622281991461</v>
      </c>
      <c r="J917">
        <v>0</v>
      </c>
      <c r="K917">
        <v>0.42785457683119221</v>
      </c>
      <c r="L917">
        <v>0.23567743222374338</v>
      </c>
      <c r="M917">
        <v>0.76432256777625662</v>
      </c>
      <c r="N917">
        <v>6.6083627878994133E-2</v>
      </c>
      <c r="O917" s="72">
        <v>0.99996605941415007</v>
      </c>
      <c r="P917">
        <v>0.99673892778901085</v>
      </c>
      <c r="Q917">
        <v>0.89341462196079469</v>
      </c>
      <c r="R917">
        <v>0.49514662675795651</v>
      </c>
      <c r="S917">
        <v>0.44987231375494552</v>
      </c>
      <c r="T917">
        <v>0.20943362087724138</v>
      </c>
      <c r="U917">
        <v>0.77356364826949964</v>
      </c>
      <c r="V917">
        <v>0.67158023319392135</v>
      </c>
      <c r="W917">
        <v>0.57456879035252051</v>
      </c>
      <c r="X917">
        <v>0.48015525900187406</v>
      </c>
      <c r="Y917">
        <v>0.48669374837588109</v>
      </c>
      <c r="Z917">
        <v>0.47425309997330256</v>
      </c>
      <c r="AA917">
        <v>0.65137555899505095</v>
      </c>
      <c r="AB917">
        <v>0.85584983337280729</v>
      </c>
      <c r="AC917">
        <v>0.72961733375994742</v>
      </c>
      <c r="AD917">
        <v>0.60946678947578714</v>
      </c>
      <c r="AE917">
        <v>222.12611753967221</v>
      </c>
      <c r="AF917">
        <v>977.01977542549332</v>
      </c>
      <c r="AG917">
        <v>2306.3621130674437</v>
      </c>
      <c r="AH917">
        <v>13503.37725134902</v>
      </c>
      <c r="AI917">
        <v>10356.855251348099</v>
      </c>
      <c r="AJ917">
        <v>38745.814278077138</v>
      </c>
      <c r="AK917">
        <v>10642.309156399302</v>
      </c>
      <c r="AL917">
        <v>1990.0954054500335</v>
      </c>
      <c r="AM917">
        <v>346.12191286180109</v>
      </c>
      <c r="AO917">
        <v>42325.629421797094</v>
      </c>
      <c r="AP917">
        <v>13.809011761312695</v>
      </c>
      <c r="AQ917">
        <v>46340.189834033736</v>
      </c>
      <c r="AR917">
        <v>14.029891375566157</v>
      </c>
      <c r="AS917" s="2">
        <f t="shared" si="99"/>
        <v>4014.5604122366422</v>
      </c>
      <c r="AT917" s="2">
        <f t="shared" si="100"/>
        <v>0.22087961425346236</v>
      </c>
      <c r="AV917">
        <f t="shared" si="101"/>
        <v>1338575.5467094723</v>
      </c>
      <c r="AW917">
        <f t="shared" si="102"/>
        <v>1356648.9477225819</v>
      </c>
      <c r="AY917">
        <f t="shared" si="103"/>
        <v>0</v>
      </c>
      <c r="AZ917">
        <f t="shared" si="104"/>
        <v>1</v>
      </c>
    </row>
    <row r="918" spans="1:52" x14ac:dyDescent="0.2">
      <c r="A918">
        <f t="shared" si="98"/>
        <v>914</v>
      </c>
      <c r="B918">
        <v>1.7417245015729138E-2</v>
      </c>
      <c r="C918">
        <v>3.1153687184372017E-2</v>
      </c>
      <c r="D918">
        <v>6.4546325505378421E-2</v>
      </c>
      <c r="E918">
        <v>1.0556356737874924E-2</v>
      </c>
      <c r="F918">
        <v>3.3228335104890758E-3</v>
      </c>
      <c r="G918">
        <v>2.661243238509184E-3</v>
      </c>
      <c r="H918">
        <v>3.8783145210808057E-2</v>
      </c>
      <c r="I918">
        <v>0.14184998534657545</v>
      </c>
      <c r="J918">
        <v>0</v>
      </c>
      <c r="K918">
        <v>0.47236245337971161</v>
      </c>
      <c r="L918">
        <v>0.25566095961242097</v>
      </c>
      <c r="M918">
        <v>0.74433904038757903</v>
      </c>
      <c r="N918">
        <v>7.0835089277842656E-2</v>
      </c>
      <c r="O918" s="72">
        <v>0.99526254353153121</v>
      </c>
      <c r="P918">
        <v>0.99992647527295486</v>
      </c>
      <c r="Q918">
        <v>0.98354611277277937</v>
      </c>
      <c r="R918">
        <v>0.53632710366109526</v>
      </c>
      <c r="S918">
        <v>0.42121010958753757</v>
      </c>
      <c r="T918">
        <v>0.21555493128586167</v>
      </c>
      <c r="U918">
        <v>0.76748991304055292</v>
      </c>
      <c r="V918">
        <v>0.68719507875546915</v>
      </c>
      <c r="W918">
        <v>0.50196983126679118</v>
      </c>
      <c r="X918">
        <v>0.42379333016907805</v>
      </c>
      <c r="Y918">
        <v>0.44863997802517425</v>
      </c>
      <c r="Z918">
        <v>0.41840525916811999</v>
      </c>
      <c r="AA918">
        <v>0.74331097790728706</v>
      </c>
      <c r="AB918">
        <v>0.79991519111210962</v>
      </c>
      <c r="AC918">
        <v>0.65954766946778953</v>
      </c>
      <c r="AD918">
        <v>0.60880264818387586</v>
      </c>
      <c r="AE918">
        <v>235.51209064938936</v>
      </c>
      <c r="AF918">
        <v>1153.919862189277</v>
      </c>
      <c r="AG918">
        <v>1483.019127326909</v>
      </c>
      <c r="AH918">
        <v>14876.758047725909</v>
      </c>
      <c r="AI918">
        <v>9448.7352601089697</v>
      </c>
      <c r="AJ918">
        <v>42807.047983053337</v>
      </c>
      <c r="AK918">
        <v>13745.456115912673</v>
      </c>
      <c r="AL918">
        <v>1764.2860664035725</v>
      </c>
      <c r="AM918">
        <v>413.47546637295738</v>
      </c>
      <c r="AO918">
        <v>41586.506179690761</v>
      </c>
      <c r="AP918">
        <v>12.942829950057124</v>
      </c>
      <c r="AQ918">
        <v>46964.437900700192</v>
      </c>
      <c r="AR918">
        <v>13.12974468070858</v>
      </c>
      <c r="AS918" s="2">
        <f t="shared" si="99"/>
        <v>5377.9317210094305</v>
      </c>
      <c r="AT918" s="2">
        <f t="shared" si="100"/>
        <v>0.18691473065145559</v>
      </c>
      <c r="AV918">
        <f t="shared" si="101"/>
        <v>1252696.4888260216</v>
      </c>
      <c r="AW918">
        <f t="shared" si="102"/>
        <v>1266010.0301701578</v>
      </c>
      <c r="AY918">
        <f t="shared" si="103"/>
        <v>0</v>
      </c>
      <c r="AZ918">
        <f t="shared" si="104"/>
        <v>1</v>
      </c>
    </row>
    <row r="919" spans="1:52" x14ac:dyDescent="0.2">
      <c r="A919">
        <f t="shared" si="98"/>
        <v>915</v>
      </c>
      <c r="B919">
        <v>2.2910447425787978E-2</v>
      </c>
      <c r="C919">
        <v>4.0854831857202067E-2</v>
      </c>
      <c r="D919">
        <v>3.5300949565714501E-2</v>
      </c>
      <c r="E919">
        <v>3.8627590184659111E-2</v>
      </c>
      <c r="F919">
        <v>3.2327660960030048E-3</v>
      </c>
      <c r="G919">
        <v>2.4971983350216997E-2</v>
      </c>
      <c r="H919">
        <v>3.8038233295814572E-2</v>
      </c>
      <c r="I919">
        <v>0.13281018624917384</v>
      </c>
      <c r="J919">
        <v>0</v>
      </c>
      <c r="K919">
        <v>0.41272197165591329</v>
      </c>
      <c r="L919">
        <v>0.21346994675892672</v>
      </c>
      <c r="M919">
        <v>0.78653005324107328</v>
      </c>
      <c r="N919">
        <v>7.3198444654130057E-2</v>
      </c>
      <c r="O919" s="72">
        <v>0.99952749788905038</v>
      </c>
      <c r="P919">
        <v>0.99964660011020046</v>
      </c>
      <c r="Q919">
        <v>0.96687333069897796</v>
      </c>
      <c r="R919">
        <v>0.54022587077124062</v>
      </c>
      <c r="S919">
        <v>0.42166184547551444</v>
      </c>
      <c r="T919">
        <v>0.16125877429824187</v>
      </c>
      <c r="U919">
        <v>0.81673143134682835</v>
      </c>
      <c r="V919">
        <v>0.61944924884482433</v>
      </c>
      <c r="W919">
        <v>0.54710976386248178</v>
      </c>
      <c r="X919">
        <v>0.44524163116717769</v>
      </c>
      <c r="Y919">
        <v>0.41424843879810247</v>
      </c>
      <c r="Z919">
        <v>0.42792563030187908</v>
      </c>
      <c r="AA919">
        <v>0.69143589597422395</v>
      </c>
      <c r="AB919">
        <v>0.83260987161698152</v>
      </c>
      <c r="AC919">
        <v>0.61955957715969168</v>
      </c>
      <c r="AD919">
        <v>0.71918707353903044</v>
      </c>
      <c r="AE919">
        <v>196.67956409865462</v>
      </c>
      <c r="AF919">
        <v>1056.6503931265145</v>
      </c>
      <c r="AG919">
        <v>1194.4417615802658</v>
      </c>
      <c r="AH919">
        <v>15736.736072266283</v>
      </c>
      <c r="AI919">
        <v>15177.772413864559</v>
      </c>
      <c r="AJ919">
        <v>40914.082788529602</v>
      </c>
      <c r="AK919">
        <v>20377.563112008636</v>
      </c>
      <c r="AL919">
        <v>2725.8260155959938</v>
      </c>
      <c r="AM919">
        <v>392.76413559652713</v>
      </c>
      <c r="AO919">
        <v>42048.512628525103</v>
      </c>
      <c r="AP919">
        <v>13.363962616874147</v>
      </c>
      <c r="AQ919">
        <v>46631.405425946708</v>
      </c>
      <c r="AR919">
        <v>13.661123604015957</v>
      </c>
      <c r="AS919" s="2">
        <f t="shared" si="99"/>
        <v>4582.8927974216058</v>
      </c>
      <c r="AT919" s="2">
        <f t="shared" si="100"/>
        <v>0.29716098714180994</v>
      </c>
      <c r="AV919">
        <f t="shared" si="101"/>
        <v>1294347.7490588897</v>
      </c>
      <c r="AW919">
        <f t="shared" si="102"/>
        <v>1319480.954975649</v>
      </c>
      <c r="AY919">
        <f t="shared" si="103"/>
        <v>0</v>
      </c>
      <c r="AZ919">
        <f t="shared" si="104"/>
        <v>1</v>
      </c>
    </row>
    <row r="920" spans="1:52" x14ac:dyDescent="0.2">
      <c r="A920">
        <f t="shared" si="98"/>
        <v>916</v>
      </c>
      <c r="B920">
        <v>2.2900511123570021E-2</v>
      </c>
      <c r="C920">
        <v>3.9517436834555997E-2</v>
      </c>
      <c r="D920">
        <v>4.600257649641748E-2</v>
      </c>
      <c r="E920">
        <v>1.0225448392028536E-2</v>
      </c>
      <c r="F920">
        <v>3.4616537675142833E-3</v>
      </c>
      <c r="G920">
        <v>1.0132498916938577E-2</v>
      </c>
      <c r="H920">
        <v>1.0355866003121921E-2</v>
      </c>
      <c r="I920">
        <v>0.11527949214724249</v>
      </c>
      <c r="J920">
        <v>0</v>
      </c>
      <c r="K920">
        <v>0.44101256111607345</v>
      </c>
      <c r="L920">
        <v>0.27939571781848915</v>
      </c>
      <c r="M920">
        <v>0.72060428218151085</v>
      </c>
      <c r="N920">
        <v>5.0988951210594338E-2</v>
      </c>
      <c r="O920" s="72">
        <v>0.99303682568626395</v>
      </c>
      <c r="P920">
        <v>0.99995410720882361</v>
      </c>
      <c r="Q920">
        <v>0.95220651032458548</v>
      </c>
      <c r="R920">
        <v>0.4838671975503136</v>
      </c>
      <c r="S920">
        <v>0.46361129601432782</v>
      </c>
      <c r="T920">
        <v>0.19162128108709087</v>
      </c>
      <c r="U920">
        <v>0.8067751615451646</v>
      </c>
      <c r="V920">
        <v>0.54293223794651024</v>
      </c>
      <c r="W920">
        <v>0.47393598045504554</v>
      </c>
      <c r="X920">
        <v>0.49852903336006005</v>
      </c>
      <c r="Y920">
        <v>0.4506054118770062</v>
      </c>
      <c r="Z920">
        <v>0.43638745144767443</v>
      </c>
      <c r="AA920">
        <v>0.64935603603256864</v>
      </c>
      <c r="AB920">
        <v>0.87778568558413905</v>
      </c>
      <c r="AC920">
        <v>0.69507661210949201</v>
      </c>
      <c r="AD920">
        <v>0.62128111192919688</v>
      </c>
      <c r="AE920">
        <v>132.77546125925491</v>
      </c>
      <c r="AF920">
        <v>1066.3460000800396</v>
      </c>
      <c r="AG920">
        <v>1905.1406207728664</v>
      </c>
      <c r="AH920">
        <v>13536.263360424078</v>
      </c>
      <c r="AI920">
        <v>10777.494238098579</v>
      </c>
      <c r="AJ920">
        <v>41335.159857868508</v>
      </c>
      <c r="AK920">
        <v>15607.980852494788</v>
      </c>
      <c r="AL920">
        <v>2011.2694183177298</v>
      </c>
      <c r="AM920">
        <v>427.46402484755339</v>
      </c>
      <c r="AO920">
        <v>44389.537243573963</v>
      </c>
      <c r="AP920">
        <v>14.016954501685637</v>
      </c>
      <c r="AQ920">
        <v>47270.116095593323</v>
      </c>
      <c r="AR920">
        <v>14.290534687661289</v>
      </c>
      <c r="AS920" s="2">
        <f t="shared" si="99"/>
        <v>2880.5788520193601</v>
      </c>
      <c r="AT920" s="2">
        <f t="shared" si="100"/>
        <v>0.2735801859756517</v>
      </c>
      <c r="AV920">
        <f t="shared" si="101"/>
        <v>1357305.9129249898</v>
      </c>
      <c r="AW920">
        <f t="shared" si="102"/>
        <v>1381783.3526705354</v>
      </c>
      <c r="AY920">
        <f t="shared" si="103"/>
        <v>0</v>
      </c>
      <c r="AZ920">
        <f t="shared" si="104"/>
        <v>1</v>
      </c>
    </row>
    <row r="921" spans="1:52" x14ac:dyDescent="0.2">
      <c r="A921">
        <f t="shared" si="98"/>
        <v>917</v>
      </c>
      <c r="B921">
        <v>1.7649885928463491E-2</v>
      </c>
      <c r="C921">
        <v>4.239763479983738E-2</v>
      </c>
      <c r="D921">
        <v>5.2253650440093669E-2</v>
      </c>
      <c r="E921">
        <v>2.5906448563421847E-3</v>
      </c>
      <c r="F921">
        <v>3.3878779920206714E-3</v>
      </c>
      <c r="G921">
        <v>1.6086250702183199E-3</v>
      </c>
      <c r="H921">
        <v>1.5580957918115913E-2</v>
      </c>
      <c r="I921">
        <v>0.12082336159806741</v>
      </c>
      <c r="J921">
        <v>0</v>
      </c>
      <c r="K921">
        <v>0.42211838644559974</v>
      </c>
      <c r="L921">
        <v>0.23868922369906487</v>
      </c>
      <c r="M921">
        <v>0.76131077630093513</v>
      </c>
      <c r="N921">
        <v>4.6622200805372119E-2</v>
      </c>
      <c r="O921" s="72">
        <v>0.98751163506394302</v>
      </c>
      <c r="P921">
        <v>0.99947826012457697</v>
      </c>
      <c r="Q921">
        <v>0.99659055059250601</v>
      </c>
      <c r="R921">
        <v>0.53188436022679064</v>
      </c>
      <c r="S921">
        <v>0.39836089438623801</v>
      </c>
      <c r="T921">
        <v>0.2969453590121699</v>
      </c>
      <c r="U921">
        <v>0.75845907742450347</v>
      </c>
      <c r="V921">
        <v>0.64850935544406973</v>
      </c>
      <c r="W921">
        <v>0.57216575873426279</v>
      </c>
      <c r="X921">
        <v>0.45368903555736462</v>
      </c>
      <c r="Y921">
        <v>0.45973791366522676</v>
      </c>
      <c r="Z921">
        <v>0.43444821143258738</v>
      </c>
      <c r="AA921">
        <v>0.5899801467074951</v>
      </c>
      <c r="AB921">
        <v>0.85579229866818352</v>
      </c>
      <c r="AC921">
        <v>0.65164449688665071</v>
      </c>
      <c r="AD921">
        <v>0.54738825319356743</v>
      </c>
      <c r="AE921">
        <v>216.67497836266674</v>
      </c>
      <c r="AF921">
        <v>1079.6971713799971</v>
      </c>
      <c r="AG921">
        <v>1184.8252580944586</v>
      </c>
      <c r="AH921">
        <v>11366.231281590741</v>
      </c>
      <c r="AI921">
        <v>12376.958615571964</v>
      </c>
      <c r="AJ921">
        <v>40304.9999594814</v>
      </c>
      <c r="AK921">
        <v>13865.334424714549</v>
      </c>
      <c r="AL921">
        <v>2136.1483255765061</v>
      </c>
      <c r="AM921">
        <v>259.30142438477714</v>
      </c>
      <c r="AO921">
        <v>38215.30434549784</v>
      </c>
      <c r="AP921">
        <v>13.641656017810481</v>
      </c>
      <c r="AQ921">
        <v>44462.102832647251</v>
      </c>
      <c r="AR921">
        <v>13.807496414735231</v>
      </c>
      <c r="AS921" s="2">
        <f t="shared" si="99"/>
        <v>6246.7984871494118</v>
      </c>
      <c r="AT921" s="2">
        <f t="shared" si="100"/>
        <v>0.16584039692475017</v>
      </c>
      <c r="AV921">
        <f t="shared" si="101"/>
        <v>1325950.2974355503</v>
      </c>
      <c r="AW921">
        <f t="shared" si="102"/>
        <v>1336287.5386408758</v>
      </c>
      <c r="AY921">
        <f t="shared" si="103"/>
        <v>0</v>
      </c>
      <c r="AZ921">
        <f t="shared" si="104"/>
        <v>1</v>
      </c>
    </row>
    <row r="922" spans="1:52" x14ac:dyDescent="0.2">
      <c r="A922">
        <f t="shared" si="98"/>
        <v>918</v>
      </c>
      <c r="B922">
        <v>2.6031789950644146E-2</v>
      </c>
      <c r="C922">
        <v>4.0768547466450311E-2</v>
      </c>
      <c r="D922">
        <v>3.7640326736904921E-2</v>
      </c>
      <c r="E922">
        <v>7.7154988127745268E-3</v>
      </c>
      <c r="F922">
        <v>3.2805602974059563E-3</v>
      </c>
      <c r="G922">
        <v>1.7868059505122935E-2</v>
      </c>
      <c r="H922">
        <v>3.0420347122823377E-2</v>
      </c>
      <c r="I922">
        <v>0.13983813968302183</v>
      </c>
      <c r="J922">
        <v>0</v>
      </c>
      <c r="K922">
        <v>0.46956831318566228</v>
      </c>
      <c r="L922">
        <v>0.27493214655720988</v>
      </c>
      <c r="M922">
        <v>0.72506785344279012</v>
      </c>
      <c r="N922">
        <v>5.9942379239522392E-2</v>
      </c>
      <c r="O922" s="72">
        <v>0.99553026177401227</v>
      </c>
      <c r="P922">
        <v>0.99978094172928644</v>
      </c>
      <c r="Q922">
        <v>0.9957461646706981</v>
      </c>
      <c r="R922">
        <v>0.45742243740775412</v>
      </c>
      <c r="S922">
        <v>0.35649819657595261</v>
      </c>
      <c r="T922">
        <v>0.26576579809725331</v>
      </c>
      <c r="U922">
        <v>0.73641136633461723</v>
      </c>
      <c r="V922">
        <v>0.68396307496435949</v>
      </c>
      <c r="W922">
        <v>0.60044683786994058</v>
      </c>
      <c r="X922">
        <v>0.43701516031143711</v>
      </c>
      <c r="Y922">
        <v>0.45397884724393722</v>
      </c>
      <c r="Z922">
        <v>0.43119939205931146</v>
      </c>
      <c r="AA922">
        <v>0.61738473862892829</v>
      </c>
      <c r="AB922">
        <v>0.81945397724842595</v>
      </c>
      <c r="AC922">
        <v>0.6948305589510515</v>
      </c>
      <c r="AD922">
        <v>0.58207009192928993</v>
      </c>
      <c r="AE922">
        <v>325.16207223687877</v>
      </c>
      <c r="AF922">
        <v>1011.866950644441</v>
      </c>
      <c r="AG922">
        <v>2007.5220770419569</v>
      </c>
      <c r="AH922">
        <v>12463.182235547993</v>
      </c>
      <c r="AI922">
        <v>7686.7580737105463</v>
      </c>
      <c r="AJ922">
        <v>40876.069421980414</v>
      </c>
      <c r="AK922">
        <v>17059.929905789009</v>
      </c>
      <c r="AL922">
        <v>2686.9246598082127</v>
      </c>
      <c r="AM922">
        <v>367.2916376734787</v>
      </c>
      <c r="AO922">
        <v>44731.310077407928</v>
      </c>
      <c r="AP922">
        <v>13.234152798879686</v>
      </c>
      <c r="AQ922">
        <v>46244.514295892099</v>
      </c>
      <c r="AR922">
        <v>13.428333562174032</v>
      </c>
      <c r="AS922" s="2">
        <f t="shared" si="99"/>
        <v>1513.2042184841703</v>
      </c>
      <c r="AT922" s="2">
        <f t="shared" si="100"/>
        <v>0.19418076329434619</v>
      </c>
      <c r="AV922">
        <f t="shared" si="101"/>
        <v>1278683.9698105608</v>
      </c>
      <c r="AW922">
        <f t="shared" si="102"/>
        <v>1296588.8419215111</v>
      </c>
      <c r="AY922">
        <f t="shared" si="103"/>
        <v>0</v>
      </c>
      <c r="AZ922">
        <f t="shared" si="104"/>
        <v>1</v>
      </c>
    </row>
    <row r="923" spans="1:52" x14ac:dyDescent="0.2">
      <c r="A923">
        <f t="shared" si="98"/>
        <v>919</v>
      </c>
      <c r="B923">
        <v>2.1395610926062399E-2</v>
      </c>
      <c r="C923">
        <v>4.1821284485453525E-2</v>
      </c>
      <c r="D923">
        <v>2.6063004686576022E-2</v>
      </c>
      <c r="E923">
        <v>1.0698890463901949E-2</v>
      </c>
      <c r="F923">
        <v>3.3001390185420092E-3</v>
      </c>
      <c r="G923">
        <v>7.4749243977746231E-3</v>
      </c>
      <c r="H923">
        <v>2.680619863091627E-2</v>
      </c>
      <c r="I923">
        <v>0.12697419727860754</v>
      </c>
      <c r="J923">
        <v>0</v>
      </c>
      <c r="K923">
        <v>0.48425820456601965</v>
      </c>
      <c r="L923">
        <v>0.1671439751136122</v>
      </c>
      <c r="M923">
        <v>0.83285602488638777</v>
      </c>
      <c r="N923">
        <v>5.4727598916848197E-2</v>
      </c>
      <c r="O923" s="72">
        <v>0.99994685610616196</v>
      </c>
      <c r="P923">
        <v>0.99930174273729622</v>
      </c>
      <c r="Q923">
        <v>0.97788815242214533</v>
      </c>
      <c r="R923">
        <v>0.52358167917905485</v>
      </c>
      <c r="S923">
        <v>0.47619558833803755</v>
      </c>
      <c r="T923">
        <v>0.21539083899687328</v>
      </c>
      <c r="U923">
        <v>0.7834837203790872</v>
      </c>
      <c r="V923">
        <v>0.66703178742929237</v>
      </c>
      <c r="W923">
        <v>0.48999977444184728</v>
      </c>
      <c r="X923">
        <v>0.49862655412089885</v>
      </c>
      <c r="Y923">
        <v>0.44054229334506523</v>
      </c>
      <c r="Z923">
        <v>0.47361526560391909</v>
      </c>
      <c r="AA923">
        <v>0.69740624010222574</v>
      </c>
      <c r="AB923">
        <v>0.8185244519559105</v>
      </c>
      <c r="AC923">
        <v>0.65207765176130128</v>
      </c>
      <c r="AD923">
        <v>0.62341973302625464</v>
      </c>
      <c r="AE923">
        <v>245.07130089246581</v>
      </c>
      <c r="AF923">
        <v>1242.7465548990053</v>
      </c>
      <c r="AG923">
        <v>1726.1291982704038</v>
      </c>
      <c r="AH923">
        <v>14571.12319813212</v>
      </c>
      <c r="AI923">
        <v>15035.930276191963</v>
      </c>
      <c r="AJ923">
        <v>38978.055920632112</v>
      </c>
      <c r="AK923">
        <v>9830.0159257001615</v>
      </c>
      <c r="AL923">
        <v>2295.2235966122676</v>
      </c>
      <c r="AM923">
        <v>321.2638353273054</v>
      </c>
      <c r="AO923">
        <v>40426.993835054331</v>
      </c>
      <c r="AP923">
        <v>13.236622396917983</v>
      </c>
      <c r="AQ923">
        <v>45583.821463309519</v>
      </c>
      <c r="AR923">
        <v>13.396598276781377</v>
      </c>
      <c r="AS923" s="2">
        <f t="shared" si="99"/>
        <v>5156.8276282551888</v>
      </c>
      <c r="AT923" s="2">
        <f t="shared" si="100"/>
        <v>0.1599758798633939</v>
      </c>
      <c r="AV923">
        <f t="shared" si="101"/>
        <v>1283235.245856744</v>
      </c>
      <c r="AW923">
        <f t="shared" si="102"/>
        <v>1294076.0062148282</v>
      </c>
      <c r="AY923">
        <f t="shared" si="103"/>
        <v>0</v>
      </c>
      <c r="AZ923">
        <f t="shared" si="104"/>
        <v>1</v>
      </c>
    </row>
    <row r="924" spans="1:52" x14ac:dyDescent="0.2">
      <c r="A924">
        <f t="shared" si="98"/>
        <v>920</v>
      </c>
      <c r="B924">
        <v>1.8912022473921604E-2</v>
      </c>
      <c r="C924">
        <v>5.6117137958011321E-2</v>
      </c>
      <c r="D924">
        <v>5.6858400137125509E-2</v>
      </c>
      <c r="E924">
        <v>3.8474875626999916E-2</v>
      </c>
      <c r="F924">
        <v>3.3595340878799229E-3</v>
      </c>
      <c r="G924">
        <v>1.0951027281427861E-2</v>
      </c>
      <c r="H924">
        <v>3.1286988316319708E-2</v>
      </c>
      <c r="I924">
        <v>0.13640191088636533</v>
      </c>
      <c r="J924">
        <v>0</v>
      </c>
      <c r="K924">
        <v>0.42948689105970189</v>
      </c>
      <c r="L924">
        <v>0.27667984700426673</v>
      </c>
      <c r="M924">
        <v>0.72332015299573327</v>
      </c>
      <c r="N924">
        <v>4.8949740557214287E-2</v>
      </c>
      <c r="O924" s="72">
        <v>0.97828325538818395</v>
      </c>
      <c r="P924">
        <v>0.98918248855575641</v>
      </c>
      <c r="Q924">
        <v>0.90586700164528611</v>
      </c>
      <c r="R924">
        <v>0.47619789974970039</v>
      </c>
      <c r="S924">
        <v>0.30531650974544078</v>
      </c>
      <c r="T924">
        <v>0.33013410698248358</v>
      </c>
      <c r="U924">
        <v>0.76213633437213935</v>
      </c>
      <c r="V924">
        <v>0.56424498392472333</v>
      </c>
      <c r="W924">
        <v>0.50738313737335328</v>
      </c>
      <c r="X924">
        <v>0.42790000344648371</v>
      </c>
      <c r="Y924">
        <v>0.4741891172901197</v>
      </c>
      <c r="Z924">
        <v>0.42346871141816361</v>
      </c>
      <c r="AA924">
        <v>0.64360223420194851</v>
      </c>
      <c r="AB924">
        <v>0.83371454991928895</v>
      </c>
      <c r="AC924">
        <v>0.7890568497803484</v>
      </c>
      <c r="AD924">
        <v>0.55857061829070154</v>
      </c>
      <c r="AE924">
        <v>151.66623443270748</v>
      </c>
      <c r="AF924">
        <v>1116.4303268065819</v>
      </c>
      <c r="AG924">
        <v>1400.7207241870315</v>
      </c>
      <c r="AH924">
        <v>15159.464158568519</v>
      </c>
      <c r="AI924">
        <v>10035.750305216647</v>
      </c>
      <c r="AJ924">
        <v>37390.08385698776</v>
      </c>
      <c r="AK924">
        <v>10740.567070983489</v>
      </c>
      <c r="AL924">
        <v>1680.8272164512096</v>
      </c>
      <c r="AM924">
        <v>351.33416379153067</v>
      </c>
      <c r="AO924">
        <v>42945.957962192551</v>
      </c>
      <c r="AP924">
        <v>13.488940253731911</v>
      </c>
      <c r="AQ924">
        <v>46611.637007486694</v>
      </c>
      <c r="AR924">
        <v>13.756566325610157</v>
      </c>
      <c r="AS924" s="2">
        <f t="shared" si="99"/>
        <v>3665.6790452941423</v>
      </c>
      <c r="AT924" s="2">
        <f t="shared" si="100"/>
        <v>0.2676260718782455</v>
      </c>
      <c r="AV924">
        <f t="shared" si="101"/>
        <v>1305948.0674109985</v>
      </c>
      <c r="AW924">
        <f t="shared" si="102"/>
        <v>1329044.9955535289</v>
      </c>
      <c r="AY924">
        <f t="shared" si="103"/>
        <v>0</v>
      </c>
      <c r="AZ924">
        <f t="shared" si="104"/>
        <v>1</v>
      </c>
    </row>
    <row r="925" spans="1:52" x14ac:dyDescent="0.2">
      <c r="A925">
        <f t="shared" si="98"/>
        <v>921</v>
      </c>
      <c r="B925">
        <v>2.7354611013407193E-2</v>
      </c>
      <c r="C925">
        <v>2.7560996576435966E-2</v>
      </c>
      <c r="D925">
        <v>5.2620617297887473E-2</v>
      </c>
      <c r="E925">
        <v>2.437830253860751E-2</v>
      </c>
      <c r="F925">
        <v>3.1283323704625289E-3</v>
      </c>
      <c r="G925">
        <v>1.6487816786387555E-2</v>
      </c>
      <c r="H925">
        <v>2.2457754632880252E-2</v>
      </c>
      <c r="I925">
        <v>0.11972066789647837</v>
      </c>
      <c r="J925">
        <v>0</v>
      </c>
      <c r="K925">
        <v>0.41128933027151954</v>
      </c>
      <c r="L925">
        <v>0.20304853512323942</v>
      </c>
      <c r="M925">
        <v>0.79695146487676061</v>
      </c>
      <c r="N925">
        <v>4.9021367099682162E-2</v>
      </c>
      <c r="O925" s="72">
        <v>0.9979623613353974</v>
      </c>
      <c r="P925">
        <v>0.99979616679091587</v>
      </c>
      <c r="Q925">
        <v>0.97975413306646375</v>
      </c>
      <c r="R925">
        <v>0.48531810226377692</v>
      </c>
      <c r="S925">
        <v>0.40963054683962707</v>
      </c>
      <c r="T925">
        <v>0.35987524990385766</v>
      </c>
      <c r="U925">
        <v>0.76089135228568994</v>
      </c>
      <c r="V925">
        <v>0.63300970521906563</v>
      </c>
      <c r="W925">
        <v>0.59670834319171351</v>
      </c>
      <c r="X925">
        <v>0.46861285516137519</v>
      </c>
      <c r="Y925">
        <v>0.41271343850384373</v>
      </c>
      <c r="Z925">
        <v>0.42806316619276369</v>
      </c>
      <c r="AA925">
        <v>0.66042348707993204</v>
      </c>
      <c r="AB925">
        <v>0.78663558021580593</v>
      </c>
      <c r="AC925">
        <v>0.68616175101000243</v>
      </c>
      <c r="AD925">
        <v>0.67455946329824124</v>
      </c>
      <c r="AE925">
        <v>262.77532787667218</v>
      </c>
      <c r="AF925">
        <v>1067.8814337861875</v>
      </c>
      <c r="AG925">
        <v>2717.604888281855</v>
      </c>
      <c r="AH925">
        <v>11113.449810885744</v>
      </c>
      <c r="AI925">
        <v>10993.865257818097</v>
      </c>
      <c r="AJ925">
        <v>37956.111167831521</v>
      </c>
      <c r="AK925">
        <v>11855.806023542971</v>
      </c>
      <c r="AL925">
        <v>1153.4037871023656</v>
      </c>
      <c r="AM925">
        <v>207.88178064813252</v>
      </c>
      <c r="AO925">
        <v>39048.83252087063</v>
      </c>
      <c r="AP925">
        <v>12.92756239584461</v>
      </c>
      <c r="AQ925">
        <v>43785.501316542701</v>
      </c>
      <c r="AR925">
        <v>13.085867669173338</v>
      </c>
      <c r="AS925" s="2">
        <f t="shared" si="99"/>
        <v>4736.6687956720707</v>
      </c>
      <c r="AT925" s="2">
        <f t="shared" si="100"/>
        <v>0.15830527332872713</v>
      </c>
      <c r="AV925">
        <f t="shared" si="101"/>
        <v>1253707.4070635904</v>
      </c>
      <c r="AW925">
        <f t="shared" si="102"/>
        <v>1264801.265600791</v>
      </c>
      <c r="AY925">
        <f t="shared" si="103"/>
        <v>0</v>
      </c>
      <c r="AZ925">
        <f t="shared" si="104"/>
        <v>1</v>
      </c>
    </row>
    <row r="926" spans="1:52" x14ac:dyDescent="0.2">
      <c r="A926">
        <f t="shared" si="98"/>
        <v>922</v>
      </c>
      <c r="B926">
        <v>2.5106448413896421E-2</v>
      </c>
      <c r="C926">
        <v>3.702269305551531E-2</v>
      </c>
      <c r="D926">
        <v>4.9981569088287991E-2</v>
      </c>
      <c r="E926">
        <v>2.3937783683800617E-2</v>
      </c>
      <c r="F926">
        <v>3.352281567585047E-3</v>
      </c>
      <c r="G926">
        <v>1.7149772386498952E-2</v>
      </c>
      <c r="H926">
        <v>2.3034456730893743E-2</v>
      </c>
      <c r="I926">
        <v>0.12872670878388182</v>
      </c>
      <c r="J926">
        <v>0</v>
      </c>
      <c r="K926">
        <v>0.43755415369997497</v>
      </c>
      <c r="L926">
        <v>0.18206955552238185</v>
      </c>
      <c r="M926">
        <v>0.81793044447761809</v>
      </c>
      <c r="N926">
        <v>5.808225072784845E-2</v>
      </c>
      <c r="O926" s="72">
        <v>0.99924278042042525</v>
      </c>
      <c r="P926">
        <v>0.99951399859340939</v>
      </c>
      <c r="Q926">
        <v>0.99371977490290209</v>
      </c>
      <c r="R926">
        <v>0.51095436484120182</v>
      </c>
      <c r="S926">
        <v>0.46838159904800791</v>
      </c>
      <c r="T926">
        <v>0.28614938905733356</v>
      </c>
      <c r="U926">
        <v>0.76144809878439657</v>
      </c>
      <c r="V926">
        <v>0.67725270425959105</v>
      </c>
      <c r="W926">
        <v>0.59897148360515162</v>
      </c>
      <c r="X926">
        <v>0.45008275250201668</v>
      </c>
      <c r="Y926">
        <v>0.41435562625036876</v>
      </c>
      <c r="Z926">
        <v>0.46240582195917801</v>
      </c>
      <c r="AA926">
        <v>0.73871303588483794</v>
      </c>
      <c r="AB926">
        <v>0.78048938004613611</v>
      </c>
      <c r="AC926">
        <v>0.70744966745637705</v>
      </c>
      <c r="AD926">
        <v>0.58722039192666631</v>
      </c>
      <c r="AE926">
        <v>211.72951685924326</v>
      </c>
      <c r="AF926">
        <v>1074.4690332136865</v>
      </c>
      <c r="AG926">
        <v>1685.680293190489</v>
      </c>
      <c r="AH926">
        <v>12410.731927818335</v>
      </c>
      <c r="AI926">
        <v>10387.158363923681</v>
      </c>
      <c r="AJ926">
        <v>48546.217512598596</v>
      </c>
      <c r="AK926">
        <v>13697.403742640399</v>
      </c>
      <c r="AL926">
        <v>1854.4837981716018</v>
      </c>
      <c r="AM926">
        <v>264.68097913859486</v>
      </c>
      <c r="AO926">
        <v>38680.496244479436</v>
      </c>
      <c r="AP926">
        <v>12.782333444920868</v>
      </c>
      <c r="AQ926">
        <v>44543.037270713496</v>
      </c>
      <c r="AR926">
        <v>12.918384953635211</v>
      </c>
      <c r="AS926" s="2">
        <f t="shared" si="99"/>
        <v>5862.5410262340592</v>
      </c>
      <c r="AT926" s="2">
        <f t="shared" si="100"/>
        <v>0.13605150871434368</v>
      </c>
      <c r="AV926">
        <f t="shared" si="101"/>
        <v>1239552.8482476072</v>
      </c>
      <c r="AW926">
        <f t="shared" si="102"/>
        <v>1247295.4580928076</v>
      </c>
      <c r="AY926">
        <f t="shared" si="103"/>
        <v>0</v>
      </c>
      <c r="AZ926">
        <f t="shared" si="104"/>
        <v>1</v>
      </c>
    </row>
    <row r="927" spans="1:52" x14ac:dyDescent="0.2">
      <c r="A927">
        <f t="shared" si="98"/>
        <v>923</v>
      </c>
      <c r="B927">
        <v>2.7310413613423457E-2</v>
      </c>
      <c r="C927">
        <v>2.643874752648407E-2</v>
      </c>
      <c r="D927">
        <v>3.4018879309959858E-2</v>
      </c>
      <c r="E927">
        <v>1.1424432852913622E-2</v>
      </c>
      <c r="F927">
        <v>3.3935503779680687E-3</v>
      </c>
      <c r="G927">
        <v>1.0676729749206082E-2</v>
      </c>
      <c r="H927">
        <v>3.0178215994006719E-2</v>
      </c>
      <c r="I927">
        <v>0.12416753004125189</v>
      </c>
      <c r="J927">
        <v>0</v>
      </c>
      <c r="K927">
        <v>0.44330344173291103</v>
      </c>
      <c r="L927">
        <v>0.15367784484721575</v>
      </c>
      <c r="M927">
        <v>0.84632215515278419</v>
      </c>
      <c r="N927">
        <v>5.2723019493087477E-2</v>
      </c>
      <c r="O927" s="72">
        <v>0.9979383267991897</v>
      </c>
      <c r="P927">
        <v>0.9965069478825308</v>
      </c>
      <c r="Q927">
        <v>0.96087971786133031</v>
      </c>
      <c r="R927">
        <v>0.51939484169766414</v>
      </c>
      <c r="S927">
        <v>0.38139015257470099</v>
      </c>
      <c r="T927">
        <v>0.21569096663829868</v>
      </c>
      <c r="U927">
        <v>0.77344066224814023</v>
      </c>
      <c r="V927">
        <v>0.69109293378997783</v>
      </c>
      <c r="W927">
        <v>0.59633675789890672</v>
      </c>
      <c r="X927">
        <v>0.42565496433740496</v>
      </c>
      <c r="Y927">
        <v>0.51953459867583773</v>
      </c>
      <c r="Z927">
        <v>0.44971048301961386</v>
      </c>
      <c r="AA927">
        <v>0.72070084512444721</v>
      </c>
      <c r="AB927">
        <v>0.7076577734324202</v>
      </c>
      <c r="AC927">
        <v>0.67543445372900213</v>
      </c>
      <c r="AD927">
        <v>0.5595555158435932</v>
      </c>
      <c r="AE927">
        <v>220.8505839127366</v>
      </c>
      <c r="AF927">
        <v>943.44044939269827</v>
      </c>
      <c r="AG927">
        <v>1451.2599888268676</v>
      </c>
      <c r="AH927">
        <v>13008.41355861251</v>
      </c>
      <c r="AI927">
        <v>8177.6789837034112</v>
      </c>
      <c r="AJ927">
        <v>38939.360758681483</v>
      </c>
      <c r="AK927">
        <v>12855.701559951262</v>
      </c>
      <c r="AL927">
        <v>2091.4040688576538</v>
      </c>
      <c r="AM927">
        <v>344.61316633586574</v>
      </c>
      <c r="AO927">
        <v>41593.388914981428</v>
      </c>
      <c r="AP927">
        <v>11.782339534064395</v>
      </c>
      <c r="AQ927">
        <v>46006.141029592087</v>
      </c>
      <c r="AR927">
        <v>11.812323453559246</v>
      </c>
      <c r="AS927" s="2">
        <f t="shared" si="99"/>
        <v>4412.7521146106592</v>
      </c>
      <c r="AT927" s="2">
        <f t="shared" si="100"/>
        <v>2.9983919494851463E-2</v>
      </c>
      <c r="AV927">
        <f t="shared" si="101"/>
        <v>1136640.564491458</v>
      </c>
      <c r="AW927">
        <f t="shared" si="102"/>
        <v>1135226.2043263325</v>
      </c>
      <c r="AY927">
        <f t="shared" si="103"/>
        <v>1</v>
      </c>
      <c r="AZ927">
        <f t="shared" si="104"/>
        <v>0</v>
      </c>
    </row>
    <row r="928" spans="1:52" x14ac:dyDescent="0.2">
      <c r="A928">
        <f t="shared" si="98"/>
        <v>924</v>
      </c>
      <c r="B928">
        <v>1.9523243442892725E-2</v>
      </c>
      <c r="C928">
        <v>3.5590833382204451E-2</v>
      </c>
      <c r="D928">
        <v>2.8952302887642212E-2</v>
      </c>
      <c r="E928">
        <v>1.7758246631110586E-2</v>
      </c>
      <c r="F928">
        <v>3.2706700336730438E-3</v>
      </c>
      <c r="G928">
        <v>4.7907636805588849E-2</v>
      </c>
      <c r="H928">
        <v>1.422990322118288E-2</v>
      </c>
      <c r="I928">
        <v>0.12371893139996032</v>
      </c>
      <c r="J928">
        <v>0</v>
      </c>
      <c r="K928">
        <v>0.48128289790902457</v>
      </c>
      <c r="L928">
        <v>0.29526318747776414</v>
      </c>
      <c r="M928">
        <v>0.70473681252223586</v>
      </c>
      <c r="N928">
        <v>6.2303016584446147E-2</v>
      </c>
      <c r="O928" s="72">
        <v>0.99960998242053167</v>
      </c>
      <c r="P928">
        <v>0.98354802466122937</v>
      </c>
      <c r="Q928">
        <v>0.93157947088111392</v>
      </c>
      <c r="R928">
        <v>0.51214400054763576</v>
      </c>
      <c r="S928">
        <v>0.44178713862333696</v>
      </c>
      <c r="T928">
        <v>0.24762896158775549</v>
      </c>
      <c r="U928">
        <v>0.77530890493865279</v>
      </c>
      <c r="V928">
        <v>0.67256837556401072</v>
      </c>
      <c r="W928">
        <v>0.58757084047210406</v>
      </c>
      <c r="X928">
        <v>0.45948872837399568</v>
      </c>
      <c r="Y928">
        <v>0.48950856868162163</v>
      </c>
      <c r="Z928">
        <v>0.43015490809512152</v>
      </c>
      <c r="AA928">
        <v>0.65764108023264578</v>
      </c>
      <c r="AB928">
        <v>0.81485875351196846</v>
      </c>
      <c r="AC928">
        <v>0.7414086491019628</v>
      </c>
      <c r="AD928">
        <v>0.65999014631654096</v>
      </c>
      <c r="AE928">
        <v>204.6149668975315</v>
      </c>
      <c r="AF928">
        <v>999.55231154874627</v>
      </c>
      <c r="AG928">
        <v>1899.7187724121002</v>
      </c>
      <c r="AH928">
        <v>13885.549759746882</v>
      </c>
      <c r="AI928">
        <v>13120.708932856358</v>
      </c>
      <c r="AJ928">
        <v>41589.433822576764</v>
      </c>
      <c r="AK928">
        <v>18181.555308381499</v>
      </c>
      <c r="AL928">
        <v>2271.8360799826633</v>
      </c>
      <c r="AM928">
        <v>300.94067520596161</v>
      </c>
      <c r="AO928">
        <v>40023.690286361736</v>
      </c>
      <c r="AP928">
        <v>13.398806772417235</v>
      </c>
      <c r="AQ928">
        <v>45843.475546493617</v>
      </c>
      <c r="AR928">
        <v>13.552167758710684</v>
      </c>
      <c r="AS928" s="2">
        <f t="shared" si="99"/>
        <v>5819.7852601318809</v>
      </c>
      <c r="AT928" s="2">
        <f t="shared" si="100"/>
        <v>0.15336098629344974</v>
      </c>
      <c r="AV928">
        <f t="shared" si="101"/>
        <v>1299856.9869553617</v>
      </c>
      <c r="AW928">
        <f t="shared" si="102"/>
        <v>1309373.3003245748</v>
      </c>
      <c r="AY928">
        <f t="shared" si="103"/>
        <v>0</v>
      </c>
      <c r="AZ928">
        <f t="shared" si="104"/>
        <v>1</v>
      </c>
    </row>
    <row r="929" spans="1:52" x14ac:dyDescent="0.2">
      <c r="A929">
        <f t="shared" si="98"/>
        <v>925</v>
      </c>
      <c r="B929">
        <v>2.6776441963595632E-2</v>
      </c>
      <c r="C929">
        <v>3.2687711950050734E-2</v>
      </c>
      <c r="D929">
        <v>5.4200086400873149E-2</v>
      </c>
      <c r="E929">
        <v>7.3439158245008137E-4</v>
      </c>
      <c r="F929">
        <v>3.4161466434572407E-3</v>
      </c>
      <c r="G929">
        <v>5.7785079884996131E-4</v>
      </c>
      <c r="H929">
        <v>2.0000095791724525E-2</v>
      </c>
      <c r="I929">
        <v>0.12354087906482729</v>
      </c>
      <c r="J929">
        <v>0</v>
      </c>
      <c r="K929">
        <v>0.42021092120656073</v>
      </c>
      <c r="L929">
        <v>0.1737802063771158</v>
      </c>
      <c r="M929">
        <v>0.82621979362288422</v>
      </c>
      <c r="N929">
        <v>4.7254772228123063E-2</v>
      </c>
      <c r="O929" s="72">
        <v>0.97392123490860638</v>
      </c>
      <c r="P929">
        <v>0.97935628558074173</v>
      </c>
      <c r="Q929">
        <v>0.98828835511929036</v>
      </c>
      <c r="R929">
        <v>0.4876594860454071</v>
      </c>
      <c r="S929">
        <v>0.41750873110176501</v>
      </c>
      <c r="T929">
        <v>0.22035709461108133</v>
      </c>
      <c r="U929">
        <v>0.73602855802263012</v>
      </c>
      <c r="V929">
        <v>0.69864921911251288</v>
      </c>
      <c r="W929">
        <v>0.59965362107355635</v>
      </c>
      <c r="X929">
        <v>0.45962490962003066</v>
      </c>
      <c r="Y929">
        <v>0.43845604259667265</v>
      </c>
      <c r="Z929">
        <v>0.48814383946425488</v>
      </c>
      <c r="AA929">
        <v>0.63140879890131352</v>
      </c>
      <c r="AB929">
        <v>0.79357845892012391</v>
      </c>
      <c r="AC929">
        <v>0.72658018400733027</v>
      </c>
      <c r="AD929">
        <v>0.59348504649013056</v>
      </c>
      <c r="AE929">
        <v>214.87377851126229</v>
      </c>
      <c r="AF929">
        <v>1032.5879260249751</v>
      </c>
      <c r="AG929">
        <v>2317.8996891546649</v>
      </c>
      <c r="AH929">
        <v>11049.381914201433</v>
      </c>
      <c r="AI929">
        <v>11839.16895770846</v>
      </c>
      <c r="AJ929">
        <v>42671.170221484281</v>
      </c>
      <c r="AK929">
        <v>12394.152876016886</v>
      </c>
      <c r="AL929">
        <v>1588.3193167799318</v>
      </c>
      <c r="AM929">
        <v>537.34620748140094</v>
      </c>
      <c r="AO929">
        <v>45736.270283936021</v>
      </c>
      <c r="AP929">
        <v>12.983967818411054</v>
      </c>
      <c r="AQ929">
        <v>49619.416480878637</v>
      </c>
      <c r="AR929">
        <v>13.14172254363088</v>
      </c>
      <c r="AS929" s="2">
        <f t="shared" si="99"/>
        <v>3883.1461969426164</v>
      </c>
      <c r="AT929" s="2">
        <f t="shared" si="100"/>
        <v>0.15775472521982614</v>
      </c>
      <c r="AV929">
        <f t="shared" si="101"/>
        <v>1252660.5115571693</v>
      </c>
      <c r="AW929">
        <f t="shared" si="102"/>
        <v>1264552.8378822093</v>
      </c>
      <c r="AY929">
        <f t="shared" si="103"/>
        <v>0</v>
      </c>
      <c r="AZ929">
        <f t="shared" si="104"/>
        <v>1</v>
      </c>
    </row>
    <row r="930" spans="1:52" x14ac:dyDescent="0.2">
      <c r="A930">
        <f t="shared" si="98"/>
        <v>926</v>
      </c>
      <c r="B930">
        <v>2.1979116245836976E-2</v>
      </c>
      <c r="C930">
        <v>3.3661779336303634E-2</v>
      </c>
      <c r="D930">
        <v>3.9491763359567278E-2</v>
      </c>
      <c r="E930">
        <v>1.3624584205639056E-2</v>
      </c>
      <c r="F930">
        <v>3.3276202214234324E-3</v>
      </c>
      <c r="G930">
        <v>1.3843821998225092E-2</v>
      </c>
      <c r="H930">
        <v>3.6476841153592399E-2</v>
      </c>
      <c r="I930">
        <v>0.15170126801643447</v>
      </c>
      <c r="J930">
        <v>0</v>
      </c>
      <c r="K930">
        <v>0.46402711008734332</v>
      </c>
      <c r="L930">
        <v>0.23204400168099382</v>
      </c>
      <c r="M930">
        <v>0.76795599831900618</v>
      </c>
      <c r="N930">
        <v>7.4568197281458581E-2</v>
      </c>
      <c r="O930" s="72">
        <v>0.99997586146970707</v>
      </c>
      <c r="P930">
        <v>0.99379051278807828</v>
      </c>
      <c r="Q930">
        <v>0.77258435799761638</v>
      </c>
      <c r="R930">
        <v>0.52104724714143469</v>
      </c>
      <c r="S930">
        <v>0.43590241937741203</v>
      </c>
      <c r="T930">
        <v>0.39311629135886783</v>
      </c>
      <c r="U930">
        <v>0.79644807095086489</v>
      </c>
      <c r="V930">
        <v>0.70161232703596954</v>
      </c>
      <c r="W930">
        <v>0.55761858843221124</v>
      </c>
      <c r="X930">
        <v>0.44599145565817799</v>
      </c>
      <c r="Y930">
        <v>0.40526149420467406</v>
      </c>
      <c r="Z930">
        <v>0.44373066325740024</v>
      </c>
      <c r="AA930">
        <v>0.66988204667898454</v>
      </c>
      <c r="AB930">
        <v>0.88671676503596242</v>
      </c>
      <c r="AC930">
        <v>0.740784891956076</v>
      </c>
      <c r="AD930">
        <v>0.62722815608822957</v>
      </c>
      <c r="AE930">
        <v>187.13263825643881</v>
      </c>
      <c r="AF930">
        <v>970.97806322497797</v>
      </c>
      <c r="AG930">
        <v>1595.5156149390289</v>
      </c>
      <c r="AH930">
        <v>9582.0865253645588</v>
      </c>
      <c r="AI930">
        <v>17219.353137044956</v>
      </c>
      <c r="AJ930">
        <v>43384.620904396237</v>
      </c>
      <c r="AK930">
        <v>11517.244330918469</v>
      </c>
      <c r="AL930">
        <v>1531.3292789913455</v>
      </c>
      <c r="AM930">
        <v>421.70775639463972</v>
      </c>
      <c r="AO930">
        <v>39487.874624386066</v>
      </c>
      <c r="AP930">
        <v>14.33597459271026</v>
      </c>
      <c r="AQ930">
        <v>47994.911813066647</v>
      </c>
      <c r="AR930">
        <v>14.493882458111328</v>
      </c>
      <c r="AS930" s="2">
        <f t="shared" si="99"/>
        <v>8507.0371886805806</v>
      </c>
      <c r="AT930" s="2">
        <f t="shared" si="100"/>
        <v>0.15790786540106794</v>
      </c>
      <c r="AV930">
        <f t="shared" si="101"/>
        <v>1394109.5846466401</v>
      </c>
      <c r="AW930">
        <f t="shared" si="102"/>
        <v>1401393.3339980661</v>
      </c>
      <c r="AY930">
        <f t="shared" si="103"/>
        <v>0</v>
      </c>
      <c r="AZ930">
        <f t="shared" si="104"/>
        <v>1</v>
      </c>
    </row>
    <row r="931" spans="1:52" x14ac:dyDescent="0.2">
      <c r="A931">
        <f t="shared" si="98"/>
        <v>927</v>
      </c>
      <c r="B931">
        <v>2.4981162190865991E-2</v>
      </c>
      <c r="C931">
        <v>3.6756691283621912E-2</v>
      </c>
      <c r="D931">
        <v>5.0722224274156402E-2</v>
      </c>
      <c r="E931">
        <v>5.301627764185835E-3</v>
      </c>
      <c r="F931">
        <v>3.3791279801255181E-3</v>
      </c>
      <c r="G931">
        <v>8.9163890413383601E-3</v>
      </c>
      <c r="H931">
        <v>2.7859905543610564E-2</v>
      </c>
      <c r="I931">
        <v>0.11967202860522282</v>
      </c>
      <c r="J931">
        <v>0</v>
      </c>
      <c r="K931">
        <v>0.40007897789816987</v>
      </c>
      <c r="L931">
        <v>0.22946847282573501</v>
      </c>
      <c r="M931">
        <v>0.77053152717426499</v>
      </c>
      <c r="N931">
        <v>5.3387405014235251E-2</v>
      </c>
      <c r="O931" s="72">
        <v>0.99862636364850055</v>
      </c>
      <c r="P931">
        <v>0.98445195480744785</v>
      </c>
      <c r="Q931">
        <v>0.95766320920319337</v>
      </c>
      <c r="R931">
        <v>0.4847681381400829</v>
      </c>
      <c r="S931">
        <v>0.35093408026369866</v>
      </c>
      <c r="T931">
        <v>0.12037676116712515</v>
      </c>
      <c r="U931">
        <v>0.76216029470688018</v>
      </c>
      <c r="V931">
        <v>0.59947997659393126</v>
      </c>
      <c r="W931">
        <v>0.54233485909658852</v>
      </c>
      <c r="X931">
        <v>0.45467007025746764</v>
      </c>
      <c r="Y931">
        <v>0.40807318164210765</v>
      </c>
      <c r="Z931">
        <v>0.4307086057349126</v>
      </c>
      <c r="AA931">
        <v>0.59697735195039148</v>
      </c>
      <c r="AB931">
        <v>0.83750760008231795</v>
      </c>
      <c r="AC931">
        <v>0.70214558616489076</v>
      </c>
      <c r="AD931">
        <v>0.66917607146937996</v>
      </c>
      <c r="AE931">
        <v>213.91854646348355</v>
      </c>
      <c r="AF931">
        <v>1300.8193929828858</v>
      </c>
      <c r="AG931">
        <v>2499.9572484782871</v>
      </c>
      <c r="AH931">
        <v>8375.1608158690651</v>
      </c>
      <c r="AI931">
        <v>13555.517478674345</v>
      </c>
      <c r="AJ931">
        <v>37993.355301300151</v>
      </c>
      <c r="AK931">
        <v>17404.252098599321</v>
      </c>
      <c r="AL931">
        <v>1546.8322330494086</v>
      </c>
      <c r="AM931">
        <v>371.8739711725932</v>
      </c>
      <c r="AO931">
        <v>47230.210167471101</v>
      </c>
      <c r="AP931">
        <v>13.482187848891069</v>
      </c>
      <c r="AQ931">
        <v>46852.081635977025</v>
      </c>
      <c r="AR931">
        <v>13.808585096836248</v>
      </c>
      <c r="AS931" s="2">
        <f t="shared" si="99"/>
        <v>-378.12853149407601</v>
      </c>
      <c r="AT931" s="2">
        <f t="shared" si="100"/>
        <v>0.3263972479451791</v>
      </c>
      <c r="AV931">
        <f t="shared" si="101"/>
        <v>1300988.5747216358</v>
      </c>
      <c r="AW931">
        <f t="shared" si="102"/>
        <v>1334006.4280476477</v>
      </c>
      <c r="AY931">
        <f t="shared" si="103"/>
        <v>0</v>
      </c>
      <c r="AZ931">
        <f t="shared" si="104"/>
        <v>1</v>
      </c>
    </row>
    <row r="932" spans="1:52" x14ac:dyDescent="0.2">
      <c r="A932">
        <f t="shared" si="98"/>
        <v>928</v>
      </c>
      <c r="B932">
        <v>2.7302464621566491E-2</v>
      </c>
      <c r="C932">
        <v>3.3037727328714052E-2</v>
      </c>
      <c r="D932">
        <v>2.4651821316954117E-2</v>
      </c>
      <c r="E932">
        <v>1.2859182874336739E-2</v>
      </c>
      <c r="F932">
        <v>3.2796070225947515E-3</v>
      </c>
      <c r="G932">
        <v>8.0344086396012069E-3</v>
      </c>
      <c r="H932">
        <v>1.170825257779484E-2</v>
      </c>
      <c r="I932">
        <v>0.13974009269418652</v>
      </c>
      <c r="J932">
        <v>0</v>
      </c>
      <c r="K932">
        <v>0.4158489041238882</v>
      </c>
      <c r="L932">
        <v>0.21023516901219685</v>
      </c>
      <c r="M932">
        <v>0.78976483098780315</v>
      </c>
      <c r="N932">
        <v>4.9901578168800101E-2</v>
      </c>
      <c r="O932" s="72">
        <v>0.99999932181927398</v>
      </c>
      <c r="P932">
        <v>0.97433520385571148</v>
      </c>
      <c r="Q932">
        <v>0.98917865949282013</v>
      </c>
      <c r="R932">
        <v>0.53251861041085657</v>
      </c>
      <c r="S932">
        <v>0.3069990473876163</v>
      </c>
      <c r="T932">
        <v>0.28882496756491738</v>
      </c>
      <c r="U932">
        <v>0.74280406020433432</v>
      </c>
      <c r="V932">
        <v>0.69037934726320116</v>
      </c>
      <c r="W932">
        <v>0.52153195887709114</v>
      </c>
      <c r="X932">
        <v>0.47363917318427129</v>
      </c>
      <c r="Y932">
        <v>0.46916073862194418</v>
      </c>
      <c r="Z932">
        <v>0.42407994311679098</v>
      </c>
      <c r="AA932">
        <v>0.67947183604317662</v>
      </c>
      <c r="AB932">
        <v>0.80315066655093015</v>
      </c>
      <c r="AC932">
        <v>0.65540384358784465</v>
      </c>
      <c r="AD932">
        <v>0.63077775527542468</v>
      </c>
      <c r="AE932">
        <v>190.65953076272788</v>
      </c>
      <c r="AF932">
        <v>1064.0020847783449</v>
      </c>
      <c r="AG932">
        <v>1658.3062704783758</v>
      </c>
      <c r="AH932">
        <v>18619.653330960056</v>
      </c>
      <c r="AI932">
        <v>12655.345555732401</v>
      </c>
      <c r="AJ932">
        <v>48396.811763422549</v>
      </c>
      <c r="AK932">
        <v>14260.361315025757</v>
      </c>
      <c r="AL932">
        <v>1865.7152604945941</v>
      </c>
      <c r="AM932">
        <v>294.60106353741929</v>
      </c>
      <c r="AO932">
        <v>40364.377480505515</v>
      </c>
      <c r="AP932">
        <v>13.046763105188273</v>
      </c>
      <c r="AQ932">
        <v>45917.545521513341</v>
      </c>
      <c r="AR932">
        <v>13.195565890357962</v>
      </c>
      <c r="AS932" s="2">
        <f t="shared" si="99"/>
        <v>5553.1680410078261</v>
      </c>
      <c r="AT932" s="2">
        <f t="shared" si="100"/>
        <v>0.14880278516968914</v>
      </c>
      <c r="AV932">
        <f t="shared" si="101"/>
        <v>1264311.9330383218</v>
      </c>
      <c r="AW932">
        <f t="shared" si="102"/>
        <v>1273639.0435142829</v>
      </c>
      <c r="AY932">
        <f t="shared" si="103"/>
        <v>0</v>
      </c>
      <c r="AZ932">
        <f t="shared" si="104"/>
        <v>1</v>
      </c>
    </row>
    <row r="933" spans="1:52" x14ac:dyDescent="0.2">
      <c r="A933">
        <f t="shared" si="98"/>
        <v>929</v>
      </c>
      <c r="B933">
        <v>2.5782928976854969E-2</v>
      </c>
      <c r="C933">
        <v>4.5585868720066647E-2</v>
      </c>
      <c r="D933">
        <v>3.5557483508019815E-2</v>
      </c>
      <c r="E933">
        <v>8.263902860364972E-3</v>
      </c>
      <c r="F933">
        <v>3.3131513906026911E-3</v>
      </c>
      <c r="G933">
        <v>1.3319117858191953E-2</v>
      </c>
      <c r="H933">
        <v>3.3491544259135697E-2</v>
      </c>
      <c r="I933">
        <v>0.11516174040237059</v>
      </c>
      <c r="J933">
        <v>0</v>
      </c>
      <c r="K933">
        <v>0.43306149318916265</v>
      </c>
      <c r="L933">
        <v>0.16114865001054013</v>
      </c>
      <c r="M933">
        <v>0.83885134998945987</v>
      </c>
      <c r="N933">
        <v>5.737397426773605E-2</v>
      </c>
      <c r="O933" s="72">
        <v>0.99999995759758453</v>
      </c>
      <c r="P933">
        <v>0.99984614669546179</v>
      </c>
      <c r="Q933">
        <v>0.91280719782983166</v>
      </c>
      <c r="R933">
        <v>0.447740118851777</v>
      </c>
      <c r="S933">
        <v>0.40603165705118971</v>
      </c>
      <c r="T933">
        <v>0.19905088518609437</v>
      </c>
      <c r="U933">
        <v>0.77147535217048535</v>
      </c>
      <c r="V933">
        <v>0.70151063208412689</v>
      </c>
      <c r="W933">
        <v>0.52179070528098859</v>
      </c>
      <c r="X933">
        <v>0.47768399758576219</v>
      </c>
      <c r="Y933">
        <v>0.44162843016259351</v>
      </c>
      <c r="Z933">
        <v>0.46427542738040362</v>
      </c>
      <c r="AA933">
        <v>0.69194929035888564</v>
      </c>
      <c r="AB933">
        <v>0.83817377233017154</v>
      </c>
      <c r="AC933">
        <v>0.79751556344146579</v>
      </c>
      <c r="AD933">
        <v>0.6448954345913348</v>
      </c>
      <c r="AE933">
        <v>201.7121270139607</v>
      </c>
      <c r="AF933">
        <v>966.73431223443072</v>
      </c>
      <c r="AG933">
        <v>1864.0928211570774</v>
      </c>
      <c r="AH933">
        <v>12027.364026363284</v>
      </c>
      <c r="AI933">
        <v>15594.691020675507</v>
      </c>
      <c r="AJ933">
        <v>41780.270240589402</v>
      </c>
      <c r="AK933">
        <v>9238.8886221704543</v>
      </c>
      <c r="AL933">
        <v>2447.9140447559184</v>
      </c>
      <c r="AM933">
        <v>307.65400694702311</v>
      </c>
      <c r="AO933">
        <v>45019.410429599578</v>
      </c>
      <c r="AP933">
        <v>13.737177229349182</v>
      </c>
      <c r="AQ933">
        <v>45508.363842417813</v>
      </c>
      <c r="AR933">
        <v>13.959071480896547</v>
      </c>
      <c r="AS933" s="2">
        <f t="shared" si="99"/>
        <v>488.95341281823494</v>
      </c>
      <c r="AT933" s="2">
        <f t="shared" si="100"/>
        <v>0.22189425154736497</v>
      </c>
      <c r="AV933">
        <f t="shared" si="101"/>
        <v>1328698.3125053188</v>
      </c>
      <c r="AW933">
        <f t="shared" si="102"/>
        <v>1350398.784247237</v>
      </c>
      <c r="AY933">
        <f t="shared" si="103"/>
        <v>0</v>
      </c>
      <c r="AZ933">
        <f t="shared" si="104"/>
        <v>1</v>
      </c>
    </row>
    <row r="934" spans="1:52" x14ac:dyDescent="0.2">
      <c r="A934">
        <f t="shared" si="98"/>
        <v>930</v>
      </c>
      <c r="B934">
        <v>2.3917833596503693E-2</v>
      </c>
      <c r="C934">
        <v>3.890914753668695E-2</v>
      </c>
      <c r="D934">
        <v>4.7009700329615378E-2</v>
      </c>
      <c r="E934">
        <v>1.3026360512180535E-2</v>
      </c>
      <c r="F934">
        <v>3.2907393110947411E-3</v>
      </c>
      <c r="G934">
        <v>5.3085028049428456E-3</v>
      </c>
      <c r="H934">
        <v>1.9693361667575873E-2</v>
      </c>
      <c r="I934">
        <v>0.13584874762628529</v>
      </c>
      <c r="J934">
        <v>0</v>
      </c>
      <c r="K934">
        <v>0.42572403551572935</v>
      </c>
      <c r="L934">
        <v>0.28611971199028075</v>
      </c>
      <c r="M934">
        <v>0.71388028800971925</v>
      </c>
      <c r="N934">
        <v>6.7927334768946745E-2</v>
      </c>
      <c r="O934" s="72">
        <v>0.96613110328719121</v>
      </c>
      <c r="P934">
        <v>0.99991997587489023</v>
      </c>
      <c r="Q934">
        <v>0.99753109863523537</v>
      </c>
      <c r="R934">
        <v>0.49034115129024602</v>
      </c>
      <c r="S934">
        <v>0.35531064518677091</v>
      </c>
      <c r="T934">
        <v>0.21102505206764854</v>
      </c>
      <c r="U934">
        <v>0.75834548392660228</v>
      </c>
      <c r="V934">
        <v>0.6744183385661523</v>
      </c>
      <c r="W934">
        <v>0.57002217443757341</v>
      </c>
      <c r="X934">
        <v>0.47312731462920343</v>
      </c>
      <c r="Y934">
        <v>0.43311117429658119</v>
      </c>
      <c r="Z934">
        <v>0.47717053456358005</v>
      </c>
      <c r="AA934">
        <v>0.69381040324035326</v>
      </c>
      <c r="AB934">
        <v>0.79807999595248513</v>
      </c>
      <c r="AC934">
        <v>0.80554914592074001</v>
      </c>
      <c r="AD934">
        <v>0.58643426137552246</v>
      </c>
      <c r="AE934">
        <v>222.75210322072527</v>
      </c>
      <c r="AF934">
        <v>1138.8145366833562</v>
      </c>
      <c r="AG934">
        <v>2169.2217443038244</v>
      </c>
      <c r="AH934">
        <v>14550.830391806905</v>
      </c>
      <c r="AI934">
        <v>11241.849548237775</v>
      </c>
      <c r="AJ934">
        <v>37234.990207347168</v>
      </c>
      <c r="AK934">
        <v>8887.3522661776769</v>
      </c>
      <c r="AL934">
        <v>1962.9525625361969</v>
      </c>
      <c r="AM934">
        <v>303.95986258545486</v>
      </c>
      <c r="AO934">
        <v>43194.349682684762</v>
      </c>
      <c r="AP934">
        <v>13.155743907526851</v>
      </c>
      <c r="AQ934">
        <v>45363.312158612192</v>
      </c>
      <c r="AR934">
        <v>13.338246755349353</v>
      </c>
      <c r="AS934" s="2">
        <f t="shared" si="99"/>
        <v>2168.9624759274302</v>
      </c>
      <c r="AT934" s="2">
        <f t="shared" si="100"/>
        <v>0.18250284782250148</v>
      </c>
      <c r="AV934">
        <f t="shared" si="101"/>
        <v>1272380.0410700003</v>
      </c>
      <c r="AW934">
        <f t="shared" si="102"/>
        <v>1288461.3633763229</v>
      </c>
      <c r="AY934">
        <f t="shared" si="103"/>
        <v>0</v>
      </c>
      <c r="AZ934">
        <f t="shared" si="104"/>
        <v>1</v>
      </c>
    </row>
    <row r="935" spans="1:52" x14ac:dyDescent="0.2">
      <c r="A935">
        <f t="shared" si="98"/>
        <v>931</v>
      </c>
      <c r="B935">
        <v>2.2894627171173729E-2</v>
      </c>
      <c r="C935">
        <v>2.9875597665377708E-2</v>
      </c>
      <c r="D935">
        <v>3.9847764024337873E-2</v>
      </c>
      <c r="E935">
        <v>1.8213670461964759E-2</v>
      </c>
      <c r="F935">
        <v>3.3842724515490419E-3</v>
      </c>
      <c r="G935">
        <v>7.1598742544295609E-3</v>
      </c>
      <c r="H935">
        <v>2.0793388567398128E-2</v>
      </c>
      <c r="I935">
        <v>0.12134881183171606</v>
      </c>
      <c r="J935">
        <v>0</v>
      </c>
      <c r="K935">
        <v>0.41593775118627663</v>
      </c>
      <c r="L935">
        <v>0.16546245905365331</v>
      </c>
      <c r="M935">
        <v>0.83453754094634669</v>
      </c>
      <c r="N935">
        <v>4.8254331380902883E-2</v>
      </c>
      <c r="O935" s="72">
        <v>0.99532113844049064</v>
      </c>
      <c r="P935">
        <v>0.99712225494660478</v>
      </c>
      <c r="Q935">
        <v>0.98057893389627093</v>
      </c>
      <c r="R935">
        <v>0.51909590367304159</v>
      </c>
      <c r="S935">
        <v>0.4479331132560388</v>
      </c>
      <c r="T935">
        <v>0.13499334979601807</v>
      </c>
      <c r="U935">
        <v>0.7477929101484615</v>
      </c>
      <c r="V935">
        <v>0.61192793002816437</v>
      </c>
      <c r="W935">
        <v>0.52813458577564831</v>
      </c>
      <c r="X935">
        <v>0.44355396426716098</v>
      </c>
      <c r="Y935">
        <v>0.51711718513245108</v>
      </c>
      <c r="Z935">
        <v>0.4669255405473044</v>
      </c>
      <c r="AA935">
        <v>0.69675075319484825</v>
      </c>
      <c r="AB935">
        <v>0.87410677302659123</v>
      </c>
      <c r="AC935">
        <v>0.77797520867455217</v>
      </c>
      <c r="AD935">
        <v>0.57358737201031051</v>
      </c>
      <c r="AE935">
        <v>221.65187879874657</v>
      </c>
      <c r="AF935">
        <v>1137.7087136587843</v>
      </c>
      <c r="AG935">
        <v>1504.2365597850617</v>
      </c>
      <c r="AH935">
        <v>13007.267046620887</v>
      </c>
      <c r="AI935">
        <v>19730.578072681546</v>
      </c>
      <c r="AJ935">
        <v>48976.020354982633</v>
      </c>
      <c r="AK935">
        <v>11647.148441157407</v>
      </c>
      <c r="AL935">
        <v>1550.0730868457731</v>
      </c>
      <c r="AM935">
        <v>212.58630278664353</v>
      </c>
      <c r="AO935">
        <v>41295.415197605711</v>
      </c>
      <c r="AP935">
        <v>14.039252151821222</v>
      </c>
      <c r="AQ935">
        <v>43899.087375244228</v>
      </c>
      <c r="AR935">
        <v>14.325057557000244</v>
      </c>
      <c r="AS935" s="2">
        <f t="shared" si="99"/>
        <v>2603.6721776385166</v>
      </c>
      <c r="AT935" s="2">
        <f t="shared" si="100"/>
        <v>0.28580540517902264</v>
      </c>
      <c r="AV935">
        <f t="shared" si="101"/>
        <v>1362629.7999845163</v>
      </c>
      <c r="AW935">
        <f t="shared" si="102"/>
        <v>1388606.6683247804</v>
      </c>
      <c r="AY935">
        <f t="shared" si="103"/>
        <v>0</v>
      </c>
      <c r="AZ935">
        <f t="shared" si="104"/>
        <v>1</v>
      </c>
    </row>
    <row r="936" spans="1:52" x14ac:dyDescent="0.2">
      <c r="A936">
        <f t="shared" si="98"/>
        <v>932</v>
      </c>
      <c r="B936">
        <v>2.4264451216732857E-2</v>
      </c>
      <c r="C936">
        <v>3.4930751240291873E-2</v>
      </c>
      <c r="D936">
        <v>4.3108010372121308E-2</v>
      </c>
      <c r="E936">
        <v>2.5589678076337496E-2</v>
      </c>
      <c r="F936">
        <v>3.2681703715723943E-3</v>
      </c>
      <c r="G936">
        <v>6.2728643304622777E-3</v>
      </c>
      <c r="H936">
        <v>2.2030457905985242E-2</v>
      </c>
      <c r="I936">
        <v>0.14523535686172029</v>
      </c>
      <c r="J936">
        <v>0</v>
      </c>
      <c r="K936">
        <v>0.44222633906409869</v>
      </c>
      <c r="L936">
        <v>0.20445442888667018</v>
      </c>
      <c r="M936">
        <v>0.7955455711133298</v>
      </c>
      <c r="N936">
        <v>4.2824244669006958E-2</v>
      </c>
      <c r="O936" s="72">
        <v>0.9959509312913476</v>
      </c>
      <c r="P936">
        <v>0.99999926999657918</v>
      </c>
      <c r="Q936">
        <v>0.97940945747717023</v>
      </c>
      <c r="R936">
        <v>0.48171410842489271</v>
      </c>
      <c r="S936">
        <v>0.39902382682173698</v>
      </c>
      <c r="T936">
        <v>0.24458818871057519</v>
      </c>
      <c r="U936">
        <v>0.73874420355646708</v>
      </c>
      <c r="V936">
        <v>0.644614426631959</v>
      </c>
      <c r="W936">
        <v>0.45723056632714981</v>
      </c>
      <c r="X936">
        <v>0.40125618784118156</v>
      </c>
      <c r="Y936">
        <v>0.50346346587445256</v>
      </c>
      <c r="Z936">
        <v>0.43078178961367819</v>
      </c>
      <c r="AA936">
        <v>0.80991908174242866</v>
      </c>
      <c r="AB936">
        <v>0.88866676575867665</v>
      </c>
      <c r="AC936">
        <v>0.72093246475133554</v>
      </c>
      <c r="AD936">
        <v>0.66570832819502812</v>
      </c>
      <c r="AE936">
        <v>156.15245968320218</v>
      </c>
      <c r="AF936">
        <v>1311.8998948136498</v>
      </c>
      <c r="AG936">
        <v>1954.9563050663692</v>
      </c>
      <c r="AH936">
        <v>9711.2635713830914</v>
      </c>
      <c r="AI936">
        <v>13371.453303394777</v>
      </c>
      <c r="AJ936">
        <v>46439.690470121044</v>
      </c>
      <c r="AK936">
        <v>14250.856217485376</v>
      </c>
      <c r="AL936">
        <v>2364.8004283584123</v>
      </c>
      <c r="AM936">
        <v>342.68648088678049</v>
      </c>
      <c r="AO936">
        <v>42404.585827036484</v>
      </c>
      <c r="AP936">
        <v>14.20159501643408</v>
      </c>
      <c r="AQ936">
        <v>45746.563927536401</v>
      </c>
      <c r="AR936">
        <v>14.548728974172912</v>
      </c>
      <c r="AS936" s="2">
        <f t="shared" si="99"/>
        <v>3341.9781004999168</v>
      </c>
      <c r="AT936" s="2">
        <f t="shared" si="100"/>
        <v>0.34713395773883171</v>
      </c>
      <c r="AV936">
        <f t="shared" si="101"/>
        <v>1377754.9158163716</v>
      </c>
      <c r="AW936">
        <f t="shared" si="102"/>
        <v>1409126.3334897547</v>
      </c>
      <c r="AY936">
        <f t="shared" si="103"/>
        <v>0</v>
      </c>
      <c r="AZ936">
        <f t="shared" si="104"/>
        <v>1</v>
      </c>
    </row>
    <row r="937" spans="1:52" x14ac:dyDescent="0.2">
      <c r="A937">
        <f t="shared" si="98"/>
        <v>933</v>
      </c>
      <c r="B937">
        <v>2.3745816357811925E-2</v>
      </c>
      <c r="C937">
        <v>4.2722610561194641E-2</v>
      </c>
      <c r="D937">
        <v>4.4156411266894291E-2</v>
      </c>
      <c r="E937">
        <v>9.3815599291868709E-3</v>
      </c>
      <c r="F937">
        <v>3.1997334011926171E-3</v>
      </c>
      <c r="G937">
        <v>4.3721536404108474E-2</v>
      </c>
      <c r="H937">
        <v>3.6757053543072127E-2</v>
      </c>
      <c r="I937">
        <v>0.12756449487223978</v>
      </c>
      <c r="J937">
        <v>0</v>
      </c>
      <c r="K937">
        <v>0.46155389395060298</v>
      </c>
      <c r="L937">
        <v>0.23766744581289634</v>
      </c>
      <c r="M937">
        <v>0.76233255418710366</v>
      </c>
      <c r="N937">
        <v>5.5312541283099939E-2</v>
      </c>
      <c r="O937" s="72">
        <v>0.99709425836851284</v>
      </c>
      <c r="P937">
        <v>0.9999800715365017</v>
      </c>
      <c r="Q937">
        <v>0.99747861104990354</v>
      </c>
      <c r="R937">
        <v>0.49208334750789073</v>
      </c>
      <c r="S937">
        <v>0.48190287302738954</v>
      </c>
      <c r="T937">
        <v>0.24131416302593212</v>
      </c>
      <c r="U937">
        <v>0.72487006802169862</v>
      </c>
      <c r="V937">
        <v>0.67167874572147701</v>
      </c>
      <c r="W937">
        <v>0.53183270333859445</v>
      </c>
      <c r="X937">
        <v>0.40361891280546935</v>
      </c>
      <c r="Y937">
        <v>0.46246695347977285</v>
      </c>
      <c r="Z937">
        <v>0.48908311223004752</v>
      </c>
      <c r="AA937">
        <v>0.67164544083977307</v>
      </c>
      <c r="AB937">
        <v>0.81492204936405299</v>
      </c>
      <c r="AC937">
        <v>0.70824705075169569</v>
      </c>
      <c r="AD937">
        <v>0.54185897562081908</v>
      </c>
      <c r="AE937">
        <v>202.96900462043828</v>
      </c>
      <c r="AF937">
        <v>1181.0835037025702</v>
      </c>
      <c r="AG937">
        <v>2049.4559342510379</v>
      </c>
      <c r="AH937">
        <v>13506.963764927881</v>
      </c>
      <c r="AI937">
        <v>16100.190459678481</v>
      </c>
      <c r="AJ937">
        <v>41914.050005302233</v>
      </c>
      <c r="AK937">
        <v>12152.2819951701</v>
      </c>
      <c r="AL937">
        <v>1445.3573281405756</v>
      </c>
      <c r="AM937">
        <v>385.58625240107682</v>
      </c>
      <c r="AO937">
        <v>42173.078462144549</v>
      </c>
      <c r="AP937">
        <v>13.143399653135226</v>
      </c>
      <c r="AQ937">
        <v>46446.793068473096</v>
      </c>
      <c r="AR937">
        <v>13.335000900922301</v>
      </c>
      <c r="AS937" s="2">
        <f t="shared" si="99"/>
        <v>4273.7146063285472</v>
      </c>
      <c r="AT937" s="2">
        <f t="shared" si="100"/>
        <v>0.19160124778707477</v>
      </c>
      <c r="AV937">
        <f t="shared" si="101"/>
        <v>1272166.886851378</v>
      </c>
      <c r="AW937">
        <f t="shared" si="102"/>
        <v>1287053.2970237571</v>
      </c>
      <c r="AY937">
        <f t="shared" si="103"/>
        <v>0</v>
      </c>
      <c r="AZ937">
        <f t="shared" si="104"/>
        <v>1</v>
      </c>
    </row>
    <row r="938" spans="1:52" x14ac:dyDescent="0.2">
      <c r="A938">
        <f t="shared" si="98"/>
        <v>934</v>
      </c>
      <c r="B938">
        <v>2.5108784997964428E-2</v>
      </c>
      <c r="C938">
        <v>5.5647405628126312E-2</v>
      </c>
      <c r="D938">
        <v>3.8961577052721519E-2</v>
      </c>
      <c r="E938">
        <v>5.2356900496421145E-3</v>
      </c>
      <c r="F938">
        <v>3.3977216079018602E-3</v>
      </c>
      <c r="G938">
        <v>1.2272611764424401E-2</v>
      </c>
      <c r="H938">
        <v>1.9238394628802748E-2</v>
      </c>
      <c r="I938">
        <v>0.1425654367024366</v>
      </c>
      <c r="J938">
        <v>0</v>
      </c>
      <c r="K938">
        <v>0.43038006162087206</v>
      </c>
      <c r="L938">
        <v>0.19483755248326595</v>
      </c>
      <c r="M938">
        <v>0.80516244751673405</v>
      </c>
      <c r="N938">
        <v>4.9089948020847679E-2</v>
      </c>
      <c r="O938" s="72">
        <v>0.99774850442212781</v>
      </c>
      <c r="P938">
        <v>0.9996480888637147</v>
      </c>
      <c r="Q938">
        <v>0.98731114170599965</v>
      </c>
      <c r="R938">
        <v>0.5139560196575651</v>
      </c>
      <c r="S938">
        <v>0.36857164902067308</v>
      </c>
      <c r="T938">
        <v>0.14999838183069336</v>
      </c>
      <c r="U938">
        <v>0.76420678269074882</v>
      </c>
      <c r="V938">
        <v>0.69576757645026954</v>
      </c>
      <c r="W938">
        <v>0.5632106414716429</v>
      </c>
      <c r="X938">
        <v>0.47971177512424135</v>
      </c>
      <c r="Y938">
        <v>0.47390993385450442</v>
      </c>
      <c r="Z938">
        <v>0.44325626753514347</v>
      </c>
      <c r="AA938">
        <v>0.61064271858960661</v>
      </c>
      <c r="AB938">
        <v>0.81594912772889472</v>
      </c>
      <c r="AC938">
        <v>0.71731201786693533</v>
      </c>
      <c r="AD938">
        <v>0.55050012987183172</v>
      </c>
      <c r="AE938">
        <v>234.31666423239636</v>
      </c>
      <c r="AF938">
        <v>1162.9322157405052</v>
      </c>
      <c r="AG938">
        <v>2189.8712101824221</v>
      </c>
      <c r="AH938">
        <v>15621.081916870546</v>
      </c>
      <c r="AI938">
        <v>10924.610249407489</v>
      </c>
      <c r="AJ938">
        <v>46225.493309362937</v>
      </c>
      <c r="AK938">
        <v>14984.936205101976</v>
      </c>
      <c r="AL938">
        <v>2124.0774379571444</v>
      </c>
      <c r="AM938">
        <v>297.86350069220799</v>
      </c>
      <c r="AO938">
        <v>43971.105696360712</v>
      </c>
      <c r="AP938">
        <v>13.195522341887653</v>
      </c>
      <c r="AQ938">
        <v>45213.522164697009</v>
      </c>
      <c r="AR938">
        <v>13.377187634749523</v>
      </c>
      <c r="AS938" s="2">
        <f t="shared" si="99"/>
        <v>1242.4164683362978</v>
      </c>
      <c r="AT938" s="2">
        <f t="shared" si="100"/>
        <v>0.1816652928618705</v>
      </c>
      <c r="AV938">
        <f t="shared" si="101"/>
        <v>1275581.1284924045</v>
      </c>
      <c r="AW938">
        <f t="shared" si="102"/>
        <v>1292505.2413102554</v>
      </c>
      <c r="AY938">
        <f t="shared" si="103"/>
        <v>0</v>
      </c>
      <c r="AZ938">
        <f t="shared" si="104"/>
        <v>1</v>
      </c>
    </row>
    <row r="939" spans="1:52" x14ac:dyDescent="0.2">
      <c r="A939">
        <f t="shared" si="98"/>
        <v>935</v>
      </c>
      <c r="B939">
        <v>2.2373039254763822E-2</v>
      </c>
      <c r="C939">
        <v>4.5108799657081144E-2</v>
      </c>
      <c r="D939">
        <v>2.7023184665863478E-2</v>
      </c>
      <c r="E939">
        <v>9.4740076232342589E-3</v>
      </c>
      <c r="F939">
        <v>3.393864107462119E-3</v>
      </c>
      <c r="G939">
        <v>2.4091249642307763E-3</v>
      </c>
      <c r="H939">
        <v>1.9468634452182065E-2</v>
      </c>
      <c r="I939">
        <v>0.11380003133958283</v>
      </c>
      <c r="J939">
        <v>0</v>
      </c>
      <c r="K939">
        <v>0.45075010593494336</v>
      </c>
      <c r="L939">
        <v>0.24836212840072192</v>
      </c>
      <c r="M939">
        <v>0.75163787159927808</v>
      </c>
      <c r="N939">
        <v>6.5282508020122476E-2</v>
      </c>
      <c r="O939" s="72">
        <v>0.99947384723652599</v>
      </c>
      <c r="P939">
        <v>0.99993734770382758</v>
      </c>
      <c r="Q939">
        <v>0.97669051842900878</v>
      </c>
      <c r="R939">
        <v>0.44427205019052174</v>
      </c>
      <c r="S939">
        <v>0.53837879007469858</v>
      </c>
      <c r="T939">
        <v>0.1394479800555618</v>
      </c>
      <c r="U939">
        <v>0.75813904883475391</v>
      </c>
      <c r="V939">
        <v>0.64154434107581482</v>
      </c>
      <c r="W939">
        <v>0.53195764042962934</v>
      </c>
      <c r="X939">
        <v>0.42983954664328961</v>
      </c>
      <c r="Y939">
        <v>0.43904508074995419</v>
      </c>
      <c r="Z939">
        <v>0.43052739389463635</v>
      </c>
      <c r="AA939">
        <v>0.69507093698813727</v>
      </c>
      <c r="AB939">
        <v>0.75659592603273718</v>
      </c>
      <c r="AC939">
        <v>0.69477228681303882</v>
      </c>
      <c r="AD939">
        <v>0.59681643030241438</v>
      </c>
      <c r="AE939">
        <v>198.34238003194164</v>
      </c>
      <c r="AF939">
        <v>1132.5406166995747</v>
      </c>
      <c r="AG939">
        <v>1755.8429668757669</v>
      </c>
      <c r="AH939">
        <v>15136.938167911787</v>
      </c>
      <c r="AI939">
        <v>16660.314383689176</v>
      </c>
      <c r="AJ939">
        <v>39354.736454436985</v>
      </c>
      <c r="AK939">
        <v>11862.281123080824</v>
      </c>
      <c r="AL939">
        <v>1945.5155547691729</v>
      </c>
      <c r="AM939">
        <v>432.88021059987506</v>
      </c>
      <c r="AO939">
        <v>47944.279069851116</v>
      </c>
      <c r="AP939">
        <v>12.437246799858396</v>
      </c>
      <c r="AQ939">
        <v>47325.671583796531</v>
      </c>
      <c r="AR939">
        <v>12.577031864679411</v>
      </c>
      <c r="AS939" s="2">
        <f t="shared" si="99"/>
        <v>-618.60748605458502</v>
      </c>
      <c r="AT939" s="2">
        <f t="shared" si="100"/>
        <v>0.13978506482101416</v>
      </c>
      <c r="AV939">
        <f t="shared" si="101"/>
        <v>1195780.4009159885</v>
      </c>
      <c r="AW939">
        <f t="shared" si="102"/>
        <v>1210377.5148841445</v>
      </c>
      <c r="AY939">
        <f t="shared" si="103"/>
        <v>0</v>
      </c>
      <c r="AZ939">
        <f t="shared" si="104"/>
        <v>1</v>
      </c>
    </row>
    <row r="940" spans="1:52" x14ac:dyDescent="0.2">
      <c r="A940">
        <f t="shared" si="98"/>
        <v>936</v>
      </c>
      <c r="B940">
        <v>2.5973405351219392E-2</v>
      </c>
      <c r="C940">
        <v>2.682197664029301E-2</v>
      </c>
      <c r="D940">
        <v>3.749929785511829E-2</v>
      </c>
      <c r="E940">
        <v>3.6629221393947198E-2</v>
      </c>
      <c r="F940">
        <v>3.3534900072468288E-3</v>
      </c>
      <c r="G940">
        <v>5.1751964297298636E-3</v>
      </c>
      <c r="H940">
        <v>1.0571741326722995E-2</v>
      </c>
      <c r="I940">
        <v>0.12513884317972943</v>
      </c>
      <c r="J940">
        <v>0</v>
      </c>
      <c r="K940">
        <v>0.45553125425129803</v>
      </c>
      <c r="L940">
        <v>0.24299655030063849</v>
      </c>
      <c r="M940">
        <v>0.75700344969936151</v>
      </c>
      <c r="N940">
        <v>5.1188302872613535E-2</v>
      </c>
      <c r="O940" s="72">
        <v>0.99995191320098498</v>
      </c>
      <c r="P940">
        <v>0.99844700602760328</v>
      </c>
      <c r="Q940">
        <v>0.81201042874245166</v>
      </c>
      <c r="R940">
        <v>0.48658811587417516</v>
      </c>
      <c r="S940">
        <v>0.4068935884695849</v>
      </c>
      <c r="T940">
        <v>0.26017266785052562</v>
      </c>
      <c r="U940">
        <v>0.78579578468944744</v>
      </c>
      <c r="V940">
        <v>0.6873805514719723</v>
      </c>
      <c r="W940">
        <v>0.53418023879947962</v>
      </c>
      <c r="X940">
        <v>0.44806638405171106</v>
      </c>
      <c r="Y940">
        <v>0.49259782158875942</v>
      </c>
      <c r="Z940">
        <v>0.43615981655175079</v>
      </c>
      <c r="AA940">
        <v>0.68549497061821563</v>
      </c>
      <c r="AB940">
        <v>0.78116180754582287</v>
      </c>
      <c r="AC940">
        <v>0.81555856915115599</v>
      </c>
      <c r="AD940">
        <v>0.62080069918554392</v>
      </c>
      <c r="AE940">
        <v>226.24708575598993</v>
      </c>
      <c r="AF940">
        <v>1116.9512160499244</v>
      </c>
      <c r="AG940">
        <v>1400.6230892552903</v>
      </c>
      <c r="AH940">
        <v>9425.7684529280323</v>
      </c>
      <c r="AI940">
        <v>14000.652907737031</v>
      </c>
      <c r="AJ940">
        <v>48660.856522242131</v>
      </c>
      <c r="AK940">
        <v>11386.981813354734</v>
      </c>
      <c r="AL940">
        <v>2587.4606444052029</v>
      </c>
      <c r="AM940">
        <v>273.42013070812101</v>
      </c>
      <c r="AO940">
        <v>40681.366225486112</v>
      </c>
      <c r="AP940">
        <v>13.023511237431951</v>
      </c>
      <c r="AQ940">
        <v>45368.11145198626</v>
      </c>
      <c r="AR940">
        <v>13.156690996304794</v>
      </c>
      <c r="AS940" s="2">
        <f t="shared" si="99"/>
        <v>4686.7452265001484</v>
      </c>
      <c r="AT940" s="2">
        <f t="shared" si="100"/>
        <v>0.13317975887284383</v>
      </c>
      <c r="AV940">
        <f t="shared" si="101"/>
        <v>1261669.7575177089</v>
      </c>
      <c r="AW940">
        <f t="shared" si="102"/>
        <v>1270300.9881784932</v>
      </c>
      <c r="AY940">
        <f t="shared" si="103"/>
        <v>0</v>
      </c>
      <c r="AZ940">
        <f t="shared" si="104"/>
        <v>1</v>
      </c>
    </row>
    <row r="941" spans="1:52" x14ac:dyDescent="0.2">
      <c r="A941">
        <f t="shared" si="98"/>
        <v>937</v>
      </c>
      <c r="B941">
        <v>2.6744146150917802E-2</v>
      </c>
      <c r="C941">
        <v>3.9156487065535095E-2</v>
      </c>
      <c r="D941">
        <v>4.108827561597439E-2</v>
      </c>
      <c r="E941">
        <v>1.4805713774852065E-3</v>
      </c>
      <c r="F941">
        <v>3.2639480247340087E-3</v>
      </c>
      <c r="G941">
        <v>1.5771086934176686E-3</v>
      </c>
      <c r="H941">
        <v>2.9269043261967442E-2</v>
      </c>
      <c r="I941">
        <v>0.12425507488101865</v>
      </c>
      <c r="J941">
        <v>0</v>
      </c>
      <c r="K941">
        <v>0.41972897222114186</v>
      </c>
      <c r="L941">
        <v>0.27144395091350915</v>
      </c>
      <c r="M941">
        <v>0.72855604908649085</v>
      </c>
      <c r="N941">
        <v>4.8288542082018139E-2</v>
      </c>
      <c r="O941" s="72">
        <v>0.99601337670653345</v>
      </c>
      <c r="P941">
        <v>0.99853832653517627</v>
      </c>
      <c r="Q941">
        <v>0.98040083825833957</v>
      </c>
      <c r="R941">
        <v>0.51275417055649508</v>
      </c>
      <c r="S941">
        <v>0.51111568200997226</v>
      </c>
      <c r="T941">
        <v>0.25126325803917637</v>
      </c>
      <c r="U941">
        <v>0.76846107783657513</v>
      </c>
      <c r="V941">
        <v>0.62997257199657974</v>
      </c>
      <c r="W941">
        <v>0.46091450570255421</v>
      </c>
      <c r="X941">
        <v>0.39854535138238234</v>
      </c>
      <c r="Y941">
        <v>0.44136536644841368</v>
      </c>
      <c r="Z941">
        <v>0.43767402946283512</v>
      </c>
      <c r="AA941">
        <v>0.70344288918844367</v>
      </c>
      <c r="AB941">
        <v>0.80045843788374149</v>
      </c>
      <c r="AC941">
        <v>0.80033989779816261</v>
      </c>
      <c r="AD941">
        <v>0.66179524728855288</v>
      </c>
      <c r="AE941">
        <v>146.33791616141869</v>
      </c>
      <c r="AF941">
        <v>1092.9172314165689</v>
      </c>
      <c r="AG941">
        <v>1697.3247870871153</v>
      </c>
      <c r="AH941">
        <v>12510.156387887006</v>
      </c>
      <c r="AI941">
        <v>8541.2893383563223</v>
      </c>
      <c r="AJ941">
        <v>42460.88819013851</v>
      </c>
      <c r="AK941">
        <v>9258.652846354069</v>
      </c>
      <c r="AL941">
        <v>1373.1896058996874</v>
      </c>
      <c r="AM941">
        <v>409.36088103975374</v>
      </c>
      <c r="AO941">
        <v>41040.415403497529</v>
      </c>
      <c r="AP941">
        <v>13.308403957159211</v>
      </c>
      <c r="AQ941">
        <v>46857.88425530227</v>
      </c>
      <c r="AR941">
        <v>13.464945593830334</v>
      </c>
      <c r="AS941" s="2">
        <f t="shared" si="99"/>
        <v>5817.4688518047406</v>
      </c>
      <c r="AT941" s="2">
        <f t="shared" si="100"/>
        <v>0.15654163667112364</v>
      </c>
      <c r="AV941">
        <f t="shared" si="101"/>
        <v>1289799.9803124235</v>
      </c>
      <c r="AW941">
        <f t="shared" si="102"/>
        <v>1299636.6751277312</v>
      </c>
      <c r="AY941">
        <f t="shared" si="103"/>
        <v>0</v>
      </c>
      <c r="AZ941">
        <f t="shared" si="104"/>
        <v>1</v>
      </c>
    </row>
    <row r="942" spans="1:52" x14ac:dyDescent="0.2">
      <c r="A942">
        <f t="shared" si="98"/>
        <v>938</v>
      </c>
      <c r="B942">
        <v>2.4439393927695601E-2</v>
      </c>
      <c r="C942">
        <v>3.6247376515727812E-2</v>
      </c>
      <c r="D942">
        <v>3.0973849920031021E-2</v>
      </c>
      <c r="E942">
        <v>1.1852461329171504E-2</v>
      </c>
      <c r="F942">
        <v>3.5768945634124805E-3</v>
      </c>
      <c r="G942">
        <v>3.047246555000019E-3</v>
      </c>
      <c r="H942">
        <v>2.9752117518314969E-2</v>
      </c>
      <c r="I942">
        <v>0.10780272541597384</v>
      </c>
      <c r="J942">
        <v>0</v>
      </c>
      <c r="K942">
        <v>0.4353419986884961</v>
      </c>
      <c r="L942">
        <v>0.19461152070928686</v>
      </c>
      <c r="M942">
        <v>0.80538847929071311</v>
      </c>
      <c r="N942">
        <v>7.2190555446418281E-2</v>
      </c>
      <c r="O942" s="72">
        <v>0.9999414022371963</v>
      </c>
      <c r="P942">
        <v>0.99816660381074807</v>
      </c>
      <c r="Q942">
        <v>0.99665968515442183</v>
      </c>
      <c r="R942">
        <v>0.49300110937390562</v>
      </c>
      <c r="S942">
        <v>0.31865286488283429</v>
      </c>
      <c r="T942">
        <v>0.35044785455443694</v>
      </c>
      <c r="U942">
        <v>0.79363689526271886</v>
      </c>
      <c r="V942">
        <v>0.66600285470060294</v>
      </c>
      <c r="W942">
        <v>0.63782379575949721</v>
      </c>
      <c r="X942">
        <v>0.45974840029499664</v>
      </c>
      <c r="Y942">
        <v>0.39798605550008304</v>
      </c>
      <c r="Z942">
        <v>0.39742594063845571</v>
      </c>
      <c r="AA942">
        <v>0.60954608276426714</v>
      </c>
      <c r="AB942">
        <v>0.80460013612583015</v>
      </c>
      <c r="AC942">
        <v>0.81177911054979401</v>
      </c>
      <c r="AD942">
        <v>0.56661287945979588</v>
      </c>
      <c r="AE942">
        <v>283.36617299550227</v>
      </c>
      <c r="AF942">
        <v>1132.2363466301927</v>
      </c>
      <c r="AG942">
        <v>1261.2677372553942</v>
      </c>
      <c r="AH942">
        <v>12710.547133902959</v>
      </c>
      <c r="AI942">
        <v>9786.053887354421</v>
      </c>
      <c r="AJ942">
        <v>45281.843606770024</v>
      </c>
      <c r="AK942">
        <v>12367.631586285803</v>
      </c>
      <c r="AL942">
        <v>1363.2859625416229</v>
      </c>
      <c r="AM942">
        <v>341.96244268960771</v>
      </c>
      <c r="AO942">
        <v>41829.981601834857</v>
      </c>
      <c r="AP942">
        <v>13.31176701900649</v>
      </c>
      <c r="AQ942">
        <v>45879.459698661842</v>
      </c>
      <c r="AR942">
        <v>13.41383442499826</v>
      </c>
      <c r="AS942" s="2">
        <f t="shared" si="99"/>
        <v>4049.4780968269843</v>
      </c>
      <c r="AT942" s="2">
        <f t="shared" si="100"/>
        <v>0.10206740599176989</v>
      </c>
      <c r="AV942">
        <f t="shared" si="101"/>
        <v>1289346.7202988144</v>
      </c>
      <c r="AW942">
        <f t="shared" si="102"/>
        <v>1295503.982801164</v>
      </c>
      <c r="AY942">
        <f t="shared" si="103"/>
        <v>0</v>
      </c>
      <c r="AZ942">
        <f t="shared" si="104"/>
        <v>1</v>
      </c>
    </row>
    <row r="943" spans="1:52" x14ac:dyDescent="0.2">
      <c r="A943">
        <f t="shared" si="98"/>
        <v>939</v>
      </c>
      <c r="B943">
        <v>1.5522485377314295E-2</v>
      </c>
      <c r="C943">
        <v>4.110013456212791E-2</v>
      </c>
      <c r="D943">
        <v>4.3126343733915329E-2</v>
      </c>
      <c r="E943">
        <v>2.4847579841301977E-3</v>
      </c>
      <c r="F943">
        <v>3.3835150336900544E-3</v>
      </c>
      <c r="G943">
        <v>4.1761674883886071E-3</v>
      </c>
      <c r="H943">
        <v>2.0176791018184169E-2</v>
      </c>
      <c r="I943">
        <v>0.13200633658531169</v>
      </c>
      <c r="J943">
        <v>0</v>
      </c>
      <c r="K943">
        <v>0.36024645728822091</v>
      </c>
      <c r="L943">
        <v>0.20019041579616717</v>
      </c>
      <c r="M943">
        <v>0.79980958420383286</v>
      </c>
      <c r="N943">
        <v>5.2974382583159951E-2</v>
      </c>
      <c r="O943" s="72">
        <v>0.99994748100780317</v>
      </c>
      <c r="P943">
        <v>0.99946610013886783</v>
      </c>
      <c r="Q943">
        <v>0.93488120329321467</v>
      </c>
      <c r="R943">
        <v>0.46730723867226553</v>
      </c>
      <c r="S943">
        <v>0.40028465762765109</v>
      </c>
      <c r="T943">
        <v>0.23842694614334625</v>
      </c>
      <c r="U943">
        <v>0.78569191806947469</v>
      </c>
      <c r="V943">
        <v>0.64104970958073837</v>
      </c>
      <c r="W943">
        <v>0.57652541559433312</v>
      </c>
      <c r="X943">
        <v>0.46587541240074959</v>
      </c>
      <c r="Y943">
        <v>0.43437287219872411</v>
      </c>
      <c r="Z943">
        <v>0.42893074750227789</v>
      </c>
      <c r="AA943">
        <v>0.64817463370146289</v>
      </c>
      <c r="AB943">
        <v>0.83166773401370597</v>
      </c>
      <c r="AC943">
        <v>0.76592405244656225</v>
      </c>
      <c r="AD943">
        <v>0.70415015903235501</v>
      </c>
      <c r="AE943">
        <v>202.71059789201803</v>
      </c>
      <c r="AF943">
        <v>1126.8694621088841</v>
      </c>
      <c r="AG943">
        <v>1828.821533744099</v>
      </c>
      <c r="AH943">
        <v>13207.829992119503</v>
      </c>
      <c r="AI943">
        <v>9946.7610179863059</v>
      </c>
      <c r="AJ943">
        <v>33363.777963904577</v>
      </c>
      <c r="AK943">
        <v>19194.221363086337</v>
      </c>
      <c r="AL943">
        <v>2375.6787217588453</v>
      </c>
      <c r="AM943">
        <v>447.45107251414345</v>
      </c>
      <c r="AO943">
        <v>45184.562162848633</v>
      </c>
      <c r="AP943">
        <v>13.706077102115863</v>
      </c>
      <c r="AQ943">
        <v>47656.56440218338</v>
      </c>
      <c r="AR943">
        <v>13.891379908828808</v>
      </c>
      <c r="AS943" s="2">
        <f t="shared" si="99"/>
        <v>2472.0022393347463</v>
      </c>
      <c r="AT943" s="2">
        <f t="shared" si="100"/>
        <v>0.18530280671294541</v>
      </c>
      <c r="AV943">
        <f t="shared" si="101"/>
        <v>1325423.1480487376</v>
      </c>
      <c r="AW943">
        <f t="shared" si="102"/>
        <v>1341481.4264806975</v>
      </c>
      <c r="AY943">
        <f t="shared" si="103"/>
        <v>0</v>
      </c>
      <c r="AZ943">
        <f t="shared" si="104"/>
        <v>1</v>
      </c>
    </row>
    <row r="944" spans="1:52" x14ac:dyDescent="0.2">
      <c r="A944">
        <f t="shared" si="98"/>
        <v>940</v>
      </c>
      <c r="B944">
        <v>2.0227653550504189E-2</v>
      </c>
      <c r="C944">
        <v>3.8183347031337966E-2</v>
      </c>
      <c r="D944">
        <v>3.2008320822454965E-2</v>
      </c>
      <c r="E944">
        <v>1.0381223205264401E-2</v>
      </c>
      <c r="F944">
        <v>3.3462622798118291E-3</v>
      </c>
      <c r="G944">
        <v>3.1315140014873344E-2</v>
      </c>
      <c r="H944">
        <v>7.9569652069733099E-2</v>
      </c>
      <c r="I944">
        <v>0.14034449917654901</v>
      </c>
      <c r="J944">
        <v>0</v>
      </c>
      <c r="K944">
        <v>0.42729566754107218</v>
      </c>
      <c r="L944">
        <v>0.15533016086113924</v>
      </c>
      <c r="M944">
        <v>0.84466983913886073</v>
      </c>
      <c r="N944">
        <v>6.0477139147998349E-2</v>
      </c>
      <c r="O944" s="72">
        <v>0.99993742379982453</v>
      </c>
      <c r="P944">
        <v>0.99997743635871827</v>
      </c>
      <c r="Q944">
        <v>0.98739979776771902</v>
      </c>
      <c r="R944">
        <v>0.4935712316649794</v>
      </c>
      <c r="S944">
        <v>0.38795560067104129</v>
      </c>
      <c r="T944">
        <v>0.22348880392767867</v>
      </c>
      <c r="U944">
        <v>0.7963935466904829</v>
      </c>
      <c r="V944">
        <v>0.57462870891792239</v>
      </c>
      <c r="W944">
        <v>0.46459708687118462</v>
      </c>
      <c r="X944">
        <v>0.46287264269839645</v>
      </c>
      <c r="Y944">
        <v>0.42132115726742975</v>
      </c>
      <c r="Z944">
        <v>0.53049739681119734</v>
      </c>
      <c r="AA944">
        <v>0.77116583251071591</v>
      </c>
      <c r="AB944">
        <v>0.90056164784467085</v>
      </c>
      <c r="AC944">
        <v>0.74100800393702349</v>
      </c>
      <c r="AD944">
        <v>0.66175260262663915</v>
      </c>
      <c r="AE944">
        <v>255.84755000411403</v>
      </c>
      <c r="AF944">
        <v>883.39304186323488</v>
      </c>
      <c r="AG944">
        <v>1747.5064449947974</v>
      </c>
      <c r="AH944">
        <v>13151.355832511983</v>
      </c>
      <c r="AI944">
        <v>9269.5377062095758</v>
      </c>
      <c r="AJ944">
        <v>36231.385889444507</v>
      </c>
      <c r="AK944">
        <v>18010.417734294428</v>
      </c>
      <c r="AL944">
        <v>1916.6728489162158</v>
      </c>
      <c r="AM944">
        <v>299.91327565468902</v>
      </c>
      <c r="AO944">
        <v>41940.608428202533</v>
      </c>
      <c r="AP944">
        <v>14.470550621440744</v>
      </c>
      <c r="AQ944">
        <v>45110.31998867503</v>
      </c>
      <c r="AR944">
        <v>14.74779164310528</v>
      </c>
      <c r="AS944" s="2">
        <f t="shared" si="99"/>
        <v>3169.7115604724968</v>
      </c>
      <c r="AT944" s="2">
        <f t="shared" si="100"/>
        <v>0.2772410216645369</v>
      </c>
      <c r="AV944">
        <f t="shared" si="101"/>
        <v>1405114.4537158718</v>
      </c>
      <c r="AW944">
        <f t="shared" si="102"/>
        <v>1429668.844321853</v>
      </c>
      <c r="AY944">
        <f t="shared" si="103"/>
        <v>0</v>
      </c>
      <c r="AZ944">
        <f t="shared" si="104"/>
        <v>1</v>
      </c>
    </row>
    <row r="945" spans="1:52" x14ac:dyDescent="0.2">
      <c r="A945">
        <f t="shared" si="98"/>
        <v>941</v>
      </c>
      <c r="B945">
        <v>1.8768396406679006E-2</v>
      </c>
      <c r="C945">
        <v>3.3252166749451563E-2</v>
      </c>
      <c r="D945">
        <v>3.9249849275791449E-2</v>
      </c>
      <c r="E945">
        <v>4.9999304910030462E-2</v>
      </c>
      <c r="F945">
        <v>3.41315867343428E-3</v>
      </c>
      <c r="G945">
        <v>1.3555432179007898E-2</v>
      </c>
      <c r="H945">
        <v>3.2790477915746852E-2</v>
      </c>
      <c r="I945">
        <v>0.13228288950632483</v>
      </c>
      <c r="J945">
        <v>0</v>
      </c>
      <c r="K945">
        <v>0.48912362034475121</v>
      </c>
      <c r="L945">
        <v>0.23078314027088764</v>
      </c>
      <c r="M945">
        <v>0.76921685972911236</v>
      </c>
      <c r="N945">
        <v>5.1535468434458831E-2</v>
      </c>
      <c r="O945" s="72">
        <v>0.99999715420959712</v>
      </c>
      <c r="P945">
        <v>0.99960082428963148</v>
      </c>
      <c r="Q945">
        <v>0.99772883219673014</v>
      </c>
      <c r="R945">
        <v>0.47436649027956646</v>
      </c>
      <c r="S945">
        <v>0.37904312714172927</v>
      </c>
      <c r="T945">
        <v>0.25033310655986829</v>
      </c>
      <c r="U945">
        <v>0.76699445067539729</v>
      </c>
      <c r="V945">
        <v>0.72676642627714005</v>
      </c>
      <c r="W945">
        <v>0.60392897112293253</v>
      </c>
      <c r="X945">
        <v>0.45708576439115289</v>
      </c>
      <c r="Y945">
        <v>0.44822632642717042</v>
      </c>
      <c r="Z945">
        <v>0.39406035188521443</v>
      </c>
      <c r="AA945">
        <v>0.69114473969981094</v>
      </c>
      <c r="AB945">
        <v>0.82522868253101134</v>
      </c>
      <c r="AC945">
        <v>0.64724075192417807</v>
      </c>
      <c r="AD945">
        <v>0.57624035384840877</v>
      </c>
      <c r="AE945">
        <v>198.4658740184309</v>
      </c>
      <c r="AF945">
        <v>1054.4136010277919</v>
      </c>
      <c r="AG945">
        <v>1867.2839093663952</v>
      </c>
      <c r="AH945">
        <v>14987.657670521125</v>
      </c>
      <c r="AI945">
        <v>11930.964057513502</v>
      </c>
      <c r="AJ945">
        <v>47482.927987550618</v>
      </c>
      <c r="AK945">
        <v>10058.77847999581</v>
      </c>
      <c r="AL945">
        <v>1729.8510380452012</v>
      </c>
      <c r="AM945">
        <v>417.2270385559508</v>
      </c>
      <c r="AO945">
        <v>44020.931571947069</v>
      </c>
      <c r="AP945">
        <v>13.207522117452895</v>
      </c>
      <c r="AQ945">
        <v>46971.321555585899</v>
      </c>
      <c r="AR945">
        <v>13.414934726430282</v>
      </c>
      <c r="AS945" s="2">
        <f t="shared" si="99"/>
        <v>2950.38998363883</v>
      </c>
      <c r="AT945" s="2">
        <f t="shared" si="100"/>
        <v>0.20741260897738734</v>
      </c>
      <c r="AV945">
        <f t="shared" si="101"/>
        <v>1276731.2801733422</v>
      </c>
      <c r="AW945">
        <f t="shared" si="102"/>
        <v>1294522.1510874424</v>
      </c>
      <c r="AY945">
        <f t="shared" si="103"/>
        <v>0</v>
      </c>
      <c r="AZ945">
        <f t="shared" si="104"/>
        <v>1</v>
      </c>
    </row>
    <row r="946" spans="1:52" x14ac:dyDescent="0.2">
      <c r="A946">
        <f t="shared" si="98"/>
        <v>942</v>
      </c>
      <c r="B946">
        <v>2.0289722100548652E-2</v>
      </c>
      <c r="C946">
        <v>4.1440482189965322E-2</v>
      </c>
      <c r="D946">
        <v>5.6969855788521651E-2</v>
      </c>
      <c r="E946">
        <v>2.0110443291456614E-2</v>
      </c>
      <c r="F946">
        <v>3.2007264179253724E-3</v>
      </c>
      <c r="G946">
        <v>1.0432806160360443E-2</v>
      </c>
      <c r="H946">
        <v>1.5833495103266797E-2</v>
      </c>
      <c r="I946">
        <v>0.12146752321715666</v>
      </c>
      <c r="J946">
        <v>0</v>
      </c>
      <c r="K946">
        <v>0.48197477263679522</v>
      </c>
      <c r="L946">
        <v>0.3219963690086548</v>
      </c>
      <c r="M946">
        <v>0.6780036309913452</v>
      </c>
      <c r="N946">
        <v>5.5200248098932966E-2</v>
      </c>
      <c r="O946" s="72">
        <v>0.99886872195832754</v>
      </c>
      <c r="P946">
        <v>0.9969270225188186</v>
      </c>
      <c r="Q946">
        <v>0.93945663300358284</v>
      </c>
      <c r="R946">
        <v>0.52307436904825944</v>
      </c>
      <c r="S946">
        <v>0.35022280414816997</v>
      </c>
      <c r="T946">
        <v>0.16145124788537457</v>
      </c>
      <c r="U946">
        <v>0.78236999178244404</v>
      </c>
      <c r="V946">
        <v>0.63351159644888799</v>
      </c>
      <c r="W946">
        <v>0.52472437300329844</v>
      </c>
      <c r="X946">
        <v>0.44836746678349149</v>
      </c>
      <c r="Y946">
        <v>0.44776383733084857</v>
      </c>
      <c r="Z946">
        <v>0.45588090889486921</v>
      </c>
      <c r="AA946">
        <v>0.59866291359732648</v>
      </c>
      <c r="AB946">
        <v>0.87522506067036032</v>
      </c>
      <c r="AC946">
        <v>0.70517182119233268</v>
      </c>
      <c r="AD946">
        <v>0.61355737417526401</v>
      </c>
      <c r="AE946">
        <v>284.12743309190483</v>
      </c>
      <c r="AF946">
        <v>936.10540344078106</v>
      </c>
      <c r="AG946">
        <v>1210.3074592233295</v>
      </c>
      <c r="AH946">
        <v>13426.536444322339</v>
      </c>
      <c r="AI946">
        <v>8169.9893690521139</v>
      </c>
      <c r="AJ946">
        <v>41879.939842274296</v>
      </c>
      <c r="AK946">
        <v>11104.893858506852</v>
      </c>
      <c r="AL946">
        <v>2349.7674249746728</v>
      </c>
      <c r="AM946">
        <v>316.05528659049503</v>
      </c>
      <c r="AO946">
        <v>42666.829116710302</v>
      </c>
      <c r="AP946">
        <v>13.949642100810108</v>
      </c>
      <c r="AQ946">
        <v>45648.473331180823</v>
      </c>
      <c r="AR946">
        <v>14.26117290721116</v>
      </c>
      <c r="AS946" s="2">
        <f t="shared" si="99"/>
        <v>2981.6442144705215</v>
      </c>
      <c r="AT946" s="2">
        <f t="shared" si="100"/>
        <v>0.31153080640105202</v>
      </c>
      <c r="AV946">
        <f t="shared" si="101"/>
        <v>1352297.3809643006</v>
      </c>
      <c r="AW946">
        <f t="shared" si="102"/>
        <v>1380468.817389935</v>
      </c>
      <c r="AY946">
        <f t="shared" si="103"/>
        <v>0</v>
      </c>
      <c r="AZ946">
        <f t="shared" si="104"/>
        <v>1</v>
      </c>
    </row>
    <row r="947" spans="1:52" x14ac:dyDescent="0.2">
      <c r="A947">
        <f t="shared" si="98"/>
        <v>943</v>
      </c>
      <c r="B947">
        <v>2.4851915766898713E-2</v>
      </c>
      <c r="C947">
        <v>4.6771647060049437E-2</v>
      </c>
      <c r="D947">
        <v>3.1035921042316488E-2</v>
      </c>
      <c r="E947">
        <v>1.1341773653064843E-2</v>
      </c>
      <c r="F947">
        <v>3.3613780595234122E-3</v>
      </c>
      <c r="G947">
        <v>1.9958675848616103E-2</v>
      </c>
      <c r="H947">
        <v>1.201570801342171E-2</v>
      </c>
      <c r="I947">
        <v>0.11370139374056781</v>
      </c>
      <c r="J947">
        <v>0</v>
      </c>
      <c r="K947">
        <v>0.47209346195739166</v>
      </c>
      <c r="L947">
        <v>0.17715603198623547</v>
      </c>
      <c r="M947">
        <v>0.82284396801376447</v>
      </c>
      <c r="N947">
        <v>5.2797912079601689E-2</v>
      </c>
      <c r="O947" s="72">
        <v>0.97508718797644856</v>
      </c>
      <c r="P947">
        <v>0.99511406923122481</v>
      </c>
      <c r="Q947">
        <v>0.93399926777472353</v>
      </c>
      <c r="R947">
        <v>0.4181936560994941</v>
      </c>
      <c r="S947">
        <v>0.52027357236036798</v>
      </c>
      <c r="T947">
        <v>0.18248223500667693</v>
      </c>
      <c r="U947">
        <v>0.75914401234149831</v>
      </c>
      <c r="V947">
        <v>0.68124168160022913</v>
      </c>
      <c r="W947">
        <v>0.53499643468726288</v>
      </c>
      <c r="X947">
        <v>0.43231803203755875</v>
      </c>
      <c r="Y947">
        <v>0.50107704400331643</v>
      </c>
      <c r="Z947">
        <v>0.43834434855409299</v>
      </c>
      <c r="AA947">
        <v>0.69564414537116637</v>
      </c>
      <c r="AB947">
        <v>0.80698327681626447</v>
      </c>
      <c r="AC947">
        <v>0.78100555845758701</v>
      </c>
      <c r="AD947">
        <v>0.66184421354451484</v>
      </c>
      <c r="AE947">
        <v>239.0494102992688</v>
      </c>
      <c r="AF947">
        <v>1066.1377740216687</v>
      </c>
      <c r="AG947">
        <v>1414.2238867493004</v>
      </c>
      <c r="AH947">
        <v>15813.085697593411</v>
      </c>
      <c r="AI947">
        <v>13084.667412167908</v>
      </c>
      <c r="AJ947">
        <v>42670.472777685733</v>
      </c>
      <c r="AK947">
        <v>12508.052761272074</v>
      </c>
      <c r="AL947">
        <v>2370.0278412144717</v>
      </c>
      <c r="AM947">
        <v>364.05692047516834</v>
      </c>
      <c r="AO947">
        <v>47061.656300690534</v>
      </c>
      <c r="AP947">
        <v>13.312365664471985</v>
      </c>
      <c r="AQ947">
        <v>46648.685666556521</v>
      </c>
      <c r="AR947">
        <v>13.517534050045962</v>
      </c>
      <c r="AS947" s="2">
        <f t="shared" si="99"/>
        <v>-412.97063413401338</v>
      </c>
      <c r="AT947" s="2">
        <f t="shared" si="100"/>
        <v>0.20516838557397676</v>
      </c>
      <c r="AV947">
        <f t="shared" si="101"/>
        <v>1284174.9101465079</v>
      </c>
      <c r="AW947">
        <f t="shared" si="102"/>
        <v>1305104.7193380396</v>
      </c>
      <c r="AY947">
        <f t="shared" si="103"/>
        <v>0</v>
      </c>
      <c r="AZ947">
        <f t="shared" si="104"/>
        <v>1</v>
      </c>
    </row>
    <row r="948" spans="1:52" x14ac:dyDescent="0.2">
      <c r="A948">
        <f t="shared" si="98"/>
        <v>944</v>
      </c>
      <c r="B948">
        <v>2.4018276479163905E-2</v>
      </c>
      <c r="C948">
        <v>2.5391726211348629E-2</v>
      </c>
      <c r="D948">
        <v>6.4852477109428208E-2</v>
      </c>
      <c r="E948">
        <v>3.6509740605715102E-2</v>
      </c>
      <c r="F948">
        <v>3.3515791899960679E-3</v>
      </c>
      <c r="G948">
        <v>1.2213535711485535E-2</v>
      </c>
      <c r="H948">
        <v>1.9599554920954408E-2</v>
      </c>
      <c r="I948">
        <v>0.1228909495647371</v>
      </c>
      <c r="J948">
        <v>0</v>
      </c>
      <c r="K948">
        <v>0.41824411411612866</v>
      </c>
      <c r="L948">
        <v>0.2514003844961733</v>
      </c>
      <c r="M948">
        <v>0.7485996155038267</v>
      </c>
      <c r="N948">
        <v>4.6024297031247427E-2</v>
      </c>
      <c r="O948" s="72">
        <v>0.99860817574449057</v>
      </c>
      <c r="P948">
        <v>0.99998770051412633</v>
      </c>
      <c r="Q948">
        <v>0.9976096448695202</v>
      </c>
      <c r="R948">
        <v>0.45216000655499111</v>
      </c>
      <c r="S948">
        <v>0.46586612460388921</v>
      </c>
      <c r="T948">
        <v>0.13397321819648911</v>
      </c>
      <c r="U948">
        <v>0.77248984530326648</v>
      </c>
      <c r="V948">
        <v>0.65475420827158637</v>
      </c>
      <c r="W948">
        <v>0.57596280954305834</v>
      </c>
      <c r="X948">
        <v>0.42882656187382123</v>
      </c>
      <c r="Y948">
        <v>0.47871915316478708</v>
      </c>
      <c r="Z948">
        <v>0.49498701504070186</v>
      </c>
      <c r="AA948">
        <v>0.67312635724148573</v>
      </c>
      <c r="AB948">
        <v>0.79990213698995527</v>
      </c>
      <c r="AC948">
        <v>0.69410582166774681</v>
      </c>
      <c r="AD948">
        <v>0.55026069841261371</v>
      </c>
      <c r="AE948">
        <v>202.05206909058461</v>
      </c>
      <c r="AF948">
        <v>1281.5684876176831</v>
      </c>
      <c r="AG948">
        <v>1963.6316975148434</v>
      </c>
      <c r="AH948">
        <v>10368.485077959691</v>
      </c>
      <c r="AI948">
        <v>12598.682385715951</v>
      </c>
      <c r="AJ948">
        <v>41129.232537814562</v>
      </c>
      <c r="AK948">
        <v>8718.0671613289069</v>
      </c>
      <c r="AL948">
        <v>1459.5321672341738</v>
      </c>
      <c r="AM948">
        <v>350.60375988674917</v>
      </c>
      <c r="AO948">
        <v>45695.487708236949</v>
      </c>
      <c r="AP948">
        <v>12.854126017403193</v>
      </c>
      <c r="AQ948">
        <v>45864.526583260231</v>
      </c>
      <c r="AR948">
        <v>13.112767790113653</v>
      </c>
      <c r="AS948" s="2">
        <f t="shared" si="99"/>
        <v>169.03887502328143</v>
      </c>
      <c r="AT948" s="2">
        <f t="shared" si="100"/>
        <v>0.25864177271045996</v>
      </c>
      <c r="AV948">
        <f t="shared" si="101"/>
        <v>1239717.1140320823</v>
      </c>
      <c r="AW948">
        <f t="shared" si="102"/>
        <v>1265412.2524281051</v>
      </c>
      <c r="AY948">
        <f t="shared" si="103"/>
        <v>0</v>
      </c>
      <c r="AZ948">
        <f t="shared" si="104"/>
        <v>1</v>
      </c>
    </row>
    <row r="949" spans="1:52" x14ac:dyDescent="0.2">
      <c r="A949">
        <f t="shared" si="98"/>
        <v>945</v>
      </c>
      <c r="B949">
        <v>2.6226503865183548E-2</v>
      </c>
      <c r="C949">
        <v>3.9827653379508998E-2</v>
      </c>
      <c r="D949">
        <v>2.8655272677599576E-2</v>
      </c>
      <c r="E949">
        <v>2.4563749323858852E-2</v>
      </c>
      <c r="F949">
        <v>3.3321405962876789E-3</v>
      </c>
      <c r="G949">
        <v>2.1535267318766871E-2</v>
      </c>
      <c r="H949">
        <v>4.0804018307189382E-2</v>
      </c>
      <c r="I949">
        <v>0.12747246833636783</v>
      </c>
      <c r="J949">
        <v>0</v>
      </c>
      <c r="K949">
        <v>0.43049569232300644</v>
      </c>
      <c r="L949">
        <v>0.23493172593674805</v>
      </c>
      <c r="M949">
        <v>0.76506827406325195</v>
      </c>
      <c r="N949">
        <v>4.1212789460149182E-2</v>
      </c>
      <c r="O949" s="72">
        <v>0.9961482287626231</v>
      </c>
      <c r="P949">
        <v>0.99985088655321519</v>
      </c>
      <c r="Q949">
        <v>0.97507942123731606</v>
      </c>
      <c r="R949">
        <v>0.42891850264148568</v>
      </c>
      <c r="S949">
        <v>0.4663804259906682</v>
      </c>
      <c r="T949">
        <v>0.2617322782476027</v>
      </c>
      <c r="U949">
        <v>0.77135179541550924</v>
      </c>
      <c r="V949">
        <v>0.63439604190241961</v>
      </c>
      <c r="W949">
        <v>0.42270263637685701</v>
      </c>
      <c r="X949">
        <v>0.45264140407961495</v>
      </c>
      <c r="Y949">
        <v>0.49495891569005346</v>
      </c>
      <c r="Z949">
        <v>0.43368215201344718</v>
      </c>
      <c r="AA949">
        <v>0.69699158547372431</v>
      </c>
      <c r="AB949">
        <v>0.76644214916085585</v>
      </c>
      <c r="AC949">
        <v>0.66533244266807934</v>
      </c>
      <c r="AD949">
        <v>0.59403442746486523</v>
      </c>
      <c r="AE949">
        <v>294.18261388700131</v>
      </c>
      <c r="AF949">
        <v>1015.9712503712487</v>
      </c>
      <c r="AG949">
        <v>1726.4244427368246</v>
      </c>
      <c r="AH949">
        <v>17625.690222819339</v>
      </c>
      <c r="AI949">
        <v>14912.747629243044</v>
      </c>
      <c r="AJ949">
        <v>44225.965246960535</v>
      </c>
      <c r="AK949">
        <v>15964.625301702574</v>
      </c>
      <c r="AL949">
        <v>2255.3484579162077</v>
      </c>
      <c r="AM949">
        <v>305.52959148387265</v>
      </c>
      <c r="AO949">
        <v>44355.608153680296</v>
      </c>
      <c r="AP949">
        <v>12.500641671506033</v>
      </c>
      <c r="AQ949">
        <v>45416.129433799935</v>
      </c>
      <c r="AR949">
        <v>12.656608816659444</v>
      </c>
      <c r="AS949" s="2">
        <f t="shared" si="99"/>
        <v>1060.5212801196394</v>
      </c>
      <c r="AT949" s="2">
        <f t="shared" si="100"/>
        <v>0.15596714515341148</v>
      </c>
      <c r="AV949">
        <f t="shared" si="101"/>
        <v>1205708.558996923</v>
      </c>
      <c r="AW949">
        <f t="shared" si="102"/>
        <v>1220244.7522321444</v>
      </c>
      <c r="AY949">
        <f t="shared" si="103"/>
        <v>0</v>
      </c>
      <c r="AZ949">
        <f t="shared" si="104"/>
        <v>1</v>
      </c>
    </row>
    <row r="950" spans="1:52" x14ac:dyDescent="0.2">
      <c r="A950">
        <f t="shared" si="98"/>
        <v>946</v>
      </c>
      <c r="B950">
        <v>2.4037716543321423E-2</v>
      </c>
      <c r="C950">
        <v>3.4674069848798082E-2</v>
      </c>
      <c r="D950">
        <v>3.3607494117913972E-2</v>
      </c>
      <c r="E950">
        <v>9.3403846742013286E-3</v>
      </c>
      <c r="F950">
        <v>3.2245674805287208E-3</v>
      </c>
      <c r="G950">
        <v>7.4831223845183684E-4</v>
      </c>
      <c r="H950">
        <v>3.5430400718839294E-2</v>
      </c>
      <c r="I950">
        <v>0.1503801868162723</v>
      </c>
      <c r="J950">
        <v>0</v>
      </c>
      <c r="K950">
        <v>0.44872091045652174</v>
      </c>
      <c r="L950">
        <v>0.19405568415993618</v>
      </c>
      <c r="M950">
        <v>0.80594431584006387</v>
      </c>
      <c r="N950">
        <v>6.6401941003349285E-2</v>
      </c>
      <c r="O950" s="72">
        <v>0.99987400641316893</v>
      </c>
      <c r="P950">
        <v>0.99916856757187655</v>
      </c>
      <c r="Q950">
        <v>0.96451051890612682</v>
      </c>
      <c r="R950">
        <v>0.48679138430350288</v>
      </c>
      <c r="S950">
        <v>0.46010265947083751</v>
      </c>
      <c r="T950">
        <v>0.21576648006210852</v>
      </c>
      <c r="U950">
        <v>0.7680371479195377</v>
      </c>
      <c r="V950">
        <v>0.70238804483741446</v>
      </c>
      <c r="W950">
        <v>0.4796958960228116</v>
      </c>
      <c r="X950">
        <v>0.4683375312674517</v>
      </c>
      <c r="Y950">
        <v>0.48371650818265699</v>
      </c>
      <c r="Z950">
        <v>0.4640737655126147</v>
      </c>
      <c r="AA950">
        <v>0.61996645074207379</v>
      </c>
      <c r="AB950">
        <v>0.80791670234832158</v>
      </c>
      <c r="AC950">
        <v>0.74189431243827708</v>
      </c>
      <c r="AD950">
        <v>0.63043976228365906</v>
      </c>
      <c r="AE950">
        <v>153.91244799288228</v>
      </c>
      <c r="AF950">
        <v>996.47516208002821</v>
      </c>
      <c r="AG950">
        <v>1592.3865296276322</v>
      </c>
      <c r="AH950">
        <v>16226.998839648146</v>
      </c>
      <c r="AI950">
        <v>16008.770723574107</v>
      </c>
      <c r="AJ950">
        <v>36527.060795721794</v>
      </c>
      <c r="AK950">
        <v>11442.206027462622</v>
      </c>
      <c r="AL950">
        <v>2314.5417124473229</v>
      </c>
      <c r="AM950">
        <v>335.42531316407837</v>
      </c>
      <c r="AO950">
        <v>42248.085424795303</v>
      </c>
      <c r="AP950">
        <v>13.244930389462164</v>
      </c>
      <c r="AQ950">
        <v>45741.831913377922</v>
      </c>
      <c r="AR950">
        <v>13.419642292253167</v>
      </c>
      <c r="AS950" s="2">
        <f t="shared" si="99"/>
        <v>3493.7464885826193</v>
      </c>
      <c r="AT950" s="2">
        <f t="shared" si="100"/>
        <v>0.17471190279100313</v>
      </c>
      <c r="AV950">
        <f t="shared" si="101"/>
        <v>1282244.9535214212</v>
      </c>
      <c r="AW950">
        <f t="shared" si="102"/>
        <v>1296222.3973119389</v>
      </c>
      <c r="AY950">
        <f t="shared" si="103"/>
        <v>0</v>
      </c>
      <c r="AZ950">
        <f t="shared" si="104"/>
        <v>1</v>
      </c>
    </row>
    <row r="951" spans="1:52" x14ac:dyDescent="0.2">
      <c r="A951">
        <f t="shared" si="98"/>
        <v>947</v>
      </c>
      <c r="B951">
        <v>2.9129816395986996E-2</v>
      </c>
      <c r="C951">
        <v>3.7800017910094907E-2</v>
      </c>
      <c r="D951">
        <v>4.8473837178625412E-2</v>
      </c>
      <c r="E951">
        <v>1.6951380558907758E-3</v>
      </c>
      <c r="F951">
        <v>3.2780250530143485E-3</v>
      </c>
      <c r="G951">
        <v>1.2447925674003657E-2</v>
      </c>
      <c r="H951">
        <v>1.9364867955746413E-2</v>
      </c>
      <c r="I951">
        <v>0.12205130181113395</v>
      </c>
      <c r="J951">
        <v>0</v>
      </c>
      <c r="K951">
        <v>0.41918004084315391</v>
      </c>
      <c r="L951">
        <v>0.19030843703061245</v>
      </c>
      <c r="M951">
        <v>0.80969156296938749</v>
      </c>
      <c r="N951">
        <v>7.586014204222169E-2</v>
      </c>
      <c r="O951" s="72">
        <v>0.99985361433908337</v>
      </c>
      <c r="P951">
        <v>0.99355847504886119</v>
      </c>
      <c r="Q951">
        <v>0.91711655935648539</v>
      </c>
      <c r="R951">
        <v>0.48103240334074904</v>
      </c>
      <c r="S951">
        <v>0.45608200064754767</v>
      </c>
      <c r="T951">
        <v>0.22019034314660324</v>
      </c>
      <c r="U951">
        <v>0.77148496834941627</v>
      </c>
      <c r="V951">
        <v>0.69955741277061834</v>
      </c>
      <c r="W951">
        <v>0.57218961610820807</v>
      </c>
      <c r="X951">
        <v>0.43582952690035293</v>
      </c>
      <c r="Y951">
        <v>0.44370283262977056</v>
      </c>
      <c r="Z951">
        <v>0.48125997469782056</v>
      </c>
      <c r="AA951">
        <v>0.6640110551878633</v>
      </c>
      <c r="AB951">
        <v>0.81074367525584323</v>
      </c>
      <c r="AC951">
        <v>0.71030467013267951</v>
      </c>
      <c r="AD951">
        <v>0.60868247970247769</v>
      </c>
      <c r="AE951">
        <v>198.38456204310614</v>
      </c>
      <c r="AF951">
        <v>1173.5667070043983</v>
      </c>
      <c r="AG951">
        <v>1044.9078691802708</v>
      </c>
      <c r="AH951">
        <v>14470.42591133498</v>
      </c>
      <c r="AI951">
        <v>11314.431759926665</v>
      </c>
      <c r="AJ951">
        <v>42163.142320613602</v>
      </c>
      <c r="AK951">
        <v>13370.925884105613</v>
      </c>
      <c r="AL951">
        <v>1281.2771158539151</v>
      </c>
      <c r="AM951">
        <v>258.19404817305156</v>
      </c>
      <c r="AO951">
        <v>41442.077081017662</v>
      </c>
      <c r="AP951">
        <v>13.205602898190797</v>
      </c>
      <c r="AQ951">
        <v>44900.436212895678</v>
      </c>
      <c r="AR951">
        <v>13.369659244326193</v>
      </c>
      <c r="AS951" s="2">
        <f t="shared" si="99"/>
        <v>3458.3591318780163</v>
      </c>
      <c r="AT951" s="2">
        <f t="shared" si="100"/>
        <v>0.16405634613539632</v>
      </c>
      <c r="AV951">
        <f t="shared" si="101"/>
        <v>1279118.212738062</v>
      </c>
      <c r="AW951">
        <f t="shared" si="102"/>
        <v>1292065.4882197236</v>
      </c>
      <c r="AY951">
        <f t="shared" si="103"/>
        <v>0</v>
      </c>
      <c r="AZ951">
        <f t="shared" si="104"/>
        <v>1</v>
      </c>
    </row>
    <row r="952" spans="1:52" x14ac:dyDescent="0.2">
      <c r="A952">
        <f t="shared" si="98"/>
        <v>948</v>
      </c>
      <c r="B952">
        <v>2.4857686702568937E-2</v>
      </c>
      <c r="C952">
        <v>3.3519867683951987E-2</v>
      </c>
      <c r="D952">
        <v>3.7699357920099597E-2</v>
      </c>
      <c r="E952">
        <v>2.7764516137394835E-2</v>
      </c>
      <c r="F952">
        <v>3.433484236851414E-3</v>
      </c>
      <c r="G952">
        <v>2.8307167639268105E-2</v>
      </c>
      <c r="H952">
        <v>5.1560252384698968E-2</v>
      </c>
      <c r="I952">
        <v>0.12853369388835326</v>
      </c>
      <c r="J952">
        <v>0</v>
      </c>
      <c r="K952">
        <v>0.41086886874714362</v>
      </c>
      <c r="L952">
        <v>0.19922000821910993</v>
      </c>
      <c r="M952">
        <v>0.8007799917808901</v>
      </c>
      <c r="N952">
        <v>4.335283320158987E-2</v>
      </c>
      <c r="O952" s="72">
        <v>0.99243323016492846</v>
      </c>
      <c r="P952">
        <v>0.99607247645281216</v>
      </c>
      <c r="Q952">
        <v>0.95828208654522595</v>
      </c>
      <c r="R952">
        <v>0.53795949083290262</v>
      </c>
      <c r="S952">
        <v>0.48942131641346509</v>
      </c>
      <c r="T952">
        <v>0.37707268576968045</v>
      </c>
      <c r="U952">
        <v>0.7884016103847663</v>
      </c>
      <c r="V952">
        <v>0.6352569668091903</v>
      </c>
      <c r="W952">
        <v>0.53972394010470492</v>
      </c>
      <c r="X952">
        <v>0.43448015670377882</v>
      </c>
      <c r="Y952">
        <v>0.43401981217664692</v>
      </c>
      <c r="Z952">
        <v>0.40176106785454302</v>
      </c>
      <c r="AA952">
        <v>0.64695386574711178</v>
      </c>
      <c r="AB952">
        <v>0.78575550367664126</v>
      </c>
      <c r="AC952">
        <v>0.81158847331894401</v>
      </c>
      <c r="AD952">
        <v>0.56508279994459476</v>
      </c>
      <c r="AE952">
        <v>155.77102505011877</v>
      </c>
      <c r="AF952">
        <v>895.30598465517699</v>
      </c>
      <c r="AG952">
        <v>1680.6766486281774</v>
      </c>
      <c r="AH952">
        <v>12252.457220006705</v>
      </c>
      <c r="AI952">
        <v>13175.50026701694</v>
      </c>
      <c r="AJ952">
        <v>38832.850750577287</v>
      </c>
      <c r="AK952">
        <v>11011.973847394334</v>
      </c>
      <c r="AL952">
        <v>1787.2313060022302</v>
      </c>
      <c r="AM952">
        <v>330.23266003437232</v>
      </c>
      <c r="AO952">
        <v>37161.420438954257</v>
      </c>
      <c r="AP952">
        <v>13.062480671286934</v>
      </c>
      <c r="AQ952">
        <v>45758.728488591601</v>
      </c>
      <c r="AR952">
        <v>13.147720579083572</v>
      </c>
      <c r="AS952" s="2">
        <f t="shared" si="99"/>
        <v>8597.3080496373441</v>
      </c>
      <c r="AT952" s="2">
        <f t="shared" si="100"/>
        <v>8.5239907796637482E-2</v>
      </c>
      <c r="AV952">
        <f t="shared" si="101"/>
        <v>1269086.6466897391</v>
      </c>
      <c r="AW952">
        <f t="shared" si="102"/>
        <v>1269013.3294197656</v>
      </c>
      <c r="AY952">
        <f t="shared" si="103"/>
        <v>1</v>
      </c>
      <c r="AZ952">
        <f t="shared" si="104"/>
        <v>0</v>
      </c>
    </row>
    <row r="953" spans="1:52" x14ac:dyDescent="0.2">
      <c r="A953">
        <f t="shared" si="98"/>
        <v>949</v>
      </c>
      <c r="B953">
        <v>2.4511407908130192E-2</v>
      </c>
      <c r="C953">
        <v>3.5965073132162961E-2</v>
      </c>
      <c r="D953">
        <v>2.8587944781013872E-2</v>
      </c>
      <c r="E953">
        <v>2.230213142178894E-2</v>
      </c>
      <c r="F953">
        <v>3.3728475497735166E-3</v>
      </c>
      <c r="G953">
        <v>2.0213355912676478E-2</v>
      </c>
      <c r="H953">
        <v>7.0231160962981543E-2</v>
      </c>
      <c r="I953">
        <v>0.12720941622521093</v>
      </c>
      <c r="J953">
        <v>0</v>
      </c>
      <c r="K953">
        <v>0.38453257852617778</v>
      </c>
      <c r="L953">
        <v>0.14215710926054295</v>
      </c>
      <c r="M953">
        <v>0.85784289073945708</v>
      </c>
      <c r="N953">
        <v>4.7628808221388881E-2</v>
      </c>
      <c r="O953" s="72">
        <v>0.99730235108166132</v>
      </c>
      <c r="P953">
        <v>0.99989517071995182</v>
      </c>
      <c r="Q953">
        <v>0.99626884398859461</v>
      </c>
      <c r="R953">
        <v>0.46921857924535548</v>
      </c>
      <c r="S953">
        <v>0.39770496696241986</v>
      </c>
      <c r="T953">
        <v>0.15448553201616222</v>
      </c>
      <c r="U953">
        <v>0.7962284167494158</v>
      </c>
      <c r="V953">
        <v>0.5658341491742831</v>
      </c>
      <c r="W953">
        <v>0.54257738270695788</v>
      </c>
      <c r="X953">
        <v>0.48822736175843584</v>
      </c>
      <c r="Y953">
        <v>0.41502566348798126</v>
      </c>
      <c r="Z953">
        <v>0.448347123713914</v>
      </c>
      <c r="AA953">
        <v>0.72222479044130783</v>
      </c>
      <c r="AB953">
        <v>0.86400148556562018</v>
      </c>
      <c r="AC953">
        <v>0.67298086245418054</v>
      </c>
      <c r="AD953">
        <v>0.68982991113847225</v>
      </c>
      <c r="AE953">
        <v>201.47885708599625</v>
      </c>
      <c r="AF953">
        <v>1099.441444484482</v>
      </c>
      <c r="AG953">
        <v>1472.3744949531247</v>
      </c>
      <c r="AH953">
        <v>15782.747742348136</v>
      </c>
      <c r="AI953">
        <v>12466.89183045515</v>
      </c>
      <c r="AJ953">
        <v>35582.521664872336</v>
      </c>
      <c r="AK953">
        <v>13063.464653565701</v>
      </c>
      <c r="AL953">
        <v>1624.2554817961764</v>
      </c>
      <c r="AM953">
        <v>303.88390729306803</v>
      </c>
      <c r="AO953">
        <v>44862.776507368755</v>
      </c>
      <c r="AP953">
        <v>13.841945779027165</v>
      </c>
      <c r="AQ953">
        <v>45174.981420739576</v>
      </c>
      <c r="AR953">
        <v>14.157395001046799</v>
      </c>
      <c r="AS953" s="2">
        <f t="shared" si="99"/>
        <v>312.20491337082058</v>
      </c>
      <c r="AT953" s="2">
        <f t="shared" si="100"/>
        <v>0.31544922201963388</v>
      </c>
      <c r="AV953">
        <f t="shared" si="101"/>
        <v>1339331.8013953478</v>
      </c>
      <c r="AW953">
        <f t="shared" si="102"/>
        <v>1370564.5186839404</v>
      </c>
      <c r="AY953">
        <f t="shared" si="103"/>
        <v>0</v>
      </c>
      <c r="AZ953">
        <f t="shared" si="104"/>
        <v>1</v>
      </c>
    </row>
    <row r="954" spans="1:52" x14ac:dyDescent="0.2">
      <c r="A954">
        <f t="shared" si="98"/>
        <v>950</v>
      </c>
      <c r="B954">
        <v>1.6407924760560903E-2</v>
      </c>
      <c r="C954">
        <v>4.5937140680762267E-2</v>
      </c>
      <c r="D954">
        <v>4.4736597318181137E-2</v>
      </c>
      <c r="E954">
        <v>2.6158869350857983E-2</v>
      </c>
      <c r="F954">
        <v>3.3055936384489065E-3</v>
      </c>
      <c r="G954">
        <v>2.1866270677456057E-2</v>
      </c>
      <c r="H954">
        <v>4.0361481391019582E-2</v>
      </c>
      <c r="I954">
        <v>0.13335353385155169</v>
      </c>
      <c r="J954">
        <v>0</v>
      </c>
      <c r="K954">
        <v>0.42931534474663757</v>
      </c>
      <c r="L954">
        <v>0.36541343208613608</v>
      </c>
      <c r="M954">
        <v>0.63458656791386392</v>
      </c>
      <c r="N954">
        <v>4.879797678924308E-2</v>
      </c>
      <c r="O954" s="72">
        <v>0.99995404480537287</v>
      </c>
      <c r="P954">
        <v>0.99996844817241715</v>
      </c>
      <c r="Q954">
        <v>0.98592027822305439</v>
      </c>
      <c r="R954">
        <v>0.51138738705283715</v>
      </c>
      <c r="S954">
        <v>0.30451767492291393</v>
      </c>
      <c r="T954">
        <v>0.30366843276105415</v>
      </c>
      <c r="U954">
        <v>0.79317027297040976</v>
      </c>
      <c r="V954">
        <v>0.70137582265642617</v>
      </c>
      <c r="W954">
        <v>0.53011736167797996</v>
      </c>
      <c r="X954">
        <v>0.42441429458252922</v>
      </c>
      <c r="Y954">
        <v>0.47423221062485976</v>
      </c>
      <c r="Z954">
        <v>0.46476675413222068</v>
      </c>
      <c r="AA954">
        <v>0.68504378026560464</v>
      </c>
      <c r="AB954">
        <v>0.89337349991030945</v>
      </c>
      <c r="AC954">
        <v>0.72564109457900539</v>
      </c>
      <c r="AD954">
        <v>0.58929986981108007</v>
      </c>
      <c r="AE954">
        <v>249.77308459597219</v>
      </c>
      <c r="AF954">
        <v>916.31172101075708</v>
      </c>
      <c r="AG954">
        <v>1432.1737993679756</v>
      </c>
      <c r="AH954">
        <v>16511.261012727005</v>
      </c>
      <c r="AI954">
        <v>9824.7858690940157</v>
      </c>
      <c r="AJ954">
        <v>34493.438192895614</v>
      </c>
      <c r="AK954">
        <v>16241.668064463256</v>
      </c>
      <c r="AL954">
        <v>2077.5371191712275</v>
      </c>
      <c r="AM954">
        <v>360.9130481701913</v>
      </c>
      <c r="AO954">
        <v>41806.143512165072</v>
      </c>
      <c r="AP954">
        <v>14.289197302424588</v>
      </c>
      <c r="AQ954">
        <v>46110.321588172221</v>
      </c>
      <c r="AR954">
        <v>14.51872940747718</v>
      </c>
      <c r="AS954" s="2">
        <f t="shared" si="99"/>
        <v>4304.1780760071488</v>
      </c>
      <c r="AT954" s="2">
        <f t="shared" si="100"/>
        <v>0.22953210505259136</v>
      </c>
      <c r="AV954">
        <f t="shared" si="101"/>
        <v>1387113.5867302937</v>
      </c>
      <c r="AW954">
        <f t="shared" si="102"/>
        <v>1405762.6191595457</v>
      </c>
      <c r="AY954">
        <f t="shared" si="103"/>
        <v>0</v>
      </c>
      <c r="AZ954">
        <f t="shared" si="104"/>
        <v>1</v>
      </c>
    </row>
    <row r="955" spans="1:52" x14ac:dyDescent="0.2">
      <c r="A955">
        <f t="shared" si="98"/>
        <v>951</v>
      </c>
      <c r="B955">
        <v>2.0605315111982679E-2</v>
      </c>
      <c r="C955">
        <v>4.2656885319130478E-2</v>
      </c>
      <c r="D955">
        <v>2.2017167449207814E-2</v>
      </c>
      <c r="E955">
        <v>3.8620852241563071E-3</v>
      </c>
      <c r="F955">
        <v>3.2803337987409725E-3</v>
      </c>
      <c r="G955">
        <v>2.1648515288359605E-3</v>
      </c>
      <c r="H955">
        <v>2.0119582040114024E-2</v>
      </c>
      <c r="I955">
        <v>0.14672157299167343</v>
      </c>
      <c r="J955">
        <v>0</v>
      </c>
      <c r="K955">
        <v>0.45475690231657906</v>
      </c>
      <c r="L955">
        <v>0.1892322203854418</v>
      </c>
      <c r="M955">
        <v>0.81076777961455826</v>
      </c>
      <c r="N955">
        <v>4.1854997011965732E-2</v>
      </c>
      <c r="O955" s="72">
        <v>0.97187729420636282</v>
      </c>
      <c r="P955">
        <v>0.98732058683603385</v>
      </c>
      <c r="Q955">
        <v>0.98494780550661276</v>
      </c>
      <c r="R955">
        <v>0.43273801334389905</v>
      </c>
      <c r="S955">
        <v>0.32409917951853517</v>
      </c>
      <c r="T955">
        <v>0.30472154667966977</v>
      </c>
      <c r="U955">
        <v>0.77052846739846903</v>
      </c>
      <c r="V955">
        <v>0.62236631430259592</v>
      </c>
      <c r="W955">
        <v>0.51066550498812224</v>
      </c>
      <c r="X955">
        <v>0.43937511773221238</v>
      </c>
      <c r="Y955">
        <v>0.43120489590568878</v>
      </c>
      <c r="Z955">
        <v>0.46446869526698664</v>
      </c>
      <c r="AA955">
        <v>0.63030950398838226</v>
      </c>
      <c r="AB955">
        <v>0.8203735254372595</v>
      </c>
      <c r="AC955">
        <v>0.7432420672978467</v>
      </c>
      <c r="AD955">
        <v>0.64548800196633371</v>
      </c>
      <c r="AE955">
        <v>198.65871325183846</v>
      </c>
      <c r="AF955">
        <v>909.53546524417663</v>
      </c>
      <c r="AG955">
        <v>1238.4984174470237</v>
      </c>
      <c r="AH955">
        <v>10866.539040932877</v>
      </c>
      <c r="AI955">
        <v>8263.683102100922</v>
      </c>
      <c r="AJ955">
        <v>47498.92757614002</v>
      </c>
      <c r="AK955">
        <v>10740.019727438783</v>
      </c>
      <c r="AL955">
        <v>2519.2209857696407</v>
      </c>
      <c r="AM955">
        <v>321.16329597165515</v>
      </c>
      <c r="AO955">
        <v>44857.314903468963</v>
      </c>
      <c r="AP955">
        <v>13.440775113699889</v>
      </c>
      <c r="AQ955">
        <v>45842.132722888069</v>
      </c>
      <c r="AR955">
        <v>13.614117223059143</v>
      </c>
      <c r="AS955" s="2">
        <f t="shared" si="99"/>
        <v>984.81781941910594</v>
      </c>
      <c r="AT955" s="2">
        <f t="shared" si="100"/>
        <v>0.17334210935925398</v>
      </c>
      <c r="AV955">
        <f t="shared" si="101"/>
        <v>1299220.1964665197</v>
      </c>
      <c r="AW955">
        <f t="shared" si="102"/>
        <v>1315569.5895830262</v>
      </c>
      <c r="AY955">
        <f t="shared" si="103"/>
        <v>0</v>
      </c>
      <c r="AZ955">
        <f t="shared" si="104"/>
        <v>1</v>
      </c>
    </row>
    <row r="956" spans="1:52" x14ac:dyDescent="0.2">
      <c r="A956">
        <f t="shared" si="98"/>
        <v>952</v>
      </c>
      <c r="B956">
        <v>2.3834823118645286E-2</v>
      </c>
      <c r="C956">
        <v>4.221680214708623E-2</v>
      </c>
      <c r="D956">
        <v>4.5319301310601467E-2</v>
      </c>
      <c r="E956">
        <v>3.3448989300178034E-2</v>
      </c>
      <c r="F956">
        <v>3.3152350411777506E-3</v>
      </c>
      <c r="G956">
        <v>3.0513097337309374E-3</v>
      </c>
      <c r="H956">
        <v>1.974906657703427E-2</v>
      </c>
      <c r="I956">
        <v>0.1105333378403171</v>
      </c>
      <c r="J956">
        <v>0</v>
      </c>
      <c r="K956">
        <v>0.43746914640376766</v>
      </c>
      <c r="L956">
        <v>0.30710392007448806</v>
      </c>
      <c r="M956">
        <v>0.69289607992551194</v>
      </c>
      <c r="N956">
        <v>4.1799598457769309E-2</v>
      </c>
      <c r="O956" s="72">
        <v>0.99549249379072713</v>
      </c>
      <c r="P956">
        <v>0.99878903283716336</v>
      </c>
      <c r="Q956">
        <v>0.90067440673267962</v>
      </c>
      <c r="R956">
        <v>0.48194881485954444</v>
      </c>
      <c r="S956">
        <v>0.47332071068092052</v>
      </c>
      <c r="T956">
        <v>0.23491369516151039</v>
      </c>
      <c r="U956">
        <v>0.77063048717320559</v>
      </c>
      <c r="V956">
        <v>0.71557503009611367</v>
      </c>
      <c r="W956">
        <v>0.54378158879467375</v>
      </c>
      <c r="X956">
        <v>0.40356336230140116</v>
      </c>
      <c r="Y956">
        <v>0.43721282373272152</v>
      </c>
      <c r="Z956">
        <v>0.43081497927052687</v>
      </c>
      <c r="AA956">
        <v>0.61904182975835598</v>
      </c>
      <c r="AB956">
        <v>0.8050021518095184</v>
      </c>
      <c r="AC956">
        <v>0.72092071495859289</v>
      </c>
      <c r="AD956">
        <v>0.63906244000234125</v>
      </c>
      <c r="AE956">
        <v>190.52754644918727</v>
      </c>
      <c r="AF956">
        <v>1106.5560549789814</v>
      </c>
      <c r="AG956">
        <v>1800.4074119606128</v>
      </c>
      <c r="AH956">
        <v>12525.474363074274</v>
      </c>
      <c r="AI956">
        <v>10260.862542371329</v>
      </c>
      <c r="AJ956">
        <v>52133.274684091586</v>
      </c>
      <c r="AK956">
        <v>15680.689576218412</v>
      </c>
      <c r="AL956">
        <v>1282.1735699589087</v>
      </c>
      <c r="AM956">
        <v>321.55380572766421</v>
      </c>
      <c r="AO956">
        <v>41699.558774833371</v>
      </c>
      <c r="AP956">
        <v>13.143079341834303</v>
      </c>
      <c r="AQ956">
        <v>45854.580647193507</v>
      </c>
      <c r="AR956">
        <v>13.34722085765061</v>
      </c>
      <c r="AS956" s="2">
        <f t="shared" si="99"/>
        <v>4155.0218723601356</v>
      </c>
      <c r="AT956" s="2">
        <f t="shared" si="100"/>
        <v>0.20414151581630691</v>
      </c>
      <c r="AV956">
        <f t="shared" si="101"/>
        <v>1272608.3754085971</v>
      </c>
      <c r="AW956">
        <f t="shared" si="102"/>
        <v>1288867.5051178674</v>
      </c>
      <c r="AY956">
        <f t="shared" si="103"/>
        <v>0</v>
      </c>
      <c r="AZ956">
        <f t="shared" si="104"/>
        <v>1</v>
      </c>
    </row>
    <row r="957" spans="1:52" x14ac:dyDescent="0.2">
      <c r="A957">
        <f t="shared" si="98"/>
        <v>953</v>
      </c>
      <c r="B957">
        <v>2.3012428293201326E-2</v>
      </c>
      <c r="C957">
        <v>3.2757167481656392E-2</v>
      </c>
      <c r="D957">
        <v>3.1220570672261534E-2</v>
      </c>
      <c r="E957">
        <v>1.0037701923153619E-2</v>
      </c>
      <c r="F957">
        <v>3.3067972989632502E-3</v>
      </c>
      <c r="G957">
        <v>3.8974017185427923E-2</v>
      </c>
      <c r="H957">
        <v>2.7756473655282384E-2</v>
      </c>
      <c r="I957">
        <v>0.14717153485049095</v>
      </c>
      <c r="J957">
        <v>0</v>
      </c>
      <c r="K957">
        <v>0.46892094475146373</v>
      </c>
      <c r="L957">
        <v>0.25578863012538378</v>
      </c>
      <c r="M957">
        <v>0.74421136987461622</v>
      </c>
      <c r="N957">
        <v>5.8056090949123229E-2</v>
      </c>
      <c r="O957" s="72">
        <v>0.99107924787130075</v>
      </c>
      <c r="P957">
        <v>0.9971808571702736</v>
      </c>
      <c r="Q957">
        <v>0.9465184916737982</v>
      </c>
      <c r="R957">
        <v>0.43962975234858925</v>
      </c>
      <c r="S957">
        <v>0.3713388758359274</v>
      </c>
      <c r="T957">
        <v>0.16349318700367599</v>
      </c>
      <c r="U957">
        <v>0.79550242076015421</v>
      </c>
      <c r="V957">
        <v>0.63577719540311595</v>
      </c>
      <c r="W957">
        <v>0.61366283828773527</v>
      </c>
      <c r="X957">
        <v>0.46543458714558184</v>
      </c>
      <c r="Y957">
        <v>0.4339184589212724</v>
      </c>
      <c r="Z957">
        <v>0.46240545983070114</v>
      </c>
      <c r="AA957">
        <v>0.61471528012645571</v>
      </c>
      <c r="AB957">
        <v>0.87194233176013969</v>
      </c>
      <c r="AC957">
        <v>0.64336319074351644</v>
      </c>
      <c r="AD957">
        <v>0.56835544353906597</v>
      </c>
      <c r="AE957">
        <v>115.53965363352408</v>
      </c>
      <c r="AF957">
        <v>1148.6192088099453</v>
      </c>
      <c r="AG957">
        <v>1419.1745585562942</v>
      </c>
      <c r="AH957">
        <v>14000.869648090189</v>
      </c>
      <c r="AI957">
        <v>11341.277498161216</v>
      </c>
      <c r="AJ957">
        <v>46059.150798948445</v>
      </c>
      <c r="AK957">
        <v>9416.6031056959237</v>
      </c>
      <c r="AL957">
        <v>2196.0139132185714</v>
      </c>
      <c r="AM957">
        <v>385.67074900474148</v>
      </c>
      <c r="AO957">
        <v>47593.775733281422</v>
      </c>
      <c r="AP957">
        <v>13.810488961547701</v>
      </c>
      <c r="AQ957">
        <v>46606.660730793628</v>
      </c>
      <c r="AR957">
        <v>14.042567281783322</v>
      </c>
      <c r="AS957" s="2">
        <f t="shared" si="99"/>
        <v>-987.11500248779339</v>
      </c>
      <c r="AT957" s="2">
        <f t="shared" si="100"/>
        <v>0.23207832023562069</v>
      </c>
      <c r="AV957">
        <f t="shared" si="101"/>
        <v>1333455.1204214888</v>
      </c>
      <c r="AW957">
        <f t="shared" si="102"/>
        <v>1357650.0674475385</v>
      </c>
      <c r="AY957">
        <f t="shared" si="103"/>
        <v>0</v>
      </c>
      <c r="AZ957">
        <f t="shared" si="104"/>
        <v>1</v>
      </c>
    </row>
    <row r="958" spans="1:52" x14ac:dyDescent="0.2">
      <c r="A958">
        <f t="shared" si="98"/>
        <v>954</v>
      </c>
      <c r="B958">
        <v>2.4075560546402749E-2</v>
      </c>
      <c r="C958">
        <v>3.9250270075292581E-2</v>
      </c>
      <c r="D958">
        <v>3.6599973186726038E-2</v>
      </c>
      <c r="E958">
        <v>2.2046428545542729E-2</v>
      </c>
      <c r="F958">
        <v>3.2074526371218262E-3</v>
      </c>
      <c r="G958">
        <v>1.1318707006643404E-2</v>
      </c>
      <c r="H958">
        <v>8.1104665887864025E-2</v>
      </c>
      <c r="I958">
        <v>0.13086016975319226</v>
      </c>
      <c r="J958">
        <v>0</v>
      </c>
      <c r="K958">
        <v>0.44583871195858327</v>
      </c>
      <c r="L958">
        <v>0.22464922323253655</v>
      </c>
      <c r="M958">
        <v>0.77535077676746345</v>
      </c>
      <c r="N958">
        <v>4.7894571443966125E-2</v>
      </c>
      <c r="O958" s="72">
        <v>0.99984937455421341</v>
      </c>
      <c r="P958">
        <v>0.99999133102157245</v>
      </c>
      <c r="Q958">
        <v>0.98967571129989618</v>
      </c>
      <c r="R958">
        <v>0.46770049001167946</v>
      </c>
      <c r="S958">
        <v>0.38334324468529579</v>
      </c>
      <c r="T958">
        <v>0.29332346697982981</v>
      </c>
      <c r="U958">
        <v>0.77667448360342106</v>
      </c>
      <c r="V958">
        <v>0.66578100908755422</v>
      </c>
      <c r="W958">
        <v>0.49097768066668024</v>
      </c>
      <c r="X958">
        <v>0.42036391534257495</v>
      </c>
      <c r="Y958">
        <v>0.46403114332445283</v>
      </c>
      <c r="Z958">
        <v>0.45737454043859227</v>
      </c>
      <c r="AA958">
        <v>0.64550738725188705</v>
      </c>
      <c r="AB958">
        <v>0.79403835829267722</v>
      </c>
      <c r="AC958">
        <v>0.69012300539531535</v>
      </c>
      <c r="AD958">
        <v>0.62532566906129405</v>
      </c>
      <c r="AE958">
        <v>166.64208094644266</v>
      </c>
      <c r="AF958">
        <v>1095.6520731788623</v>
      </c>
      <c r="AG958">
        <v>1731.9149417289225</v>
      </c>
      <c r="AH958">
        <v>14172.383404009706</v>
      </c>
      <c r="AI958">
        <v>9123.2777518073271</v>
      </c>
      <c r="AJ958">
        <v>41628.66781785449</v>
      </c>
      <c r="AK958">
        <v>11517.397294441145</v>
      </c>
      <c r="AL958">
        <v>2057.0970038825812</v>
      </c>
      <c r="AM958">
        <v>298.24257996420477</v>
      </c>
      <c r="AO958">
        <v>42060.852201328111</v>
      </c>
      <c r="AP958">
        <v>12.968094074347237</v>
      </c>
      <c r="AQ958">
        <v>45051.346366726226</v>
      </c>
      <c r="AR958">
        <v>13.128791989927034</v>
      </c>
      <c r="AS958" s="2">
        <f t="shared" si="99"/>
        <v>2990.494165398115</v>
      </c>
      <c r="AT958" s="2">
        <f t="shared" si="100"/>
        <v>0.16069791557979762</v>
      </c>
      <c r="AV958">
        <f t="shared" si="101"/>
        <v>1254748.5552333954</v>
      </c>
      <c r="AW958">
        <f t="shared" si="102"/>
        <v>1267827.852625977</v>
      </c>
      <c r="AY958">
        <f t="shared" si="103"/>
        <v>0</v>
      </c>
      <c r="AZ958">
        <f t="shared" si="104"/>
        <v>1</v>
      </c>
    </row>
    <row r="959" spans="1:52" x14ac:dyDescent="0.2">
      <c r="A959">
        <f t="shared" si="98"/>
        <v>955</v>
      </c>
      <c r="B959">
        <v>2.3104850933118964E-2</v>
      </c>
      <c r="C959">
        <v>4.6631060024326487E-2</v>
      </c>
      <c r="D959">
        <v>3.8009539819127858E-2</v>
      </c>
      <c r="E959">
        <v>1.6198696898077736E-2</v>
      </c>
      <c r="F959">
        <v>3.2708005975357513E-3</v>
      </c>
      <c r="G959">
        <v>3.0307120510604912E-2</v>
      </c>
      <c r="H959">
        <v>2.4130485776449963E-2</v>
      </c>
      <c r="I959">
        <v>0.12867823737423584</v>
      </c>
      <c r="J959">
        <v>0</v>
      </c>
      <c r="K959">
        <v>0.42743070003370032</v>
      </c>
      <c r="L959">
        <v>0.18106679585822671</v>
      </c>
      <c r="M959">
        <v>0.81893320414177329</v>
      </c>
      <c r="N959">
        <v>4.6523363576508679E-2</v>
      </c>
      <c r="O959" s="72">
        <v>0.99940443708314242</v>
      </c>
      <c r="P959">
        <v>0.99289707484713108</v>
      </c>
      <c r="Q959">
        <v>0.96379920747721837</v>
      </c>
      <c r="R959">
        <v>0.46917958056699782</v>
      </c>
      <c r="S959">
        <v>0.45422952252463067</v>
      </c>
      <c r="T959">
        <v>0.17030490591379077</v>
      </c>
      <c r="U959">
        <v>0.76907260460978566</v>
      </c>
      <c r="V959">
        <v>0.65994589339949195</v>
      </c>
      <c r="W959">
        <v>0.59909380983335991</v>
      </c>
      <c r="X959">
        <v>0.40370039290322174</v>
      </c>
      <c r="Y959">
        <v>0.40491867874554616</v>
      </c>
      <c r="Z959">
        <v>0.44831508589745439</v>
      </c>
      <c r="AA959">
        <v>0.68581109242555849</v>
      </c>
      <c r="AB959">
        <v>0.78517676210658049</v>
      </c>
      <c r="AC959">
        <v>0.67033637969993332</v>
      </c>
      <c r="AD959">
        <v>0.66432427341760736</v>
      </c>
      <c r="AE959">
        <v>206.34612098024633</v>
      </c>
      <c r="AF959">
        <v>1254.9682749546728</v>
      </c>
      <c r="AG959">
        <v>1856.3207501625473</v>
      </c>
      <c r="AH959">
        <v>15321.971231519417</v>
      </c>
      <c r="AI959">
        <v>8477.1686062696099</v>
      </c>
      <c r="AJ959">
        <v>38814.925547160019</v>
      </c>
      <c r="AK959">
        <v>14703.58445019789</v>
      </c>
      <c r="AL959">
        <v>1797.9447682569</v>
      </c>
      <c r="AM959">
        <v>321.73082964793281</v>
      </c>
      <c r="AO959">
        <v>44264.539802627005</v>
      </c>
      <c r="AP959">
        <v>12.820282063291687</v>
      </c>
      <c r="AQ959">
        <v>45809.883926069779</v>
      </c>
      <c r="AR959">
        <v>13.019441170721697</v>
      </c>
      <c r="AS959" s="2">
        <f t="shared" si="99"/>
        <v>1545.3441234427737</v>
      </c>
      <c r="AT959" s="2">
        <f t="shared" si="100"/>
        <v>0.19915910743000964</v>
      </c>
      <c r="AV959">
        <f t="shared" si="101"/>
        <v>1237763.6665265418</v>
      </c>
      <c r="AW959">
        <f t="shared" si="102"/>
        <v>1256134.2331460998</v>
      </c>
      <c r="AY959">
        <f t="shared" si="103"/>
        <v>0</v>
      </c>
      <c r="AZ959">
        <f t="shared" si="104"/>
        <v>1</v>
      </c>
    </row>
    <row r="960" spans="1:52" x14ac:dyDescent="0.2">
      <c r="A960">
        <f t="shared" ref="A960:A1004" si="105">A959+1</f>
        <v>956</v>
      </c>
      <c r="B960">
        <v>1.9862490419295251E-2</v>
      </c>
      <c r="C960">
        <v>5.8104158288816543E-2</v>
      </c>
      <c r="D960">
        <v>2.9516448924405834E-2</v>
      </c>
      <c r="E960">
        <v>1.2049295366317159E-2</v>
      </c>
      <c r="F960">
        <v>3.3664347406284767E-3</v>
      </c>
      <c r="G960">
        <v>4.2515053138992509E-2</v>
      </c>
      <c r="H960">
        <v>1.9134987632228082E-2</v>
      </c>
      <c r="I960">
        <v>0.12565467095904267</v>
      </c>
      <c r="J960">
        <v>0</v>
      </c>
      <c r="K960">
        <v>0.42346494799245887</v>
      </c>
      <c r="L960">
        <v>0.21336776842066119</v>
      </c>
      <c r="M960">
        <v>0.78663223157933881</v>
      </c>
      <c r="N960">
        <v>8.8922046640913632E-2</v>
      </c>
      <c r="O960" s="72">
        <v>0.98662595852895574</v>
      </c>
      <c r="P960">
        <v>0.99994062496203318</v>
      </c>
      <c r="Q960">
        <v>0.97643339065854384</v>
      </c>
      <c r="R960">
        <v>0.45071342603146491</v>
      </c>
      <c r="S960">
        <v>0.40365498803677191</v>
      </c>
      <c r="T960">
        <v>0.22303926739400026</v>
      </c>
      <c r="U960">
        <v>0.7900247153608233</v>
      </c>
      <c r="V960">
        <v>0.75169011881835601</v>
      </c>
      <c r="W960">
        <v>0.55210834939295905</v>
      </c>
      <c r="X960">
        <v>0.46345895346696331</v>
      </c>
      <c r="Y960">
        <v>0.39871378936861512</v>
      </c>
      <c r="Z960">
        <v>0.46730084452968745</v>
      </c>
      <c r="AA960">
        <v>0.72954014505036957</v>
      </c>
      <c r="AB960">
        <v>0.77715051682737046</v>
      </c>
      <c r="AC960">
        <v>0.78713595416953519</v>
      </c>
      <c r="AD960">
        <v>0.46265358332633172</v>
      </c>
      <c r="AE960">
        <v>189.09689491276015</v>
      </c>
      <c r="AF960">
        <v>980.05994124865265</v>
      </c>
      <c r="AG960">
        <v>1550.2349321820429</v>
      </c>
      <c r="AH960">
        <v>12429.348491193587</v>
      </c>
      <c r="AI960">
        <v>10970.648233910206</v>
      </c>
      <c r="AJ960">
        <v>43098.92356315074</v>
      </c>
      <c r="AK960">
        <v>9962.5275313464426</v>
      </c>
      <c r="AL960">
        <v>2045.8759977006073</v>
      </c>
      <c r="AM960">
        <v>414.29399459179569</v>
      </c>
      <c r="AO960">
        <v>45597.653997377733</v>
      </c>
      <c r="AP960">
        <v>12.773713799387801</v>
      </c>
      <c r="AQ960">
        <v>46929.786278314081</v>
      </c>
      <c r="AR960">
        <v>12.844430368481044</v>
      </c>
      <c r="AS960" s="2">
        <f t="shared" si="99"/>
        <v>1332.1322809363483</v>
      </c>
      <c r="AT960" s="2">
        <f t="shared" si="100"/>
        <v>7.0716569093242754E-2</v>
      </c>
      <c r="AV960">
        <f t="shared" si="101"/>
        <v>1231773.7259414024</v>
      </c>
      <c r="AW960">
        <f t="shared" si="102"/>
        <v>1237513.2505697901</v>
      </c>
      <c r="AY960">
        <f t="shared" si="103"/>
        <v>0</v>
      </c>
      <c r="AZ960">
        <f t="shared" si="104"/>
        <v>1</v>
      </c>
    </row>
    <row r="961" spans="1:52" x14ac:dyDescent="0.2">
      <c r="A961">
        <f t="shared" si="105"/>
        <v>957</v>
      </c>
      <c r="B961">
        <v>2.6948987977488903E-2</v>
      </c>
      <c r="C961">
        <v>4.1337874397986418E-2</v>
      </c>
      <c r="D961">
        <v>4.6662767650228698E-2</v>
      </c>
      <c r="E961">
        <v>1.0494419462030559E-2</v>
      </c>
      <c r="F961">
        <v>3.2476995971949872E-3</v>
      </c>
      <c r="G961">
        <v>2.4539900231282386E-2</v>
      </c>
      <c r="H961">
        <v>2.7702008131613672E-2</v>
      </c>
      <c r="I961">
        <v>0.10852536673718846</v>
      </c>
      <c r="J961">
        <v>0</v>
      </c>
      <c r="K961">
        <v>0.40875953513970426</v>
      </c>
      <c r="L961">
        <v>0.22988432147949189</v>
      </c>
      <c r="M961">
        <v>0.77011567852050811</v>
      </c>
      <c r="N961">
        <v>7.8657382750278892E-2</v>
      </c>
      <c r="O961" s="72">
        <v>0.99888641947814505</v>
      </c>
      <c r="P961">
        <v>0.9999999233290392</v>
      </c>
      <c r="Q961">
        <v>0.99536156010068066</v>
      </c>
      <c r="R961">
        <v>0.52705928908858657</v>
      </c>
      <c r="S961">
        <v>0.4197159504218152</v>
      </c>
      <c r="T961">
        <v>0.14152070002156425</v>
      </c>
      <c r="U961">
        <v>0.78097590927510341</v>
      </c>
      <c r="V961">
        <v>0.56932387657266659</v>
      </c>
      <c r="W961">
        <v>0.66001588185600502</v>
      </c>
      <c r="X961">
        <v>0.42933566134397089</v>
      </c>
      <c r="Y961">
        <v>0.39805904640286593</v>
      </c>
      <c r="Z961">
        <v>0.40977801292975324</v>
      </c>
      <c r="AA961">
        <v>0.72147543373070455</v>
      </c>
      <c r="AB961">
        <v>0.7831807403018709</v>
      </c>
      <c r="AC961">
        <v>0.63236551343417335</v>
      </c>
      <c r="AD961">
        <v>0.62012179200086326</v>
      </c>
      <c r="AE961">
        <v>157.42341628148455</v>
      </c>
      <c r="AF961">
        <v>1043.0042052254923</v>
      </c>
      <c r="AG961">
        <v>1993.9540839225256</v>
      </c>
      <c r="AH961">
        <v>11969.47480438751</v>
      </c>
      <c r="AI961">
        <v>11475.80014847165</v>
      </c>
      <c r="AJ961">
        <v>42008.147095841196</v>
      </c>
      <c r="AK961">
        <v>20427.999922605679</v>
      </c>
      <c r="AL961">
        <v>1720.6807604502083</v>
      </c>
      <c r="AM961">
        <v>499.02268345392508</v>
      </c>
      <c r="AO961">
        <v>45361.207869271828</v>
      </c>
      <c r="AP961">
        <v>12.685892016064331</v>
      </c>
      <c r="AQ961">
        <v>48179.288967878383</v>
      </c>
      <c r="AR961">
        <v>12.865792378578945</v>
      </c>
      <c r="AS961" s="2">
        <f t="shared" si="99"/>
        <v>2818.0810986065553</v>
      </c>
      <c r="AT961" s="2">
        <f t="shared" si="100"/>
        <v>0.17990036251461383</v>
      </c>
      <c r="AV961">
        <f t="shared" si="101"/>
        <v>1223227.9937371614</v>
      </c>
      <c r="AW961">
        <f t="shared" si="102"/>
        <v>1238399.9488900162</v>
      </c>
      <c r="AY961">
        <f t="shared" si="103"/>
        <v>0</v>
      </c>
      <c r="AZ961">
        <f t="shared" si="104"/>
        <v>1</v>
      </c>
    </row>
    <row r="962" spans="1:52" x14ac:dyDescent="0.2">
      <c r="A962">
        <f t="shared" si="105"/>
        <v>958</v>
      </c>
      <c r="B962">
        <v>2.1624226574662161E-2</v>
      </c>
      <c r="C962">
        <v>3.5799206796493864E-2</v>
      </c>
      <c r="D962">
        <v>3.4351303526543954E-2</v>
      </c>
      <c r="E962">
        <v>1.2879296767315029E-2</v>
      </c>
      <c r="F962">
        <v>3.3942430697463388E-3</v>
      </c>
      <c r="G962">
        <v>1.307735271709054E-2</v>
      </c>
      <c r="H962">
        <v>4.5329244131432023E-2</v>
      </c>
      <c r="I962">
        <v>0.10370161192011301</v>
      </c>
      <c r="J962">
        <v>0</v>
      </c>
      <c r="K962">
        <v>0.40873786408671342</v>
      </c>
      <c r="L962">
        <v>0.20574113674747579</v>
      </c>
      <c r="M962">
        <v>0.79425886325252426</v>
      </c>
      <c r="N962">
        <v>3.8661119738942831E-2</v>
      </c>
      <c r="O962" s="72">
        <v>0.9982560599065784</v>
      </c>
      <c r="P962">
        <v>0.9998066232428453</v>
      </c>
      <c r="Q962">
        <v>0.98239052116180192</v>
      </c>
      <c r="R962">
        <v>0.44290909561659364</v>
      </c>
      <c r="S962">
        <v>0.37193834379987623</v>
      </c>
      <c r="T962">
        <v>0.14934905909411522</v>
      </c>
      <c r="U962">
        <v>0.74979824331746492</v>
      </c>
      <c r="V962">
        <v>0.69994526760821496</v>
      </c>
      <c r="W962">
        <v>0.52446333969726988</v>
      </c>
      <c r="X962">
        <v>0.41778652397386284</v>
      </c>
      <c r="Y962">
        <v>0.46537844381579518</v>
      </c>
      <c r="Z962">
        <v>0.385832281771187</v>
      </c>
      <c r="AA962">
        <v>0.66051414553791643</v>
      </c>
      <c r="AB962">
        <v>0.82850072750830794</v>
      </c>
      <c r="AC962">
        <v>0.70329540940463819</v>
      </c>
      <c r="AD962">
        <v>0.62978572722106141</v>
      </c>
      <c r="AE962">
        <v>227.80570796050324</v>
      </c>
      <c r="AF962">
        <v>1190.207639799645</v>
      </c>
      <c r="AG962">
        <v>1745.1377729505448</v>
      </c>
      <c r="AH962">
        <v>15436.507093579441</v>
      </c>
      <c r="AI962">
        <v>9955.9155111659293</v>
      </c>
      <c r="AJ962">
        <v>40681.490386784229</v>
      </c>
      <c r="AK962">
        <v>17527.362769856798</v>
      </c>
      <c r="AL962">
        <v>2256.4304763645218</v>
      </c>
      <c r="AM962">
        <v>398.08014633339036</v>
      </c>
      <c r="AO962">
        <v>48727.041761516251</v>
      </c>
      <c r="AP962">
        <v>13.372779241214314</v>
      </c>
      <c r="AQ962">
        <v>46807.997081827532</v>
      </c>
      <c r="AR962">
        <v>13.635882568828887</v>
      </c>
      <c r="AS962" s="2">
        <f t="shared" si="99"/>
        <v>-1919.044679688719</v>
      </c>
      <c r="AT962" s="2">
        <f t="shared" si="100"/>
        <v>0.26310332761457289</v>
      </c>
      <c r="AV962">
        <f t="shared" si="101"/>
        <v>1288550.8823599149</v>
      </c>
      <c r="AW962">
        <f t="shared" si="102"/>
        <v>1316780.2598010611</v>
      </c>
      <c r="AY962">
        <f t="shared" si="103"/>
        <v>0</v>
      </c>
      <c r="AZ962">
        <f t="shared" si="104"/>
        <v>1</v>
      </c>
    </row>
    <row r="963" spans="1:52" x14ac:dyDescent="0.2">
      <c r="A963">
        <f t="shared" si="105"/>
        <v>959</v>
      </c>
      <c r="B963">
        <v>1.6896891526339924E-2</v>
      </c>
      <c r="C963">
        <v>3.8579297696007764E-2</v>
      </c>
      <c r="D963">
        <v>4.9665410342195848E-2</v>
      </c>
      <c r="E963">
        <v>8.5510771443793755E-3</v>
      </c>
      <c r="F963">
        <v>3.3048355617392769E-3</v>
      </c>
      <c r="G963">
        <v>1.7304856942053748E-2</v>
      </c>
      <c r="H963">
        <v>3.0242401803724617E-2</v>
      </c>
      <c r="I963">
        <v>0.12715672439121348</v>
      </c>
      <c r="J963">
        <v>0</v>
      </c>
      <c r="K963">
        <v>0.41513456005899574</v>
      </c>
      <c r="L963">
        <v>0.20877033111920007</v>
      </c>
      <c r="M963">
        <v>0.79122966888079993</v>
      </c>
      <c r="N963">
        <v>4.5577892899076128E-2</v>
      </c>
      <c r="O963" s="72">
        <v>0.998565738552044</v>
      </c>
      <c r="P963">
        <v>0.99962719493272234</v>
      </c>
      <c r="Q963">
        <v>0.9699288231827593</v>
      </c>
      <c r="R963">
        <v>0.55366088556866955</v>
      </c>
      <c r="S963">
        <v>0.34340705937530813</v>
      </c>
      <c r="T963">
        <v>0.18252559171940363</v>
      </c>
      <c r="U963">
        <v>0.77304843608449092</v>
      </c>
      <c r="V963">
        <v>0.73502153439949169</v>
      </c>
      <c r="W963">
        <v>0.52279212241469153</v>
      </c>
      <c r="X963">
        <v>0.42924280702592427</v>
      </c>
      <c r="Y963">
        <v>0.46358426139011399</v>
      </c>
      <c r="Z963">
        <v>0.42986881322540582</v>
      </c>
      <c r="AA963">
        <v>0.60842972754992697</v>
      </c>
      <c r="AB963">
        <v>0.82458372880177233</v>
      </c>
      <c r="AC963">
        <v>0.77138261692811461</v>
      </c>
      <c r="AD963">
        <v>0.58577666010605112</v>
      </c>
      <c r="AE963">
        <v>195.65393232694893</v>
      </c>
      <c r="AF963">
        <v>1048.7419308634692</v>
      </c>
      <c r="AG963">
        <v>1384.0278882508569</v>
      </c>
      <c r="AH963">
        <v>11850.900446039434</v>
      </c>
      <c r="AI963">
        <v>10954.603499043598</v>
      </c>
      <c r="AJ963">
        <v>37974.394844600756</v>
      </c>
      <c r="AK963">
        <v>18606.940103970668</v>
      </c>
      <c r="AL963">
        <v>2198.5379966379041</v>
      </c>
      <c r="AM963">
        <v>370.20040644121644</v>
      </c>
      <c r="AO963">
        <v>41691.135252892149</v>
      </c>
      <c r="AP963">
        <v>13.452109168211983</v>
      </c>
      <c r="AQ963">
        <v>46225.945739399911</v>
      </c>
      <c r="AR963">
        <v>13.642572496051285</v>
      </c>
      <c r="AS963" s="2">
        <f t="shared" si="99"/>
        <v>4534.8104865077621</v>
      </c>
      <c r="AT963" s="2">
        <f t="shared" si="100"/>
        <v>0.19046332783930175</v>
      </c>
      <c r="AV963">
        <f t="shared" si="101"/>
        <v>1303519.7815683063</v>
      </c>
      <c r="AW963">
        <f t="shared" si="102"/>
        <v>1318031.3038657287</v>
      </c>
      <c r="AY963">
        <f t="shared" si="103"/>
        <v>0</v>
      </c>
      <c r="AZ963">
        <f t="shared" si="104"/>
        <v>1</v>
      </c>
    </row>
    <row r="964" spans="1:52" x14ac:dyDescent="0.2">
      <c r="A964">
        <f t="shared" si="105"/>
        <v>960</v>
      </c>
      <c r="B964">
        <v>2.4670803664875875E-2</v>
      </c>
      <c r="C964">
        <v>4.7787588417624982E-2</v>
      </c>
      <c r="D964">
        <v>5.033044272933529E-2</v>
      </c>
      <c r="E964">
        <v>9.0485161370381199E-3</v>
      </c>
      <c r="F964">
        <v>3.4761064435414601E-3</v>
      </c>
      <c r="G964">
        <v>8.2358369702326406E-3</v>
      </c>
      <c r="H964">
        <v>2.0594206248155923E-2</v>
      </c>
      <c r="I964">
        <v>0.12226090200424961</v>
      </c>
      <c r="J964">
        <v>0</v>
      </c>
      <c r="K964">
        <v>0.45076695885970575</v>
      </c>
      <c r="L964">
        <v>0.22508592358856883</v>
      </c>
      <c r="M964">
        <v>0.77491407641143117</v>
      </c>
      <c r="N964">
        <v>3.9769646444767104E-2</v>
      </c>
      <c r="O964" s="72">
        <v>0.99997499844042737</v>
      </c>
      <c r="P964">
        <v>0.99203871685992095</v>
      </c>
      <c r="Q964">
        <v>0.95134595107363218</v>
      </c>
      <c r="R964">
        <v>0.46922874050902219</v>
      </c>
      <c r="S964">
        <v>0.38452539836294719</v>
      </c>
      <c r="T964">
        <v>0.25384950181050892</v>
      </c>
      <c r="U964">
        <v>0.78661616134303791</v>
      </c>
      <c r="V964">
        <v>0.62011759691068602</v>
      </c>
      <c r="W964">
        <v>0.51434157210381359</v>
      </c>
      <c r="X964">
        <v>0.44762845356470493</v>
      </c>
      <c r="Y964">
        <v>0.38372035062979354</v>
      </c>
      <c r="Z964">
        <v>0.45531175625149023</v>
      </c>
      <c r="AA964">
        <v>0.7523167188613632</v>
      </c>
      <c r="AB964">
        <v>0.86068067072406484</v>
      </c>
      <c r="AC964">
        <v>0.78226597077696769</v>
      </c>
      <c r="AD964">
        <v>0.63442570900834538</v>
      </c>
      <c r="AE964">
        <v>236.43234946023108</v>
      </c>
      <c r="AF964">
        <v>942.35333775108325</v>
      </c>
      <c r="AG964">
        <v>1516.9029958070371</v>
      </c>
      <c r="AH964">
        <v>12539.629479005393</v>
      </c>
      <c r="AI964">
        <v>10325.658712598879</v>
      </c>
      <c r="AJ964">
        <v>49026.319971142439</v>
      </c>
      <c r="AK964">
        <v>21521.879642939453</v>
      </c>
      <c r="AL964">
        <v>2477.7388973378484</v>
      </c>
      <c r="AM964">
        <v>349.53747290682196</v>
      </c>
      <c r="AO964">
        <v>43527.312097308837</v>
      </c>
      <c r="AP964">
        <v>13.980159884173373</v>
      </c>
      <c r="AQ964">
        <v>46282.814530751704</v>
      </c>
      <c r="AR964">
        <v>14.227518817353358</v>
      </c>
      <c r="AS964" s="2">
        <f t="shared" si="99"/>
        <v>2755.5024334428672</v>
      </c>
      <c r="AT964" s="2">
        <f t="shared" si="100"/>
        <v>0.24735893317998503</v>
      </c>
      <c r="AV964">
        <f t="shared" si="101"/>
        <v>1354488.6763200285</v>
      </c>
      <c r="AW964">
        <f t="shared" si="102"/>
        <v>1376469.0672045841</v>
      </c>
      <c r="AY964">
        <f t="shared" si="103"/>
        <v>0</v>
      </c>
      <c r="AZ964">
        <f t="shared" si="104"/>
        <v>1</v>
      </c>
    </row>
    <row r="965" spans="1:52" x14ac:dyDescent="0.2">
      <c r="A965">
        <f t="shared" si="105"/>
        <v>961</v>
      </c>
      <c r="B965">
        <v>2.2391632212923236E-2</v>
      </c>
      <c r="C965">
        <v>3.2629003577270575E-2</v>
      </c>
      <c r="D965">
        <v>4.2610067405165264E-2</v>
      </c>
      <c r="E965">
        <v>4.3840150913914022E-2</v>
      </c>
      <c r="F965">
        <v>3.3419135489543006E-3</v>
      </c>
      <c r="G965">
        <v>8.3085780177122471E-3</v>
      </c>
      <c r="H965">
        <v>3.6291637373417895E-2</v>
      </c>
      <c r="I965">
        <v>0.12479636043773878</v>
      </c>
      <c r="J965">
        <v>0</v>
      </c>
      <c r="K965">
        <v>0.46566758699953026</v>
      </c>
      <c r="L965">
        <v>0.19764238154251884</v>
      </c>
      <c r="M965">
        <v>0.80235761845748121</v>
      </c>
      <c r="N965">
        <v>5.4051572198427045E-2</v>
      </c>
      <c r="O965" s="72">
        <v>0.99992365639858327</v>
      </c>
      <c r="P965">
        <v>0.99964020908988138</v>
      </c>
      <c r="Q965">
        <v>0.98546795280925648</v>
      </c>
      <c r="R965">
        <v>0.45746050607722666</v>
      </c>
      <c r="S965">
        <v>0.43205586188607181</v>
      </c>
      <c r="T965">
        <v>0.23895810535570017</v>
      </c>
      <c r="U965">
        <v>0.74719520938427519</v>
      </c>
      <c r="V965">
        <v>0.71744467773562426</v>
      </c>
      <c r="W965">
        <v>0.4930075616283453</v>
      </c>
      <c r="X965">
        <v>0.5187089824454334</v>
      </c>
      <c r="Y965">
        <v>0.46057018031259711</v>
      </c>
      <c r="Z965">
        <v>0.52750357087902133</v>
      </c>
      <c r="AA965">
        <v>0.66600068262780288</v>
      </c>
      <c r="AB965">
        <v>0.8323651544135805</v>
      </c>
      <c r="AC965">
        <v>0.59239725239529739</v>
      </c>
      <c r="AD965">
        <v>0.60398898399926315</v>
      </c>
      <c r="AE965">
        <v>213.58630137000182</v>
      </c>
      <c r="AF965">
        <v>1117.886434337242</v>
      </c>
      <c r="AG965">
        <v>1431.1112834015478</v>
      </c>
      <c r="AH965">
        <v>13013.834006104187</v>
      </c>
      <c r="AI965">
        <v>12552.557350074603</v>
      </c>
      <c r="AJ965">
        <v>37809.645053906926</v>
      </c>
      <c r="AK965">
        <v>15684.273534195461</v>
      </c>
      <c r="AL965">
        <v>1821.7444445183642</v>
      </c>
      <c r="AM965">
        <v>355.25599103968432</v>
      </c>
      <c r="AO965">
        <v>43564.835733366701</v>
      </c>
      <c r="AP965">
        <v>13.175302908314862</v>
      </c>
      <c r="AQ965">
        <v>45989.46320798566</v>
      </c>
      <c r="AR965">
        <v>13.454214415930752</v>
      </c>
      <c r="AS965" s="2">
        <f t="shared" si="99"/>
        <v>2424.6274746189592</v>
      </c>
      <c r="AT965" s="2">
        <f t="shared" si="100"/>
        <v>0.27891150761588968</v>
      </c>
      <c r="AV965">
        <f t="shared" si="101"/>
        <v>1273965.4550981196</v>
      </c>
      <c r="AW965">
        <f t="shared" si="102"/>
        <v>1299431.9783850894</v>
      </c>
      <c r="AY965">
        <f t="shared" si="103"/>
        <v>0</v>
      </c>
      <c r="AZ965">
        <f t="shared" si="104"/>
        <v>1</v>
      </c>
    </row>
    <row r="966" spans="1:52" x14ac:dyDescent="0.2">
      <c r="A966">
        <f t="shared" si="105"/>
        <v>962</v>
      </c>
      <c r="B966">
        <v>2.4166919567063828E-2</v>
      </c>
      <c r="C966">
        <v>2.7144470230760651E-2</v>
      </c>
      <c r="D966">
        <v>3.4337452389888147E-2</v>
      </c>
      <c r="E966">
        <v>2.6493174264256955E-3</v>
      </c>
      <c r="F966">
        <v>3.2696205988707898E-3</v>
      </c>
      <c r="G966">
        <v>1.6949561541751978E-2</v>
      </c>
      <c r="H966">
        <v>1.6889283838450453E-2</v>
      </c>
      <c r="I966">
        <v>0.14028707010904684</v>
      </c>
      <c r="J966">
        <v>0</v>
      </c>
      <c r="K966">
        <v>0.49393536324563081</v>
      </c>
      <c r="L966">
        <v>0.18434207329384605</v>
      </c>
      <c r="M966">
        <v>0.81565792670615389</v>
      </c>
      <c r="N966">
        <v>6.2746118850109278E-2</v>
      </c>
      <c r="O966" s="72">
        <v>0.98672236642031896</v>
      </c>
      <c r="P966">
        <v>0.98951387962987869</v>
      </c>
      <c r="Q966">
        <v>0.96416998554217825</v>
      </c>
      <c r="R966">
        <v>0.50834931187786891</v>
      </c>
      <c r="S966">
        <v>0.44856871241972152</v>
      </c>
      <c r="T966">
        <v>0.23268872291481957</v>
      </c>
      <c r="U966">
        <v>0.74230564579614089</v>
      </c>
      <c r="V966">
        <v>0.72881377330779973</v>
      </c>
      <c r="W966">
        <v>0.49181040224716233</v>
      </c>
      <c r="X966">
        <v>0.49127361344690257</v>
      </c>
      <c r="Y966">
        <v>0.41926635652423794</v>
      </c>
      <c r="Z966">
        <v>0.45184652611316012</v>
      </c>
      <c r="AA966">
        <v>0.61055576913703669</v>
      </c>
      <c r="AB966">
        <v>0.84625266841808455</v>
      </c>
      <c r="AC966">
        <v>0.67549550070216891</v>
      </c>
      <c r="AD966">
        <v>0.62730634447883826</v>
      </c>
      <c r="AE966">
        <v>161.21713302310974</v>
      </c>
      <c r="AF966">
        <v>1094.9938979201397</v>
      </c>
      <c r="AG966">
        <v>1389.7939784213415</v>
      </c>
      <c r="AH966">
        <v>11536.527379780629</v>
      </c>
      <c r="AI966">
        <v>10778.922308402744</v>
      </c>
      <c r="AJ966">
        <v>36703.405891573966</v>
      </c>
      <c r="AK966">
        <v>11125.788348835365</v>
      </c>
      <c r="AL966">
        <v>2103.128386773305</v>
      </c>
      <c r="AM966">
        <v>457.29019045959819</v>
      </c>
      <c r="AO966">
        <v>42539.504832058323</v>
      </c>
      <c r="AP966">
        <v>13.62183062177859</v>
      </c>
      <c r="AQ966">
        <v>47920.991913649203</v>
      </c>
      <c r="AR966">
        <v>13.825388015593306</v>
      </c>
      <c r="AS966" s="2">
        <f t="shared" ref="AS966:AS1004" si="106">AQ966-AO966</f>
        <v>5381.4870815908798</v>
      </c>
      <c r="AT966" s="2">
        <f t="shared" ref="AT966:AT1004" si="107">AR966-AP966</f>
        <v>0.20355739381471594</v>
      </c>
      <c r="AV966">
        <f t="shared" ref="AV966:AV1004" si="108">$AW$1*AP966-AO966</f>
        <v>1319643.5573458008</v>
      </c>
      <c r="AW966">
        <f t="shared" ref="AW966:AW1004" si="109">$AW$1*AR966-AQ966</f>
        <v>1334617.8096456814</v>
      </c>
      <c r="AY966">
        <f t="shared" ref="AY966:AY1004" si="110">IF(AV966=MAX($AV966:$AW966),1,0)</f>
        <v>0</v>
      </c>
      <c r="AZ966">
        <f t="shared" ref="AZ966:AZ1004" si="111">IF(AW966=MAX($AV966:$AW966),1,0)</f>
        <v>1</v>
      </c>
    </row>
    <row r="967" spans="1:52" x14ac:dyDescent="0.2">
      <c r="A967">
        <f t="shared" si="105"/>
        <v>963</v>
      </c>
      <c r="B967">
        <v>2.1871613092828278E-2</v>
      </c>
      <c r="C967">
        <v>3.3411507611443625E-2</v>
      </c>
      <c r="D967">
        <v>2.501399885564368E-2</v>
      </c>
      <c r="E967">
        <v>3.1949624825360123E-2</v>
      </c>
      <c r="F967">
        <v>3.3399069120346736E-3</v>
      </c>
      <c r="G967">
        <v>2.5824294017732896E-2</v>
      </c>
      <c r="H967">
        <v>2.4043570694342882E-2</v>
      </c>
      <c r="I967">
        <v>0.13992092585820592</v>
      </c>
      <c r="J967">
        <v>0</v>
      </c>
      <c r="K967">
        <v>0.42300992870113557</v>
      </c>
      <c r="L967">
        <v>0.18697217694923879</v>
      </c>
      <c r="M967">
        <v>0.81302782305076127</v>
      </c>
      <c r="N967">
        <v>5.834507855579163E-2</v>
      </c>
      <c r="O967" s="72">
        <v>0.99995359791826921</v>
      </c>
      <c r="P967">
        <v>0.99884366344970721</v>
      </c>
      <c r="Q967">
        <v>0.96231373702380241</v>
      </c>
      <c r="R967">
        <v>0.46473337890093924</v>
      </c>
      <c r="S967">
        <v>0.33946532025921683</v>
      </c>
      <c r="T967">
        <v>0.16120528072275697</v>
      </c>
      <c r="U967">
        <v>0.79072729385259166</v>
      </c>
      <c r="V967">
        <v>0.72496030547544366</v>
      </c>
      <c r="W967">
        <v>0.59607431885358142</v>
      </c>
      <c r="X967">
        <v>0.4741703120182541</v>
      </c>
      <c r="Y967">
        <v>0.44589914879343695</v>
      </c>
      <c r="Z967">
        <v>0.47835467994014313</v>
      </c>
      <c r="AA967">
        <v>0.75508847884288177</v>
      </c>
      <c r="AB967">
        <v>0.79162912183564116</v>
      </c>
      <c r="AC967">
        <v>0.77269132300463694</v>
      </c>
      <c r="AD967">
        <v>0.56459787562768282</v>
      </c>
      <c r="AE967">
        <v>234.84736405075972</v>
      </c>
      <c r="AF967">
        <v>1205.1486062286829</v>
      </c>
      <c r="AG967">
        <v>1906.1489902536418</v>
      </c>
      <c r="AH967">
        <v>14551.6760872582</v>
      </c>
      <c r="AI967">
        <v>12301.699814268373</v>
      </c>
      <c r="AJ967">
        <v>37324.180884430396</v>
      </c>
      <c r="AK967">
        <v>14507.04452846505</v>
      </c>
      <c r="AL967">
        <v>2539.5538877087756</v>
      </c>
      <c r="AM967">
        <v>339.95738221689646</v>
      </c>
      <c r="AO967">
        <v>46160.927649063866</v>
      </c>
      <c r="AP967">
        <v>13.00724621690383</v>
      </c>
      <c r="AQ967">
        <v>45920.000485453522</v>
      </c>
      <c r="AR967">
        <v>13.158861821555499</v>
      </c>
      <c r="AS967" s="2">
        <f t="shared" si="106"/>
        <v>-240.927163610344</v>
      </c>
      <c r="AT967" s="2">
        <f t="shared" si="107"/>
        <v>0.15161560465166879</v>
      </c>
      <c r="AV967">
        <f t="shared" si="108"/>
        <v>1254563.6940413192</v>
      </c>
      <c r="AW967">
        <f t="shared" si="109"/>
        <v>1269966.1816700965</v>
      </c>
      <c r="AY967">
        <f t="shared" si="110"/>
        <v>0</v>
      </c>
      <c r="AZ967">
        <f t="shared" si="111"/>
        <v>1</v>
      </c>
    </row>
    <row r="968" spans="1:52" x14ac:dyDescent="0.2">
      <c r="A968">
        <f t="shared" si="105"/>
        <v>964</v>
      </c>
      <c r="B968">
        <v>2.4302810531261709E-2</v>
      </c>
      <c r="C968">
        <v>3.7944178419530461E-2</v>
      </c>
      <c r="D968">
        <v>4.0686828151665466E-2</v>
      </c>
      <c r="E968">
        <v>1.985247303052684E-2</v>
      </c>
      <c r="F968">
        <v>3.3481600438268755E-3</v>
      </c>
      <c r="G968">
        <v>1.670754076418135E-2</v>
      </c>
      <c r="H968">
        <v>1.213091184444974E-2</v>
      </c>
      <c r="I968">
        <v>0.12497959268295962</v>
      </c>
      <c r="J968">
        <v>0</v>
      </c>
      <c r="K968">
        <v>0.45617132728448251</v>
      </c>
      <c r="L968">
        <v>0.12458248984173809</v>
      </c>
      <c r="M968">
        <v>0.87541751015826197</v>
      </c>
      <c r="N968">
        <v>6.2930697054482621E-2</v>
      </c>
      <c r="O968" s="72">
        <v>0.99584116112836696</v>
      </c>
      <c r="P968">
        <v>0.99907638954596834</v>
      </c>
      <c r="Q968">
        <v>0.95844135721744117</v>
      </c>
      <c r="R968">
        <v>0.43509136981667351</v>
      </c>
      <c r="S968">
        <v>0.32642730039014711</v>
      </c>
      <c r="T968">
        <v>0.26855752421413293</v>
      </c>
      <c r="U968">
        <v>0.78174631788846927</v>
      </c>
      <c r="V968">
        <v>0.71601259749755353</v>
      </c>
      <c r="W968">
        <v>0.60449785608541295</v>
      </c>
      <c r="X968">
        <v>0.48006082636860536</v>
      </c>
      <c r="Y968">
        <v>0.42780729868766937</v>
      </c>
      <c r="Z968">
        <v>0.41229807613563979</v>
      </c>
      <c r="AA968">
        <v>0.75263255717033606</v>
      </c>
      <c r="AB968">
        <v>0.82793307829682938</v>
      </c>
      <c r="AC968">
        <v>0.64346037631875452</v>
      </c>
      <c r="AD968">
        <v>0.46287246017529948</v>
      </c>
      <c r="AE968">
        <v>176.9623423180407</v>
      </c>
      <c r="AF968">
        <v>1074.0525528388173</v>
      </c>
      <c r="AG968">
        <v>1353.9550007977234</v>
      </c>
      <c r="AH968">
        <v>12935.3521285147</v>
      </c>
      <c r="AI968">
        <v>9612.5777656854516</v>
      </c>
      <c r="AJ968">
        <v>37359.462632790826</v>
      </c>
      <c r="AK968">
        <v>10638.814727284691</v>
      </c>
      <c r="AL968">
        <v>2113.7031309963122</v>
      </c>
      <c r="AM968">
        <v>307.11936713913434</v>
      </c>
      <c r="AO968">
        <v>45136.78464922015</v>
      </c>
      <c r="AP968">
        <v>13.134220640693584</v>
      </c>
      <c r="AQ968">
        <v>45312.946155796621</v>
      </c>
      <c r="AR968">
        <v>13.290371549886201</v>
      </c>
      <c r="AS968" s="2">
        <f t="shared" si="106"/>
        <v>176.16150657647086</v>
      </c>
      <c r="AT968" s="2">
        <f t="shared" si="107"/>
        <v>0.15615090919261654</v>
      </c>
      <c r="AV968">
        <f t="shared" si="108"/>
        <v>1268285.2794201383</v>
      </c>
      <c r="AW968">
        <f t="shared" si="109"/>
        <v>1283724.2088328237</v>
      </c>
      <c r="AY968">
        <f t="shared" si="110"/>
        <v>0</v>
      </c>
      <c r="AZ968">
        <f t="shared" si="111"/>
        <v>1</v>
      </c>
    </row>
    <row r="969" spans="1:52" x14ac:dyDescent="0.2">
      <c r="A969">
        <f t="shared" si="105"/>
        <v>965</v>
      </c>
      <c r="B969">
        <v>2.3600053647670642E-2</v>
      </c>
      <c r="C969">
        <v>3.862031640599739E-2</v>
      </c>
      <c r="D969">
        <v>4.3000442947624729E-2</v>
      </c>
      <c r="E969">
        <v>2.8020024724254688E-2</v>
      </c>
      <c r="F969">
        <v>3.3038607546008328E-3</v>
      </c>
      <c r="G969">
        <v>7.4496845359004246E-3</v>
      </c>
      <c r="H969">
        <v>3.9229130211669516E-2</v>
      </c>
      <c r="I969">
        <v>0.13299429122048378</v>
      </c>
      <c r="J969">
        <v>0</v>
      </c>
      <c r="K969">
        <v>0.4120364433406597</v>
      </c>
      <c r="L969">
        <v>0.17485561547723272</v>
      </c>
      <c r="M969">
        <v>0.82514438452276728</v>
      </c>
      <c r="N969">
        <v>6.2665063060713844E-2</v>
      </c>
      <c r="O969" s="72">
        <v>0.99999731084159693</v>
      </c>
      <c r="P969">
        <v>0.9917625401426643</v>
      </c>
      <c r="Q969">
        <v>0.9893671281503057</v>
      </c>
      <c r="R969">
        <v>0.48247748766786391</v>
      </c>
      <c r="S969">
        <v>0.36288796697899517</v>
      </c>
      <c r="T969">
        <v>0.23391596543156834</v>
      </c>
      <c r="U969">
        <v>0.76655744712926455</v>
      </c>
      <c r="V969">
        <v>0.6747494602244889</v>
      </c>
      <c r="W969">
        <v>0.51158441803517252</v>
      </c>
      <c r="X969">
        <v>0.47295936361837754</v>
      </c>
      <c r="Y969">
        <v>0.44476737536032929</v>
      </c>
      <c r="Z969">
        <v>0.41297142283247296</v>
      </c>
      <c r="AA969">
        <v>0.70296075917602363</v>
      </c>
      <c r="AB969">
        <v>0.82025834263038588</v>
      </c>
      <c r="AC969">
        <v>0.68598570364164879</v>
      </c>
      <c r="AD969">
        <v>0.60186403580966896</v>
      </c>
      <c r="AE969">
        <v>348.45137473848678</v>
      </c>
      <c r="AF969">
        <v>1425.9910140139775</v>
      </c>
      <c r="AG969">
        <v>1284.1067936475697</v>
      </c>
      <c r="AH969">
        <v>13402.966487905918</v>
      </c>
      <c r="AI969">
        <v>16415.804926734651</v>
      </c>
      <c r="AJ969">
        <v>39156.806320902455</v>
      </c>
      <c r="AK969">
        <v>12755.097336441129</v>
      </c>
      <c r="AL969">
        <v>2329.1305481733257</v>
      </c>
      <c r="AM969">
        <v>275.60294367476138</v>
      </c>
      <c r="AO969">
        <v>42471.621171723687</v>
      </c>
      <c r="AP969">
        <v>13.22707191774886</v>
      </c>
      <c r="AQ969">
        <v>45100.389434652876</v>
      </c>
      <c r="AR969">
        <v>13.451442597546388</v>
      </c>
      <c r="AS969" s="2">
        <f t="shared" si="106"/>
        <v>2628.7682629291885</v>
      </c>
      <c r="AT969" s="2">
        <f t="shared" si="107"/>
        <v>0.22437067979752712</v>
      </c>
      <c r="AV969">
        <f t="shared" si="108"/>
        <v>1280235.5706031625</v>
      </c>
      <c r="AW969">
        <f t="shared" si="109"/>
        <v>1300043.8703199858</v>
      </c>
      <c r="AY969">
        <f t="shared" si="110"/>
        <v>0</v>
      </c>
      <c r="AZ969">
        <f t="shared" si="111"/>
        <v>1</v>
      </c>
    </row>
    <row r="970" spans="1:52" x14ac:dyDescent="0.2">
      <c r="A970">
        <f t="shared" si="105"/>
        <v>966</v>
      </c>
      <c r="B970">
        <v>1.7231781904494054E-2</v>
      </c>
      <c r="C970">
        <v>3.2470780322882704E-2</v>
      </c>
      <c r="D970">
        <v>5.8175541098343886E-2</v>
      </c>
      <c r="E970">
        <v>1.4227598138550235E-2</v>
      </c>
      <c r="F970">
        <v>3.2393646333169226E-3</v>
      </c>
      <c r="G970">
        <v>1.0897836010700986E-2</v>
      </c>
      <c r="H970">
        <v>4.1763864872338075E-2</v>
      </c>
      <c r="I970">
        <v>0.12275183092127255</v>
      </c>
      <c r="J970">
        <v>0</v>
      </c>
      <c r="K970">
        <v>0.46207663255395981</v>
      </c>
      <c r="L970">
        <v>0.27620413865925941</v>
      </c>
      <c r="M970">
        <v>0.72379586134074059</v>
      </c>
      <c r="N970">
        <v>4.3802217496120177E-2</v>
      </c>
      <c r="O970" s="72">
        <v>0.99773972445349834</v>
      </c>
      <c r="P970">
        <v>0.99997709677936697</v>
      </c>
      <c r="Q970">
        <v>0.96829909893408095</v>
      </c>
      <c r="R970">
        <v>0.48830029314176682</v>
      </c>
      <c r="S970">
        <v>0.4235254806025065</v>
      </c>
      <c r="T970">
        <v>0.28993807351881762</v>
      </c>
      <c r="U970">
        <v>0.77390597984245202</v>
      </c>
      <c r="V970">
        <v>0.65077228322337333</v>
      </c>
      <c r="W970">
        <v>0.49930437790493298</v>
      </c>
      <c r="X970">
        <v>0.44138262908853865</v>
      </c>
      <c r="Y970">
        <v>0.46840612269460613</v>
      </c>
      <c r="Z970">
        <v>0.44633327080994789</v>
      </c>
      <c r="AA970">
        <v>0.6845130082362556</v>
      </c>
      <c r="AB970">
        <v>0.8600427864704856</v>
      </c>
      <c r="AC970">
        <v>0.65386756394672707</v>
      </c>
      <c r="AD970">
        <v>0.63063504943717408</v>
      </c>
      <c r="AE970">
        <v>195.48329171448097</v>
      </c>
      <c r="AF970">
        <v>1061.4380849305558</v>
      </c>
      <c r="AG970">
        <v>1306.3468948866412</v>
      </c>
      <c r="AH970">
        <v>13488.973258679107</v>
      </c>
      <c r="AI970">
        <v>12020.216374516771</v>
      </c>
      <c r="AJ970">
        <v>38186.541609134089</v>
      </c>
      <c r="AK970">
        <v>14816.988257246549</v>
      </c>
      <c r="AL970">
        <v>2406.5941206334874</v>
      </c>
      <c r="AM970">
        <v>332.54093442020809</v>
      </c>
      <c r="AO970">
        <v>41137.259068118241</v>
      </c>
      <c r="AP970">
        <v>13.760941544256893</v>
      </c>
      <c r="AQ970">
        <v>45664.867288207039</v>
      </c>
      <c r="AR970">
        <v>13.98405965626163</v>
      </c>
      <c r="AS970" s="2">
        <f t="shared" si="106"/>
        <v>4527.6082200887977</v>
      </c>
      <c r="AT970" s="2">
        <f t="shared" si="107"/>
        <v>0.22311811200473741</v>
      </c>
      <c r="AV970">
        <f t="shared" si="108"/>
        <v>1334956.8953575711</v>
      </c>
      <c r="AW970">
        <f t="shared" si="109"/>
        <v>1352741.098337956</v>
      </c>
      <c r="AY970">
        <f t="shared" si="110"/>
        <v>0</v>
      </c>
      <c r="AZ970">
        <f t="shared" si="111"/>
        <v>1</v>
      </c>
    </row>
    <row r="971" spans="1:52" x14ac:dyDescent="0.2">
      <c r="A971">
        <f t="shared" si="105"/>
        <v>967</v>
      </c>
      <c r="B971">
        <v>2.3702952645345936E-2</v>
      </c>
      <c r="C971">
        <v>3.442651409579886E-2</v>
      </c>
      <c r="D971">
        <v>3.877900462374817E-2</v>
      </c>
      <c r="E971">
        <v>7.820053539009969E-3</v>
      </c>
      <c r="F971">
        <v>3.3616804840280734E-3</v>
      </c>
      <c r="G971">
        <v>1.4780227712872795E-2</v>
      </c>
      <c r="H971">
        <v>3.4616907678048481E-2</v>
      </c>
      <c r="I971">
        <v>0.13221412770451169</v>
      </c>
      <c r="J971">
        <v>0</v>
      </c>
      <c r="K971">
        <v>0.43902065733943418</v>
      </c>
      <c r="L971">
        <v>0.1494607541182269</v>
      </c>
      <c r="M971">
        <v>0.8505392458817731</v>
      </c>
      <c r="N971">
        <v>6.0763771995216542E-2</v>
      </c>
      <c r="O971" s="72">
        <v>0.99986113299414225</v>
      </c>
      <c r="P971">
        <v>0.9923026888643367</v>
      </c>
      <c r="Q971">
        <v>0.9803647619917657</v>
      </c>
      <c r="R971">
        <v>0.53451531392554297</v>
      </c>
      <c r="S971">
        <v>0.32956465619473219</v>
      </c>
      <c r="T971">
        <v>0.21310189771823651</v>
      </c>
      <c r="U971">
        <v>0.76548303530067507</v>
      </c>
      <c r="V971">
        <v>0.69727251747559715</v>
      </c>
      <c r="W971">
        <v>0.60087631950390785</v>
      </c>
      <c r="X971">
        <v>0.44417034744105316</v>
      </c>
      <c r="Y971">
        <v>0.42149187309813602</v>
      </c>
      <c r="Z971">
        <v>0.46232413024830032</v>
      </c>
      <c r="AA971">
        <v>0.65744077259136824</v>
      </c>
      <c r="AB971">
        <v>0.83441740980319046</v>
      </c>
      <c r="AC971">
        <v>0.74864658989164923</v>
      </c>
      <c r="AD971">
        <v>0.62993535805660317</v>
      </c>
      <c r="AE971">
        <v>273.68838170700462</v>
      </c>
      <c r="AF971">
        <v>843.02800541616807</v>
      </c>
      <c r="AG971">
        <v>1859.082950225622</v>
      </c>
      <c r="AH971">
        <v>14997.930935049846</v>
      </c>
      <c r="AI971">
        <v>13583.984780854309</v>
      </c>
      <c r="AJ971">
        <v>40423.74469194813</v>
      </c>
      <c r="AK971">
        <v>17878.4619555932</v>
      </c>
      <c r="AL971">
        <v>2503.7997716174132</v>
      </c>
      <c r="AM971">
        <v>325.64547418077922</v>
      </c>
      <c r="AO971">
        <v>41786.887800901932</v>
      </c>
      <c r="AP971">
        <v>13.61765973914477</v>
      </c>
      <c r="AQ971">
        <v>45861.501620581876</v>
      </c>
      <c r="AR971">
        <v>13.798271463812847</v>
      </c>
      <c r="AS971" s="2">
        <f t="shared" si="106"/>
        <v>4074.6138196799438</v>
      </c>
      <c r="AT971" s="2">
        <f t="shared" si="107"/>
        <v>0.1806117246680774</v>
      </c>
      <c r="AV971">
        <f t="shared" si="108"/>
        <v>1319979.0861135751</v>
      </c>
      <c r="AW971">
        <f t="shared" si="109"/>
        <v>1333965.644760703</v>
      </c>
      <c r="AY971">
        <f t="shared" si="110"/>
        <v>0</v>
      </c>
      <c r="AZ971">
        <f t="shared" si="111"/>
        <v>1</v>
      </c>
    </row>
    <row r="972" spans="1:52" x14ac:dyDescent="0.2">
      <c r="A972">
        <f t="shared" si="105"/>
        <v>968</v>
      </c>
      <c r="B972">
        <v>2.8832618789332631E-2</v>
      </c>
      <c r="C972">
        <v>4.100726435865687E-2</v>
      </c>
      <c r="D972">
        <v>3.1574103208377391E-2</v>
      </c>
      <c r="E972">
        <v>8.6977619871364317E-3</v>
      </c>
      <c r="F972">
        <v>3.3951179567579537E-3</v>
      </c>
      <c r="G972">
        <v>1.1595099522573874E-2</v>
      </c>
      <c r="H972">
        <v>3.1640040487963539E-2</v>
      </c>
      <c r="I972">
        <v>0.11618830665037073</v>
      </c>
      <c r="J972">
        <v>0</v>
      </c>
      <c r="K972">
        <v>0.49739541019968636</v>
      </c>
      <c r="L972">
        <v>0.29228531626454013</v>
      </c>
      <c r="M972">
        <v>0.70771468373545987</v>
      </c>
      <c r="N972">
        <v>3.402729410665134E-2</v>
      </c>
      <c r="O972" s="72">
        <v>0.99889624833512181</v>
      </c>
      <c r="P972">
        <v>0.99999822826513962</v>
      </c>
      <c r="Q972">
        <v>0.98884616716438645</v>
      </c>
      <c r="R972">
        <v>0.46211971476253122</v>
      </c>
      <c r="S972">
        <v>0.35239965117720706</v>
      </c>
      <c r="T972">
        <v>0.25263444111625466</v>
      </c>
      <c r="U972">
        <v>0.78780673490228614</v>
      </c>
      <c r="V972">
        <v>0.67509851798007658</v>
      </c>
      <c r="W972">
        <v>0.56035496297131415</v>
      </c>
      <c r="X972">
        <v>0.47818913616914815</v>
      </c>
      <c r="Y972">
        <v>0.47420314423383281</v>
      </c>
      <c r="Z972">
        <v>0.47296300997601737</v>
      </c>
      <c r="AA972">
        <v>0.62439605531715103</v>
      </c>
      <c r="AB972">
        <v>0.78297651059328366</v>
      </c>
      <c r="AC972">
        <v>0.72753362983801773</v>
      </c>
      <c r="AD972">
        <v>0.60882116445588486</v>
      </c>
      <c r="AE972">
        <v>223.80664025953558</v>
      </c>
      <c r="AF972">
        <v>1000.9080795925128</v>
      </c>
      <c r="AG972">
        <v>1637.1595874169354</v>
      </c>
      <c r="AH972">
        <v>14254.326545006468</v>
      </c>
      <c r="AI972">
        <v>16107.862763063496</v>
      </c>
      <c r="AJ972">
        <v>40876.634629498461</v>
      </c>
      <c r="AK972">
        <v>15863.506018209839</v>
      </c>
      <c r="AL972">
        <v>2113.3484230110198</v>
      </c>
      <c r="AM972">
        <v>333.38313254654736</v>
      </c>
      <c r="AO972">
        <v>44237.444778472338</v>
      </c>
      <c r="AP972">
        <v>12.904355731492515</v>
      </c>
      <c r="AQ972">
        <v>45687.146881403831</v>
      </c>
      <c r="AR972">
        <v>13.019893922264032</v>
      </c>
      <c r="AS972" s="2">
        <f t="shared" si="106"/>
        <v>1449.7021029314928</v>
      </c>
      <c r="AT972" s="2">
        <f t="shared" si="107"/>
        <v>0.11553819077151672</v>
      </c>
      <c r="AV972">
        <f t="shared" si="108"/>
        <v>1246198.1283707791</v>
      </c>
      <c r="AW972">
        <f t="shared" si="109"/>
        <v>1256302.2453449992</v>
      </c>
      <c r="AY972">
        <f t="shared" si="110"/>
        <v>0</v>
      </c>
      <c r="AZ972">
        <f t="shared" si="111"/>
        <v>1</v>
      </c>
    </row>
    <row r="973" spans="1:52" x14ac:dyDescent="0.2">
      <c r="A973">
        <f t="shared" si="105"/>
        <v>969</v>
      </c>
      <c r="B973">
        <v>2.1108862716421789E-2</v>
      </c>
      <c r="C973">
        <v>4.5532136391106204E-2</v>
      </c>
      <c r="D973">
        <v>2.088281586232936E-2</v>
      </c>
      <c r="E973">
        <v>1.7911444930079012E-2</v>
      </c>
      <c r="F973">
        <v>3.3475861056606604E-3</v>
      </c>
      <c r="G973">
        <v>9.8370040983031537E-3</v>
      </c>
      <c r="H973">
        <v>2.7735218666842618E-2</v>
      </c>
      <c r="I973">
        <v>0.13019649680633028</v>
      </c>
      <c r="J973">
        <v>0</v>
      </c>
      <c r="K973">
        <v>0.44862787520745773</v>
      </c>
      <c r="L973">
        <v>0.21154692524933694</v>
      </c>
      <c r="M973">
        <v>0.78845307475066306</v>
      </c>
      <c r="N973">
        <v>5.4960859930721501E-2</v>
      </c>
      <c r="O973" s="72">
        <v>0.9978805002161818</v>
      </c>
      <c r="P973">
        <v>0.99706497976941189</v>
      </c>
      <c r="Q973">
        <v>0.97844635004971525</v>
      </c>
      <c r="R973">
        <v>0.49452839412607075</v>
      </c>
      <c r="S973">
        <v>0.3785229453771517</v>
      </c>
      <c r="T973">
        <v>0.21035933097589288</v>
      </c>
      <c r="U973">
        <v>0.76565963184174946</v>
      </c>
      <c r="V973">
        <v>0.53192745514863438</v>
      </c>
      <c r="W973">
        <v>0.6079524622432666</v>
      </c>
      <c r="X973">
        <v>0.41497767663582658</v>
      </c>
      <c r="Y973">
        <v>0.46146022591002389</v>
      </c>
      <c r="Z973">
        <v>0.44070919342261999</v>
      </c>
      <c r="AA973">
        <v>0.68762146694752924</v>
      </c>
      <c r="AB973">
        <v>0.8402887572465686</v>
      </c>
      <c r="AC973">
        <v>0.72893141535128803</v>
      </c>
      <c r="AD973">
        <v>0.71601590274206439</v>
      </c>
      <c r="AE973">
        <v>252.83228769181048</v>
      </c>
      <c r="AF973">
        <v>1139.0351051069338</v>
      </c>
      <c r="AG973">
        <v>1865.0898191794618</v>
      </c>
      <c r="AH973">
        <v>10722.254607466297</v>
      </c>
      <c r="AI973">
        <v>11301.262524075531</v>
      </c>
      <c r="AJ973">
        <v>40296.13043324813</v>
      </c>
      <c r="AK973">
        <v>18281.111772940054</v>
      </c>
      <c r="AL973">
        <v>1978.0471575790223</v>
      </c>
      <c r="AM973">
        <v>366.78012567645226</v>
      </c>
      <c r="AO973">
        <v>43312.171450704976</v>
      </c>
      <c r="AP973">
        <v>13.721701595456548</v>
      </c>
      <c r="AQ973">
        <v>46300.957889578633</v>
      </c>
      <c r="AR973">
        <v>13.961419902735541</v>
      </c>
      <c r="AS973" s="2">
        <f t="shared" si="106"/>
        <v>2988.7864388736562</v>
      </c>
      <c r="AT973" s="2">
        <f t="shared" si="107"/>
        <v>0.23971830727899324</v>
      </c>
      <c r="AV973">
        <f t="shared" si="108"/>
        <v>1328857.9880949496</v>
      </c>
      <c r="AW973">
        <f t="shared" si="109"/>
        <v>1349841.0323839756</v>
      </c>
      <c r="AY973">
        <f t="shared" si="110"/>
        <v>0</v>
      </c>
      <c r="AZ973">
        <f t="shared" si="111"/>
        <v>1</v>
      </c>
    </row>
    <row r="974" spans="1:52" x14ac:dyDescent="0.2">
      <c r="A974">
        <f t="shared" si="105"/>
        <v>970</v>
      </c>
      <c r="B974">
        <v>2.7200929121320994E-2</v>
      </c>
      <c r="C974">
        <v>2.5675015232807175E-2</v>
      </c>
      <c r="D974">
        <v>5.4099099213412272E-2</v>
      </c>
      <c r="E974">
        <v>2.4923512172574269E-2</v>
      </c>
      <c r="F974">
        <v>3.2859161044742702E-3</v>
      </c>
      <c r="G974">
        <v>1.1589823012116208E-2</v>
      </c>
      <c r="H974">
        <v>1.1112906691230155E-2</v>
      </c>
      <c r="I974">
        <v>0.13109872442622161</v>
      </c>
      <c r="J974">
        <v>0</v>
      </c>
      <c r="K974">
        <v>0.46896777428400349</v>
      </c>
      <c r="L974">
        <v>0.2533515786697248</v>
      </c>
      <c r="M974">
        <v>0.7466484213302752</v>
      </c>
      <c r="N974">
        <v>5.6717812251707356E-2</v>
      </c>
      <c r="O974" s="72">
        <v>0.99960691211545261</v>
      </c>
      <c r="P974">
        <v>0.9999845011109928</v>
      </c>
      <c r="Q974">
        <v>0.92026228342844052</v>
      </c>
      <c r="R974">
        <v>0.43494467585356211</v>
      </c>
      <c r="S974">
        <v>0.4076970631540191</v>
      </c>
      <c r="T974">
        <v>0.27533161003419859</v>
      </c>
      <c r="U974">
        <v>0.76896030702771501</v>
      </c>
      <c r="V974">
        <v>0.63711958391420309</v>
      </c>
      <c r="W974">
        <v>0.5153809667058975</v>
      </c>
      <c r="X974">
        <v>0.52900953483897029</v>
      </c>
      <c r="Y974">
        <v>0.45601183495299658</v>
      </c>
      <c r="Z974">
        <v>0.44111219733204404</v>
      </c>
      <c r="AA974">
        <v>0.67603063485998471</v>
      </c>
      <c r="AB974">
        <v>0.82927648608982674</v>
      </c>
      <c r="AC974">
        <v>0.73106834313757263</v>
      </c>
      <c r="AD974">
        <v>0.55934054045931769</v>
      </c>
      <c r="AE974">
        <v>153.75186880011506</v>
      </c>
      <c r="AF974">
        <v>1063.3285240908058</v>
      </c>
      <c r="AG974">
        <v>1463.2843078235678</v>
      </c>
      <c r="AH974">
        <v>11870.232796759128</v>
      </c>
      <c r="AI974">
        <v>6360.7140517904718</v>
      </c>
      <c r="AJ974">
        <v>35627.87617243077</v>
      </c>
      <c r="AK974">
        <v>12025.357696502751</v>
      </c>
      <c r="AL974">
        <v>3347.9086750813963</v>
      </c>
      <c r="AM974">
        <v>392.60591884943011</v>
      </c>
      <c r="AO974">
        <v>45013.305677382574</v>
      </c>
      <c r="AP974">
        <v>13.375637854910716</v>
      </c>
      <c r="AQ974">
        <v>46708.046595977576</v>
      </c>
      <c r="AR974">
        <v>13.597185842739741</v>
      </c>
      <c r="AS974" s="2">
        <f t="shared" si="106"/>
        <v>1694.7409185950019</v>
      </c>
      <c r="AT974" s="2">
        <f t="shared" si="107"/>
        <v>0.22154798782902496</v>
      </c>
      <c r="AV974">
        <f t="shared" si="108"/>
        <v>1292550.4798136891</v>
      </c>
      <c r="AW974">
        <f t="shared" si="109"/>
        <v>1313010.5376779966</v>
      </c>
      <c r="AY974">
        <f t="shared" si="110"/>
        <v>0</v>
      </c>
      <c r="AZ974">
        <f t="shared" si="111"/>
        <v>1</v>
      </c>
    </row>
    <row r="975" spans="1:52" x14ac:dyDescent="0.2">
      <c r="A975">
        <f t="shared" si="105"/>
        <v>971</v>
      </c>
      <c r="B975">
        <v>2.8983956877879025E-2</v>
      </c>
      <c r="C975">
        <v>4.1860975619814167E-2</v>
      </c>
      <c r="D975">
        <v>2.1573500698812167E-2</v>
      </c>
      <c r="E975">
        <v>2.769926347978835E-2</v>
      </c>
      <c r="F975">
        <v>3.2641604324706399E-3</v>
      </c>
      <c r="G975">
        <v>2.5159020397672927E-2</v>
      </c>
      <c r="H975">
        <v>4.3178444914329317E-2</v>
      </c>
      <c r="I975">
        <v>0.13349734384101264</v>
      </c>
      <c r="J975">
        <v>0</v>
      </c>
      <c r="K975">
        <v>0.41434264531426107</v>
      </c>
      <c r="L975">
        <v>0.22801845781772456</v>
      </c>
      <c r="M975">
        <v>0.77198154218227544</v>
      </c>
      <c r="N975">
        <v>5.0609592689401212E-2</v>
      </c>
      <c r="O975" s="72">
        <v>0.99971984131587055</v>
      </c>
      <c r="P975">
        <v>0.9999650560543244</v>
      </c>
      <c r="Q975">
        <v>0.97231115790577283</v>
      </c>
      <c r="R975">
        <v>0.44951569902762956</v>
      </c>
      <c r="S975">
        <v>0.41880127297374592</v>
      </c>
      <c r="T975">
        <v>0.13196974589555444</v>
      </c>
      <c r="U975">
        <v>0.78867001496949241</v>
      </c>
      <c r="V975">
        <v>0.70935836716134304</v>
      </c>
      <c r="W975">
        <v>0.52539246841601062</v>
      </c>
      <c r="X975">
        <v>0.41987421682019754</v>
      </c>
      <c r="Y975">
        <v>0.47880287588523396</v>
      </c>
      <c r="Z975">
        <v>0.4405652010810116</v>
      </c>
      <c r="AA975">
        <v>0.61521357310405866</v>
      </c>
      <c r="AB975">
        <v>0.81696965205804983</v>
      </c>
      <c r="AC975">
        <v>0.70483985174343</v>
      </c>
      <c r="AD975">
        <v>0.69127381441071067</v>
      </c>
      <c r="AE975">
        <v>168.81627208830307</v>
      </c>
      <c r="AF975">
        <v>1220.8712711540218</v>
      </c>
      <c r="AG975">
        <v>1622.202696069478</v>
      </c>
      <c r="AH975">
        <v>12182.918539886254</v>
      </c>
      <c r="AI975">
        <v>10303.746485975969</v>
      </c>
      <c r="AJ975">
        <v>37761.270983262628</v>
      </c>
      <c r="AK975">
        <v>13819.56640766929</v>
      </c>
      <c r="AL975">
        <v>1291.7942656700081</v>
      </c>
      <c r="AM975">
        <v>422.90579629579742</v>
      </c>
      <c r="AO975">
        <v>47989.500740523406</v>
      </c>
      <c r="AP975">
        <v>13.273359682943953</v>
      </c>
      <c r="AQ975">
        <v>47027.240917494724</v>
      </c>
      <c r="AR975">
        <v>13.560813085600191</v>
      </c>
      <c r="AS975" s="2">
        <f t="shared" si="106"/>
        <v>-962.25982302868215</v>
      </c>
      <c r="AT975" s="2">
        <f t="shared" si="107"/>
        <v>0.28745340265623831</v>
      </c>
      <c r="AV975">
        <f t="shared" si="108"/>
        <v>1279346.4675538719</v>
      </c>
      <c r="AW975">
        <f t="shared" si="109"/>
        <v>1309054.0676425244</v>
      </c>
      <c r="AY975">
        <f t="shared" si="110"/>
        <v>0</v>
      </c>
      <c r="AZ975">
        <f t="shared" si="111"/>
        <v>1</v>
      </c>
    </row>
    <row r="976" spans="1:52" x14ac:dyDescent="0.2">
      <c r="A976">
        <f t="shared" si="105"/>
        <v>972</v>
      </c>
      <c r="B976">
        <v>3.3365888893238993E-2</v>
      </c>
      <c r="C976">
        <v>4.7371823029221716E-2</v>
      </c>
      <c r="D976">
        <v>6.1273447153081695E-2</v>
      </c>
      <c r="E976">
        <v>1.577613400656519E-2</v>
      </c>
      <c r="F976">
        <v>3.2543347244939854E-3</v>
      </c>
      <c r="G976">
        <v>1.1174143158952743E-2</v>
      </c>
      <c r="H976">
        <v>2.9663938974280768E-2</v>
      </c>
      <c r="I976">
        <v>0.11508814020417278</v>
      </c>
      <c r="J976">
        <v>0</v>
      </c>
      <c r="K976">
        <v>0.3942005085124094</v>
      </c>
      <c r="L976">
        <v>0.24400004599101155</v>
      </c>
      <c r="M976">
        <v>0.75599995400898845</v>
      </c>
      <c r="N976">
        <v>6.5042660773408145E-2</v>
      </c>
      <c r="O976" s="72">
        <v>0.97089758351987543</v>
      </c>
      <c r="P976">
        <v>0.99987723750201796</v>
      </c>
      <c r="Q976">
        <v>0.98708814840147308</v>
      </c>
      <c r="R976">
        <v>0.4353886625111032</v>
      </c>
      <c r="S976">
        <v>0.41619415226821965</v>
      </c>
      <c r="T976">
        <v>0.28414510679124994</v>
      </c>
      <c r="U976">
        <v>0.79334886098998481</v>
      </c>
      <c r="V976">
        <v>0.67414119886075874</v>
      </c>
      <c r="W976">
        <v>0.54167669295880283</v>
      </c>
      <c r="X976">
        <v>0.39224692085908558</v>
      </c>
      <c r="Y976">
        <v>0.42110826845063509</v>
      </c>
      <c r="Z976">
        <v>0.48652189465600781</v>
      </c>
      <c r="AA976">
        <v>0.64429768398832032</v>
      </c>
      <c r="AB976">
        <v>0.79560731999066991</v>
      </c>
      <c r="AC976">
        <v>0.73478599451191262</v>
      </c>
      <c r="AD976">
        <v>0.56484646826185037</v>
      </c>
      <c r="AE976">
        <v>248.14192307239389</v>
      </c>
      <c r="AF976">
        <v>1168.94242126212</v>
      </c>
      <c r="AG976">
        <v>1314.8616804589192</v>
      </c>
      <c r="AH976">
        <v>10095.087264765532</v>
      </c>
      <c r="AI976">
        <v>19316.947050764615</v>
      </c>
      <c r="AJ976">
        <v>37749.27124501548</v>
      </c>
      <c r="AK976">
        <v>15578.228850497126</v>
      </c>
      <c r="AL976">
        <v>1719.6901207697822</v>
      </c>
      <c r="AM976">
        <v>410.7833778913415</v>
      </c>
      <c r="AO976">
        <v>45404.820285147049</v>
      </c>
      <c r="AP976">
        <v>12.984853141362603</v>
      </c>
      <c r="AQ976">
        <v>46939.316248129624</v>
      </c>
      <c r="AR976">
        <v>13.14587934505653</v>
      </c>
      <c r="AS976" s="2">
        <f t="shared" si="106"/>
        <v>1534.4959629825753</v>
      </c>
      <c r="AT976" s="2">
        <f t="shared" si="107"/>
        <v>0.16102620369392717</v>
      </c>
      <c r="AV976">
        <f t="shared" si="108"/>
        <v>1253080.4938511131</v>
      </c>
      <c r="AW976">
        <f t="shared" si="109"/>
        <v>1267648.6182575235</v>
      </c>
      <c r="AY976">
        <f t="shared" si="110"/>
        <v>0</v>
      </c>
      <c r="AZ976">
        <f t="shared" si="111"/>
        <v>1</v>
      </c>
    </row>
    <row r="977" spans="1:52" x14ac:dyDescent="0.2">
      <c r="A977">
        <f t="shared" si="105"/>
        <v>973</v>
      </c>
      <c r="B977">
        <v>2.342076123766482E-2</v>
      </c>
      <c r="C977">
        <v>3.4857294308701145E-2</v>
      </c>
      <c r="D977">
        <v>5.0071810163502484E-2</v>
      </c>
      <c r="E977">
        <v>3.2574575685953677E-2</v>
      </c>
      <c r="F977">
        <v>3.2399696929194641E-3</v>
      </c>
      <c r="G977">
        <v>3.160689564634378E-2</v>
      </c>
      <c r="H977">
        <v>3.6174944255799146E-2</v>
      </c>
      <c r="I977">
        <v>0.12402073429821564</v>
      </c>
      <c r="J977">
        <v>0</v>
      </c>
      <c r="K977">
        <v>0.41709523356730449</v>
      </c>
      <c r="L977">
        <v>0.18096676677795892</v>
      </c>
      <c r="M977">
        <v>0.81903323322204113</v>
      </c>
      <c r="N977">
        <v>6.0957227154729288E-2</v>
      </c>
      <c r="O977" s="72">
        <v>0.99999423115900188</v>
      </c>
      <c r="P977">
        <v>0.99941175308816754</v>
      </c>
      <c r="Q977">
        <v>0.952516169923462</v>
      </c>
      <c r="R977">
        <v>0.53204463574884087</v>
      </c>
      <c r="S977">
        <v>0.44685373575737142</v>
      </c>
      <c r="T977">
        <v>0.1178614241302377</v>
      </c>
      <c r="U977">
        <v>0.76645392987646055</v>
      </c>
      <c r="V977">
        <v>0.66205125945770282</v>
      </c>
      <c r="W977">
        <v>0.62055825073740656</v>
      </c>
      <c r="X977">
        <v>0.44494387331502167</v>
      </c>
      <c r="Y977">
        <v>0.43392226803006229</v>
      </c>
      <c r="Z977">
        <v>0.4220372289408218</v>
      </c>
      <c r="AA977">
        <v>0.60593115589717295</v>
      </c>
      <c r="AB977">
        <v>0.84840198757177832</v>
      </c>
      <c r="AC977">
        <v>0.78429653253606235</v>
      </c>
      <c r="AD977">
        <v>0.64011503298347727</v>
      </c>
      <c r="AE977">
        <v>178.03145998859458</v>
      </c>
      <c r="AF977">
        <v>1024.5534343220527</v>
      </c>
      <c r="AG977">
        <v>1644.5032123426206</v>
      </c>
      <c r="AH977">
        <v>10064.984216149902</v>
      </c>
      <c r="AI977">
        <v>14429.545555474224</v>
      </c>
      <c r="AJ977">
        <v>39920.144279857181</v>
      </c>
      <c r="AK977">
        <v>13387.924338328552</v>
      </c>
      <c r="AL977">
        <v>1740.6553786015816</v>
      </c>
      <c r="AM977">
        <v>422.19614499448983</v>
      </c>
      <c r="AO977">
        <v>43608.061615171726</v>
      </c>
      <c r="AP977">
        <v>13.749382593591033</v>
      </c>
      <c r="AQ977">
        <v>47065.589581799541</v>
      </c>
      <c r="AR977">
        <v>14.069399931399131</v>
      </c>
      <c r="AS977" s="2">
        <f t="shared" si="106"/>
        <v>3457.5279666278147</v>
      </c>
      <c r="AT977" s="2">
        <f t="shared" si="107"/>
        <v>0.32001733780809793</v>
      </c>
      <c r="AV977">
        <f t="shared" si="108"/>
        <v>1331330.1977439318</v>
      </c>
      <c r="AW977">
        <f t="shared" si="109"/>
        <v>1359874.4035581136</v>
      </c>
      <c r="AY977">
        <f t="shared" si="110"/>
        <v>0</v>
      </c>
      <c r="AZ977">
        <f t="shared" si="111"/>
        <v>1</v>
      </c>
    </row>
    <row r="978" spans="1:52" x14ac:dyDescent="0.2">
      <c r="A978">
        <f t="shared" si="105"/>
        <v>974</v>
      </c>
      <c r="B978">
        <v>3.3203020013858997E-2</v>
      </c>
      <c r="C978">
        <v>3.7467327001881934E-2</v>
      </c>
      <c r="D978">
        <v>2.5004103856120483E-2</v>
      </c>
      <c r="E978">
        <v>1.6758268918702579E-2</v>
      </c>
      <c r="F978">
        <v>3.3310522748567434E-3</v>
      </c>
      <c r="G978">
        <v>7.1389634777955383E-3</v>
      </c>
      <c r="H978">
        <v>7.0303522597897516E-2</v>
      </c>
      <c r="I978">
        <v>0.14836343966367493</v>
      </c>
      <c r="J978">
        <v>0</v>
      </c>
      <c r="K978">
        <v>0.44314795191072531</v>
      </c>
      <c r="L978">
        <v>0.26405520480222333</v>
      </c>
      <c r="M978">
        <v>0.73594479519777667</v>
      </c>
      <c r="N978">
        <v>4.5659278078855524E-2</v>
      </c>
      <c r="O978" s="72">
        <v>0.99999720866485575</v>
      </c>
      <c r="P978">
        <v>0.99995283527743895</v>
      </c>
      <c r="Q978">
        <v>0.92043914315911912</v>
      </c>
      <c r="R978">
        <v>0.41314058516072438</v>
      </c>
      <c r="S978">
        <v>0.37948333577390503</v>
      </c>
      <c r="T978">
        <v>0.21699343975656404</v>
      </c>
      <c r="U978">
        <v>0.76469673640805369</v>
      </c>
      <c r="V978">
        <v>0.69944490252475011</v>
      </c>
      <c r="W978">
        <v>0.49890151589975801</v>
      </c>
      <c r="X978">
        <v>0.39787291150460669</v>
      </c>
      <c r="Y978">
        <v>0.47159197525732299</v>
      </c>
      <c r="Z978">
        <v>0.44948672503876475</v>
      </c>
      <c r="AA978">
        <v>0.69378106298149267</v>
      </c>
      <c r="AB978">
        <v>0.80658230821207766</v>
      </c>
      <c r="AC978">
        <v>0.7443153268994368</v>
      </c>
      <c r="AD978">
        <v>0.58025410055959525</v>
      </c>
      <c r="AE978">
        <v>234.36359164881827</v>
      </c>
      <c r="AF978">
        <v>1000.9378753911284</v>
      </c>
      <c r="AG978">
        <v>2050.013581172057</v>
      </c>
      <c r="AH978">
        <v>10354.655981224492</v>
      </c>
      <c r="AI978">
        <v>7565.1702683961303</v>
      </c>
      <c r="AJ978">
        <v>42013.321404445851</v>
      </c>
      <c r="AK978">
        <v>12477.326273015326</v>
      </c>
      <c r="AL978">
        <v>2056.4884079517183</v>
      </c>
      <c r="AM978">
        <v>320.31212031010114</v>
      </c>
      <c r="AO978">
        <v>47072.287400989859</v>
      </c>
      <c r="AP978">
        <v>13.140421976083147</v>
      </c>
      <c r="AQ978">
        <v>45654.251162547225</v>
      </c>
      <c r="AR978">
        <v>13.335116116642642</v>
      </c>
      <c r="AS978" s="2">
        <f t="shared" si="106"/>
        <v>-1418.0362384426335</v>
      </c>
      <c r="AT978" s="2">
        <f t="shared" si="107"/>
        <v>0.19469414055949485</v>
      </c>
      <c r="AV978">
        <f t="shared" si="108"/>
        <v>1266969.9102073249</v>
      </c>
      <c r="AW978">
        <f t="shared" si="109"/>
        <v>1287857.3605017171</v>
      </c>
      <c r="AY978">
        <f t="shared" si="110"/>
        <v>0</v>
      </c>
      <c r="AZ978">
        <f t="shared" si="111"/>
        <v>1</v>
      </c>
    </row>
    <row r="979" spans="1:52" x14ac:dyDescent="0.2">
      <c r="A979">
        <f t="shared" si="105"/>
        <v>975</v>
      </c>
      <c r="B979">
        <v>2.3268946245543789E-2</v>
      </c>
      <c r="C979">
        <v>3.0599608666950141E-2</v>
      </c>
      <c r="D979">
        <v>2.6521748684872004E-2</v>
      </c>
      <c r="E979">
        <v>1.1151042424351148E-2</v>
      </c>
      <c r="F979">
        <v>3.1921677384853758E-3</v>
      </c>
      <c r="G979">
        <v>3.884277496906885E-2</v>
      </c>
      <c r="H979">
        <v>2.5312611716707806E-2</v>
      </c>
      <c r="I979">
        <v>0.13508426643334936</v>
      </c>
      <c r="J979">
        <v>0</v>
      </c>
      <c r="K979">
        <v>0.46847564622660154</v>
      </c>
      <c r="L979">
        <v>0.21639001014858128</v>
      </c>
      <c r="M979">
        <v>0.78360998985141872</v>
      </c>
      <c r="N979">
        <v>5.3809826400645765E-2</v>
      </c>
      <c r="O979" s="72">
        <v>0.99194274852406783</v>
      </c>
      <c r="P979">
        <v>0.98155238670772293</v>
      </c>
      <c r="Q979">
        <v>0.88160550815985839</v>
      </c>
      <c r="R979">
        <v>0.44863059084571222</v>
      </c>
      <c r="S979">
        <v>0.34910944582698078</v>
      </c>
      <c r="T979">
        <v>0.18884298760945306</v>
      </c>
      <c r="U979">
        <v>0.79239535799906358</v>
      </c>
      <c r="V979">
        <v>0.68238613496461098</v>
      </c>
      <c r="W979">
        <v>0.55064816803805972</v>
      </c>
      <c r="X979">
        <v>0.44328588950253328</v>
      </c>
      <c r="Y979">
        <v>0.51446848204730822</v>
      </c>
      <c r="Z979">
        <v>0.48056635755834798</v>
      </c>
      <c r="AA979">
        <v>0.64694741798472954</v>
      </c>
      <c r="AB979">
        <v>0.81177322090769188</v>
      </c>
      <c r="AC979">
        <v>0.65437469134207837</v>
      </c>
      <c r="AD979">
        <v>0.63252679743070273</v>
      </c>
      <c r="AE979">
        <v>236.13684331674742</v>
      </c>
      <c r="AF979">
        <v>895.81359642637096</v>
      </c>
      <c r="AG979">
        <v>2132.6128605792755</v>
      </c>
      <c r="AH979">
        <v>10316.184906010058</v>
      </c>
      <c r="AI979">
        <v>11582.638970585906</v>
      </c>
      <c r="AJ979">
        <v>41034.727039816302</v>
      </c>
      <c r="AK979">
        <v>14816.703502714992</v>
      </c>
      <c r="AL979">
        <v>2109.0594605886236</v>
      </c>
      <c r="AM979">
        <v>375.51207123348485</v>
      </c>
      <c r="AO979">
        <v>46740.582400619824</v>
      </c>
      <c r="AP979">
        <v>13.14649120296</v>
      </c>
      <c r="AQ979">
        <v>47264.906834691661</v>
      </c>
      <c r="AR979">
        <v>13.313247200500106</v>
      </c>
      <c r="AS979" s="2">
        <f t="shared" si="106"/>
        <v>524.32443407183746</v>
      </c>
      <c r="AT979" s="2">
        <f t="shared" si="107"/>
        <v>0.16675599754010584</v>
      </c>
      <c r="AV979">
        <f t="shared" si="108"/>
        <v>1267908.5378953803</v>
      </c>
      <c r="AW979">
        <f t="shared" si="109"/>
        <v>1284059.8132153188</v>
      </c>
      <c r="AY979">
        <f t="shared" si="110"/>
        <v>0</v>
      </c>
      <c r="AZ979">
        <f t="shared" si="111"/>
        <v>1</v>
      </c>
    </row>
    <row r="980" spans="1:52" x14ac:dyDescent="0.2">
      <c r="A980">
        <f t="shared" si="105"/>
        <v>976</v>
      </c>
      <c r="B980">
        <v>2.5819782212997078E-2</v>
      </c>
      <c r="C980">
        <v>4.313737361193859E-2</v>
      </c>
      <c r="D980">
        <v>3.3687560538372158E-2</v>
      </c>
      <c r="E980">
        <v>8.1472398783890478E-3</v>
      </c>
      <c r="F980">
        <v>3.3168785668026076E-3</v>
      </c>
      <c r="G980">
        <v>2.3299149673859598E-2</v>
      </c>
      <c r="H980">
        <v>2.7273932933428533E-2</v>
      </c>
      <c r="I980">
        <v>0.1400650071507521</v>
      </c>
      <c r="J980">
        <v>0</v>
      </c>
      <c r="K980">
        <v>0.4206141365481213</v>
      </c>
      <c r="L980">
        <v>0.25337048248810246</v>
      </c>
      <c r="M980">
        <v>0.74662951751189754</v>
      </c>
      <c r="N980">
        <v>4.6844501982252283E-2</v>
      </c>
      <c r="O980" s="72">
        <v>0.99947796406439571</v>
      </c>
      <c r="P980">
        <v>0.9998610595589571</v>
      </c>
      <c r="Q980">
        <v>0.97736897249945354</v>
      </c>
      <c r="R980">
        <v>0.48530913973246126</v>
      </c>
      <c r="S980">
        <v>0.33493167383076805</v>
      </c>
      <c r="T980">
        <v>0.16217271642890418</v>
      </c>
      <c r="U980">
        <v>0.79125552636443008</v>
      </c>
      <c r="V980">
        <v>0.64638636155008966</v>
      </c>
      <c r="W980">
        <v>0.59608522213818049</v>
      </c>
      <c r="X980">
        <v>0.45009613081979472</v>
      </c>
      <c r="Y980">
        <v>0.46838080221142753</v>
      </c>
      <c r="Z980">
        <v>0.45915975511269524</v>
      </c>
      <c r="AA980">
        <v>0.60611764446918348</v>
      </c>
      <c r="AB980">
        <v>0.84310868186569232</v>
      </c>
      <c r="AC980">
        <v>0.77747877272324484</v>
      </c>
      <c r="AD980">
        <v>0.63005716113430443</v>
      </c>
      <c r="AE980">
        <v>288.72731563942602</v>
      </c>
      <c r="AF980">
        <v>783.09398544990586</v>
      </c>
      <c r="AG980">
        <v>1521.8153159572801</v>
      </c>
      <c r="AH980">
        <v>15737.658195830289</v>
      </c>
      <c r="AI980">
        <v>20843.090700416171</v>
      </c>
      <c r="AJ980">
        <v>41888.104050198068</v>
      </c>
      <c r="AK980">
        <v>11834.738953673414</v>
      </c>
      <c r="AL980">
        <v>1634.7245673098751</v>
      </c>
      <c r="AM980">
        <v>431.0001472112404</v>
      </c>
      <c r="AO980">
        <v>46950.640052669849</v>
      </c>
      <c r="AP980">
        <v>13.748566790174001</v>
      </c>
      <c r="AQ980">
        <v>47260.843605358888</v>
      </c>
      <c r="AR980">
        <v>13.971072344447611</v>
      </c>
      <c r="AS980" s="2">
        <f t="shared" si="106"/>
        <v>310.2035526890395</v>
      </c>
      <c r="AT980" s="2">
        <f t="shared" si="107"/>
        <v>0.22250555427361007</v>
      </c>
      <c r="AV980">
        <f t="shared" si="108"/>
        <v>1327906.0389647302</v>
      </c>
      <c r="AW980">
        <f t="shared" si="109"/>
        <v>1349846.3908394023</v>
      </c>
      <c r="AY980">
        <f t="shared" si="110"/>
        <v>0</v>
      </c>
      <c r="AZ980">
        <f t="shared" si="111"/>
        <v>1</v>
      </c>
    </row>
    <row r="981" spans="1:52" x14ac:dyDescent="0.2">
      <c r="A981">
        <f t="shared" si="105"/>
        <v>977</v>
      </c>
      <c r="B981">
        <v>2.2110770987546897E-2</v>
      </c>
      <c r="C981">
        <v>4.5799072905157945E-2</v>
      </c>
      <c r="D981">
        <v>2.0406088283729858E-2</v>
      </c>
      <c r="E981">
        <v>1.8100201487513567E-2</v>
      </c>
      <c r="F981">
        <v>3.3154002126924032E-3</v>
      </c>
      <c r="G981">
        <v>2.1434092965527964E-3</v>
      </c>
      <c r="H981">
        <v>2.7769229325469758E-2</v>
      </c>
      <c r="I981">
        <v>0.12303993924635244</v>
      </c>
      <c r="J981">
        <v>0</v>
      </c>
      <c r="K981">
        <v>0.44542230810223582</v>
      </c>
      <c r="L981">
        <v>0.20052303434915267</v>
      </c>
      <c r="M981">
        <v>0.79947696565084736</v>
      </c>
      <c r="N981">
        <v>6.5180917602047694E-2</v>
      </c>
      <c r="O981" s="72">
        <v>0.97506222499599504</v>
      </c>
      <c r="P981">
        <v>0.99970541140036606</v>
      </c>
      <c r="Q981">
        <v>0.98389469222426884</v>
      </c>
      <c r="R981">
        <v>0.52624107335116044</v>
      </c>
      <c r="S981">
        <v>0.39321795550752348</v>
      </c>
      <c r="T981">
        <v>0.23996428369094591</v>
      </c>
      <c r="U981">
        <v>0.7811186141948756</v>
      </c>
      <c r="V981">
        <v>0.64250196412025984</v>
      </c>
      <c r="W981">
        <v>0.6367410315129084</v>
      </c>
      <c r="X981">
        <v>0.44330468199193251</v>
      </c>
      <c r="Y981">
        <v>0.49194502089954284</v>
      </c>
      <c r="Z981">
        <v>0.48293546650699049</v>
      </c>
      <c r="AA981">
        <v>0.6287567118053049</v>
      </c>
      <c r="AB981">
        <v>0.81528538477463519</v>
      </c>
      <c r="AC981">
        <v>0.85045490061027373</v>
      </c>
      <c r="AD981">
        <v>0.58176782907270308</v>
      </c>
      <c r="AE981">
        <v>172.58118941790482</v>
      </c>
      <c r="AF981">
        <v>955.69947901178057</v>
      </c>
      <c r="AG981">
        <v>1938.430632620368</v>
      </c>
      <c r="AH981">
        <v>12138.604836535296</v>
      </c>
      <c r="AI981">
        <v>8411.5740691503306</v>
      </c>
      <c r="AJ981">
        <v>40494.498060375692</v>
      </c>
      <c r="AK981">
        <v>18366.570544788141</v>
      </c>
      <c r="AL981">
        <v>2650.8856960411031</v>
      </c>
      <c r="AM981">
        <v>413.2706892822045</v>
      </c>
      <c r="AO981">
        <v>41674.541755218052</v>
      </c>
      <c r="AP981">
        <v>13.523329556251731</v>
      </c>
      <c r="AQ981">
        <v>46990.19160831668</v>
      </c>
      <c r="AR981">
        <v>13.651637876094096</v>
      </c>
      <c r="AS981" s="2">
        <f t="shared" si="106"/>
        <v>5315.6498530986282</v>
      </c>
      <c r="AT981" s="2">
        <f t="shared" si="107"/>
        <v>0.12830831984236468</v>
      </c>
      <c r="AV981">
        <f t="shared" si="108"/>
        <v>1310658.4138699551</v>
      </c>
      <c r="AW981">
        <f t="shared" si="109"/>
        <v>1318173.5960010928</v>
      </c>
      <c r="AY981">
        <f t="shared" si="110"/>
        <v>0</v>
      </c>
      <c r="AZ981">
        <f t="shared" si="111"/>
        <v>1</v>
      </c>
    </row>
    <row r="982" spans="1:52" x14ac:dyDescent="0.2">
      <c r="A982">
        <f t="shared" si="105"/>
        <v>978</v>
      </c>
      <c r="B982">
        <v>3.5652151348414152E-2</v>
      </c>
      <c r="C982">
        <v>3.5055995705312461E-2</v>
      </c>
      <c r="D982">
        <v>4.0401814871899089E-2</v>
      </c>
      <c r="E982">
        <v>1.1538279793293414E-2</v>
      </c>
      <c r="F982">
        <v>3.2677582643005562E-3</v>
      </c>
      <c r="G982">
        <v>1.0552137150966799E-2</v>
      </c>
      <c r="H982">
        <v>2.5723543874483872E-2</v>
      </c>
      <c r="I982">
        <v>0.12792374880208413</v>
      </c>
      <c r="J982">
        <v>0</v>
      </c>
      <c r="K982">
        <v>0.42479674680143459</v>
      </c>
      <c r="L982">
        <v>0.20225846859839611</v>
      </c>
      <c r="M982">
        <v>0.79774153140160386</v>
      </c>
      <c r="N982">
        <v>6.2649486074349392E-2</v>
      </c>
      <c r="O982" s="72">
        <v>0.99606003276678223</v>
      </c>
      <c r="P982">
        <v>0.95131424643787632</v>
      </c>
      <c r="Q982">
        <v>0.92160804117809048</v>
      </c>
      <c r="R982">
        <v>0.46424936330025879</v>
      </c>
      <c r="S982">
        <v>0.39749784623872897</v>
      </c>
      <c r="T982">
        <v>0.21751298662376517</v>
      </c>
      <c r="U982">
        <v>0.76296397737722144</v>
      </c>
      <c r="V982">
        <v>0.59960766003115251</v>
      </c>
      <c r="W982">
        <v>0.56431472075397182</v>
      </c>
      <c r="X982">
        <v>0.46128709736719986</v>
      </c>
      <c r="Y982">
        <v>0.47736619436227912</v>
      </c>
      <c r="Z982">
        <v>0.42474652925539247</v>
      </c>
      <c r="AA982">
        <v>0.73226661751243161</v>
      </c>
      <c r="AB982">
        <v>0.93330548938258984</v>
      </c>
      <c r="AC982">
        <v>0.73790311027501687</v>
      </c>
      <c r="AD982">
        <v>0.531803595753917</v>
      </c>
      <c r="AE982">
        <v>218.45262628712501</v>
      </c>
      <c r="AF982">
        <v>968.56417969651568</v>
      </c>
      <c r="AG982">
        <v>951.73821187940723</v>
      </c>
      <c r="AH982">
        <v>14058.180270208542</v>
      </c>
      <c r="AI982">
        <v>6710.4586905547731</v>
      </c>
      <c r="AJ982">
        <v>40081.083985355348</v>
      </c>
      <c r="AK982">
        <v>13982.801314065448</v>
      </c>
      <c r="AL982">
        <v>1755.2702628063905</v>
      </c>
      <c r="AM982">
        <v>397.25279567328374</v>
      </c>
      <c r="AO982">
        <v>44800.108293752564</v>
      </c>
      <c r="AP982">
        <v>14.667003588204951</v>
      </c>
      <c r="AQ982">
        <v>48413.913596598861</v>
      </c>
      <c r="AR982">
        <v>15.004382536287594</v>
      </c>
      <c r="AS982" s="2">
        <f t="shared" si="106"/>
        <v>3613.8053028462964</v>
      </c>
      <c r="AT982" s="2">
        <f t="shared" si="107"/>
        <v>0.33737894808264279</v>
      </c>
      <c r="AV982">
        <f t="shared" si="108"/>
        <v>1421900.2505267423</v>
      </c>
      <c r="AW982">
        <f t="shared" si="109"/>
        <v>1452024.3400321605</v>
      </c>
      <c r="AY982">
        <f t="shared" si="110"/>
        <v>0</v>
      </c>
      <c r="AZ982">
        <f t="shared" si="111"/>
        <v>1</v>
      </c>
    </row>
    <row r="983" spans="1:52" x14ac:dyDescent="0.2">
      <c r="A983">
        <f t="shared" si="105"/>
        <v>979</v>
      </c>
      <c r="B983">
        <v>2.1348443353310317E-2</v>
      </c>
      <c r="C983">
        <v>4.360622352525334E-2</v>
      </c>
      <c r="D983">
        <v>2.7938968960416088E-2</v>
      </c>
      <c r="E983">
        <v>4.6578182964293266E-3</v>
      </c>
      <c r="F983">
        <v>3.3269636255624751E-3</v>
      </c>
      <c r="G983">
        <v>6.5020932358797199E-3</v>
      </c>
      <c r="H983">
        <v>2.7497635289449197E-2</v>
      </c>
      <c r="I983">
        <v>0.10815357215275649</v>
      </c>
      <c r="J983">
        <v>0</v>
      </c>
      <c r="K983">
        <v>0.41802960550488966</v>
      </c>
      <c r="L983">
        <v>0.20583391264070552</v>
      </c>
      <c r="M983">
        <v>0.7941660873592945</v>
      </c>
      <c r="N983">
        <v>8.1100428279545334E-2</v>
      </c>
      <c r="O983" s="72">
        <v>0.99891797274356475</v>
      </c>
      <c r="P983">
        <v>0.99992659002736661</v>
      </c>
      <c r="Q983">
        <v>0.96219600724882137</v>
      </c>
      <c r="R983">
        <v>0.54689229629661107</v>
      </c>
      <c r="S983">
        <v>0.53925225440219193</v>
      </c>
      <c r="T983">
        <v>0.19278275606343653</v>
      </c>
      <c r="U983">
        <v>0.79339676431697082</v>
      </c>
      <c r="V983">
        <v>0.62622066121794617</v>
      </c>
      <c r="W983">
        <v>0.52136636050055452</v>
      </c>
      <c r="X983">
        <v>0.45171988075561065</v>
      </c>
      <c r="Y983">
        <v>0.42475995647721987</v>
      </c>
      <c r="Z983">
        <v>0.38335784801926509</v>
      </c>
      <c r="AA983">
        <v>0.61751127322961363</v>
      </c>
      <c r="AB983">
        <v>0.79653408839789985</v>
      </c>
      <c r="AC983">
        <v>0.76159658701448796</v>
      </c>
      <c r="AD983">
        <v>0.5552140620322652</v>
      </c>
      <c r="AE983">
        <v>146.57510073383671</v>
      </c>
      <c r="AF983">
        <v>1200.1753868120256</v>
      </c>
      <c r="AG983">
        <v>1644.2301644078102</v>
      </c>
      <c r="AH983">
        <v>12719.478094992759</v>
      </c>
      <c r="AI983">
        <v>12190.045886238395</v>
      </c>
      <c r="AJ983">
        <v>35798.012158929916</v>
      </c>
      <c r="AK983">
        <v>15122.150662249818</v>
      </c>
      <c r="AL983">
        <v>1960.1617762983797</v>
      </c>
      <c r="AM983">
        <v>341.14257295261689</v>
      </c>
      <c r="AO983">
        <v>39703.287135128769</v>
      </c>
      <c r="AP983">
        <v>13.099867344516724</v>
      </c>
      <c r="AQ983">
        <v>45835.201593634934</v>
      </c>
      <c r="AR983">
        <v>13.195676453621239</v>
      </c>
      <c r="AS983" s="2">
        <f t="shared" si="106"/>
        <v>6131.9144585061658</v>
      </c>
      <c r="AT983" s="2">
        <f t="shared" si="107"/>
        <v>9.5809109104514789E-2</v>
      </c>
      <c r="AV983">
        <f t="shared" si="108"/>
        <v>1270283.4473165437</v>
      </c>
      <c r="AW983">
        <f t="shared" si="109"/>
        <v>1273732.4437684889</v>
      </c>
      <c r="AY983">
        <f t="shared" si="110"/>
        <v>0</v>
      </c>
      <c r="AZ983">
        <f t="shared" si="111"/>
        <v>1</v>
      </c>
    </row>
    <row r="984" spans="1:52" x14ac:dyDescent="0.2">
      <c r="A984">
        <f t="shared" si="105"/>
        <v>980</v>
      </c>
      <c r="B984">
        <v>2.6760865029749614E-2</v>
      </c>
      <c r="C984">
        <v>4.1273905197012573E-2</v>
      </c>
      <c r="D984">
        <v>4.3503063548793297E-2</v>
      </c>
      <c r="E984">
        <v>8.9890272305161289E-3</v>
      </c>
      <c r="F984">
        <v>2.994205245540785E-3</v>
      </c>
      <c r="G984">
        <v>4.0405825428333425E-3</v>
      </c>
      <c r="H984">
        <v>3.2986604846307555E-2</v>
      </c>
      <c r="I984">
        <v>0.12542126357827282</v>
      </c>
      <c r="J984">
        <v>0</v>
      </c>
      <c r="K984">
        <v>0.43565274769737372</v>
      </c>
      <c r="L984">
        <v>0.2629154079938949</v>
      </c>
      <c r="M984">
        <v>0.7370845920061051</v>
      </c>
      <c r="N984">
        <v>5.2045608563013164E-2</v>
      </c>
      <c r="O984" s="72">
        <v>0.99947536281163318</v>
      </c>
      <c r="P984">
        <v>0.99988745096785259</v>
      </c>
      <c r="Q984">
        <v>0.98332025494339392</v>
      </c>
      <c r="R984">
        <v>0.48525532886546718</v>
      </c>
      <c r="S984">
        <v>0.42406913714505945</v>
      </c>
      <c r="T984">
        <v>0.20105943610013532</v>
      </c>
      <c r="U984">
        <v>0.77395627172299097</v>
      </c>
      <c r="V984">
        <v>0.61804896335977266</v>
      </c>
      <c r="W984">
        <v>0.44008569355765192</v>
      </c>
      <c r="X984">
        <v>0.47648666483265789</v>
      </c>
      <c r="Y984">
        <v>0.46802525864389222</v>
      </c>
      <c r="Z984">
        <v>0.50734165166169398</v>
      </c>
      <c r="AA984">
        <v>0.60125655027348879</v>
      </c>
      <c r="AB984">
        <v>0.73862427581516643</v>
      </c>
      <c r="AC984">
        <v>0.66849381534760566</v>
      </c>
      <c r="AD984">
        <v>0.66310304126446507</v>
      </c>
      <c r="AE984">
        <v>223.82417528885679</v>
      </c>
      <c r="AF984">
        <v>1142.3838850089651</v>
      </c>
      <c r="AG984">
        <v>2444.1025381862396</v>
      </c>
      <c r="AH984">
        <v>11116.705013360721</v>
      </c>
      <c r="AI984">
        <v>7267.4383376169353</v>
      </c>
      <c r="AJ984">
        <v>33287.50900105969</v>
      </c>
      <c r="AK984">
        <v>13088.40215503589</v>
      </c>
      <c r="AL984">
        <v>1932.7794275312708</v>
      </c>
      <c r="AM984">
        <v>330.84866362685244</v>
      </c>
      <c r="AO984">
        <v>43152.339987773834</v>
      </c>
      <c r="AP984">
        <v>12.211064342872692</v>
      </c>
      <c r="AQ984">
        <v>45635.428348681307</v>
      </c>
      <c r="AR984">
        <v>12.373899287806958</v>
      </c>
      <c r="AS984" s="2">
        <f t="shared" si="106"/>
        <v>2483.0883609074735</v>
      </c>
      <c r="AT984" s="2">
        <f t="shared" si="107"/>
        <v>0.16283494493426609</v>
      </c>
      <c r="AV984">
        <f t="shared" si="108"/>
        <v>1177954.0942994952</v>
      </c>
      <c r="AW984">
        <f t="shared" si="109"/>
        <v>1191754.5004320145</v>
      </c>
      <c r="AY984">
        <f t="shared" si="110"/>
        <v>0</v>
      </c>
      <c r="AZ984">
        <f t="shared" si="111"/>
        <v>1</v>
      </c>
    </row>
    <row r="985" spans="1:52" x14ac:dyDescent="0.2">
      <c r="A985">
        <f t="shared" si="105"/>
        <v>981</v>
      </c>
      <c r="B985">
        <v>2.9800222604370541E-2</v>
      </c>
      <c r="C985">
        <v>2.9462625621044639E-2</v>
      </c>
      <c r="D985">
        <v>2.9685882639242711E-2</v>
      </c>
      <c r="E985">
        <v>1.0334439754180703E-2</v>
      </c>
      <c r="F985">
        <v>3.3407313923463633E-3</v>
      </c>
      <c r="G985">
        <v>2.1804160796000771E-3</v>
      </c>
      <c r="H985">
        <v>3.2004096379020908E-2</v>
      </c>
      <c r="I985">
        <v>0.11061888875808808</v>
      </c>
      <c r="J985">
        <v>0</v>
      </c>
      <c r="K985">
        <v>0.47853768827776133</v>
      </c>
      <c r="L985">
        <v>0.17955278861388249</v>
      </c>
      <c r="M985">
        <v>0.82044721138611754</v>
      </c>
      <c r="N985">
        <v>6.0830553926248365E-2</v>
      </c>
      <c r="O985" s="72">
        <v>0.99998063007037197</v>
      </c>
      <c r="P985">
        <v>0.99261237436693406</v>
      </c>
      <c r="Q985">
        <v>0.95887294335849271</v>
      </c>
      <c r="R985">
        <v>0.48670980200538483</v>
      </c>
      <c r="S985">
        <v>0.30460359804897807</v>
      </c>
      <c r="T985">
        <v>0.17612528292665763</v>
      </c>
      <c r="U985">
        <v>0.78913159333266913</v>
      </c>
      <c r="V985">
        <v>0.68282110593451728</v>
      </c>
      <c r="W985">
        <v>0.50121571836091561</v>
      </c>
      <c r="X985">
        <v>0.44923934686272948</v>
      </c>
      <c r="Y985">
        <v>0.40964853629877146</v>
      </c>
      <c r="Z985">
        <v>0.44175601399514941</v>
      </c>
      <c r="AA985">
        <v>0.66474881847204481</v>
      </c>
      <c r="AB985">
        <v>0.84334417909992676</v>
      </c>
      <c r="AC985">
        <v>0.69561510621110423</v>
      </c>
      <c r="AD985">
        <v>0.6456644271782066</v>
      </c>
      <c r="AE985">
        <v>180.67749999976223</v>
      </c>
      <c r="AF985">
        <v>1032.1806089542292</v>
      </c>
      <c r="AG985">
        <v>1676.2242471281486</v>
      </c>
      <c r="AH985">
        <v>15404.736048462568</v>
      </c>
      <c r="AI985">
        <v>11700.443588277245</v>
      </c>
      <c r="AJ985">
        <v>42649.050517626165</v>
      </c>
      <c r="AK985">
        <v>11212.4566644028</v>
      </c>
      <c r="AL985">
        <v>1822.1416084393816</v>
      </c>
      <c r="AM985">
        <v>380.3166948416627</v>
      </c>
      <c r="AO985">
        <v>46236.774701048278</v>
      </c>
      <c r="AP985">
        <v>13.612731337159214</v>
      </c>
      <c r="AQ985">
        <v>46761.972208214524</v>
      </c>
      <c r="AR985">
        <v>13.848239062089629</v>
      </c>
      <c r="AS985" s="2">
        <f t="shared" si="106"/>
        <v>525.19750716624549</v>
      </c>
      <c r="AT985" s="2">
        <f t="shared" si="107"/>
        <v>0.2355077249304145</v>
      </c>
      <c r="AV985">
        <f t="shared" si="108"/>
        <v>1315036.3590148732</v>
      </c>
      <c r="AW985">
        <f t="shared" si="109"/>
        <v>1338061.9340007484</v>
      </c>
      <c r="AY985">
        <f t="shared" si="110"/>
        <v>0</v>
      </c>
      <c r="AZ985">
        <f t="shared" si="111"/>
        <v>1</v>
      </c>
    </row>
    <row r="986" spans="1:52" x14ac:dyDescent="0.2">
      <c r="A986">
        <f t="shared" si="105"/>
        <v>982</v>
      </c>
      <c r="B986">
        <v>2.3315997955951465E-2</v>
      </c>
      <c r="C986">
        <v>2.1797749699082054E-2</v>
      </c>
      <c r="D986">
        <v>3.0558865534435094E-2</v>
      </c>
      <c r="E986">
        <v>3.5290693509702931E-2</v>
      </c>
      <c r="F986">
        <v>3.2866667417138342E-3</v>
      </c>
      <c r="G986">
        <v>1.0219058291983208E-2</v>
      </c>
      <c r="H986">
        <v>3.3453162031047867E-2</v>
      </c>
      <c r="I986">
        <v>0.13786636332150548</v>
      </c>
      <c r="J986">
        <v>0</v>
      </c>
      <c r="K986">
        <v>0.44086017525046362</v>
      </c>
      <c r="L986">
        <v>0.16647675592626046</v>
      </c>
      <c r="M986">
        <v>0.83352324407373957</v>
      </c>
      <c r="N986">
        <v>5.1283926916496241E-2</v>
      </c>
      <c r="O986" s="72">
        <v>0.9992934221609977</v>
      </c>
      <c r="P986">
        <v>0.99860008988294979</v>
      </c>
      <c r="Q986">
        <v>0.98703364903459734</v>
      </c>
      <c r="R986">
        <v>0.43981726477816141</v>
      </c>
      <c r="S986">
        <v>0.48661388857799481</v>
      </c>
      <c r="T986">
        <v>0.15137342076456362</v>
      </c>
      <c r="U986">
        <v>0.77573883492237905</v>
      </c>
      <c r="V986">
        <v>0.66882007975362834</v>
      </c>
      <c r="W986">
        <v>0.66645706814721783</v>
      </c>
      <c r="X986">
        <v>0.44888750588523213</v>
      </c>
      <c r="Y986">
        <v>0.4494061326647722</v>
      </c>
      <c r="Z986">
        <v>0.40618110445534328</v>
      </c>
      <c r="AA986">
        <v>0.56943507768443968</v>
      </c>
      <c r="AB986">
        <v>0.85380896606185441</v>
      </c>
      <c r="AC986">
        <v>0.72278776567168457</v>
      </c>
      <c r="AD986">
        <v>0.59896680230626564</v>
      </c>
      <c r="AE986">
        <v>220.70979966248643</v>
      </c>
      <c r="AF986">
        <v>964.00379416903127</v>
      </c>
      <c r="AG986">
        <v>1558.5655665882555</v>
      </c>
      <c r="AH986">
        <v>12385.632273249681</v>
      </c>
      <c r="AI986">
        <v>11354.038472462538</v>
      </c>
      <c r="AJ986">
        <v>44470.888382438221</v>
      </c>
      <c r="AK986">
        <v>15339.440784583981</v>
      </c>
      <c r="AL986">
        <v>2199.2609893215858</v>
      </c>
      <c r="AM986">
        <v>290.53918958118703</v>
      </c>
      <c r="AO986">
        <v>44956.146355306693</v>
      </c>
      <c r="AP986">
        <v>13.71964693332095</v>
      </c>
      <c r="AQ986">
        <v>44974.841658215446</v>
      </c>
      <c r="AR986">
        <v>13.9787478357038</v>
      </c>
      <c r="AS986" s="2">
        <f t="shared" si="106"/>
        <v>18.695302908752637</v>
      </c>
      <c r="AT986" s="2">
        <f t="shared" si="107"/>
        <v>0.25910090238284944</v>
      </c>
      <c r="AV986">
        <f t="shared" si="108"/>
        <v>1327008.5469767882</v>
      </c>
      <c r="AW986">
        <f t="shared" si="109"/>
        <v>1352899.9419121644</v>
      </c>
      <c r="AY986">
        <f t="shared" si="110"/>
        <v>0</v>
      </c>
      <c r="AZ986">
        <f t="shared" si="111"/>
        <v>1</v>
      </c>
    </row>
    <row r="987" spans="1:52" x14ac:dyDescent="0.2">
      <c r="A987">
        <f t="shared" si="105"/>
        <v>983</v>
      </c>
      <c r="B987">
        <v>2.34621592287158E-2</v>
      </c>
      <c r="C987">
        <v>3.9670661701988408E-2</v>
      </c>
      <c r="D987">
        <v>4.3308665256711731E-2</v>
      </c>
      <c r="E987">
        <v>1.1917839383437157E-2</v>
      </c>
      <c r="F987">
        <v>3.3571839146179228E-3</v>
      </c>
      <c r="G987">
        <v>9.7639129171889025E-3</v>
      </c>
      <c r="H987">
        <v>2.6503880803960232E-2</v>
      </c>
      <c r="I987">
        <v>0.10662364466525365</v>
      </c>
      <c r="J987">
        <v>0</v>
      </c>
      <c r="K987">
        <v>0.42171463227549283</v>
      </c>
      <c r="L987">
        <v>0.22685206181637518</v>
      </c>
      <c r="M987">
        <v>0.77314793818362482</v>
      </c>
      <c r="N987">
        <v>5.1538019993284626E-2</v>
      </c>
      <c r="O987" s="72">
        <v>0.9999764657398178</v>
      </c>
      <c r="P987">
        <v>0.99996669120014114</v>
      </c>
      <c r="Q987">
        <v>0.95914596939644192</v>
      </c>
      <c r="R987">
        <v>0.52732806980083735</v>
      </c>
      <c r="S987">
        <v>0.32406348417977082</v>
      </c>
      <c r="T987">
        <v>0.31232116757744433</v>
      </c>
      <c r="U987">
        <v>0.78576049700519723</v>
      </c>
      <c r="V987">
        <v>0.66812282697843561</v>
      </c>
      <c r="W987">
        <v>0.53639317699193101</v>
      </c>
      <c r="X987">
        <v>0.41082247823882406</v>
      </c>
      <c r="Y987">
        <v>0.42220552705061604</v>
      </c>
      <c r="Z987">
        <v>0.44339950364655983</v>
      </c>
      <c r="AA987">
        <v>0.63225149780669776</v>
      </c>
      <c r="AB987">
        <v>0.75597655974735256</v>
      </c>
      <c r="AC987">
        <v>0.679082957225975</v>
      </c>
      <c r="AD987">
        <v>0.53924823412255418</v>
      </c>
      <c r="AE987">
        <v>224.58017716064245</v>
      </c>
      <c r="AF987">
        <v>872.22713406963385</v>
      </c>
      <c r="AG987">
        <v>1456.7927525547777</v>
      </c>
      <c r="AH987">
        <v>12458.68329903415</v>
      </c>
      <c r="AI987">
        <v>9360.2537249012257</v>
      </c>
      <c r="AJ987">
        <v>36918.661656053147</v>
      </c>
      <c r="AK987">
        <v>14036.498286747797</v>
      </c>
      <c r="AL987">
        <v>1329.1882057413061</v>
      </c>
      <c r="AM987">
        <v>268.76611880946058</v>
      </c>
      <c r="AO987">
        <v>39383.891024664284</v>
      </c>
      <c r="AP987">
        <v>12.383237038860916</v>
      </c>
      <c r="AQ987">
        <v>44713.058479772699</v>
      </c>
      <c r="AR987">
        <v>12.46088359592763</v>
      </c>
      <c r="AS987" s="2">
        <f t="shared" si="106"/>
        <v>5329.1674551084143</v>
      </c>
      <c r="AT987" s="2">
        <f t="shared" si="107"/>
        <v>7.7646557066714195E-2</v>
      </c>
      <c r="AV987">
        <f t="shared" si="108"/>
        <v>1198939.8128614272</v>
      </c>
      <c r="AW987">
        <f t="shared" si="109"/>
        <v>1201375.3011129904</v>
      </c>
      <c r="AY987">
        <f t="shared" si="110"/>
        <v>0</v>
      </c>
      <c r="AZ987">
        <f t="shared" si="111"/>
        <v>1</v>
      </c>
    </row>
    <row r="988" spans="1:52" x14ac:dyDescent="0.2">
      <c r="A988">
        <f t="shared" si="105"/>
        <v>984</v>
      </c>
      <c r="B988">
        <v>2.5646287296465453E-2</v>
      </c>
      <c r="C988">
        <v>3.8363716315376051E-2</v>
      </c>
      <c r="D988">
        <v>2.9083989685508696E-2</v>
      </c>
      <c r="E988">
        <v>8.7860284096809276E-3</v>
      </c>
      <c r="F988">
        <v>3.2193846074844022E-3</v>
      </c>
      <c r="G988">
        <v>1.0437701951142856E-2</v>
      </c>
      <c r="H988">
        <v>3.377826861983646E-2</v>
      </c>
      <c r="I988">
        <v>0.12864532997186057</v>
      </c>
      <c r="J988">
        <v>0</v>
      </c>
      <c r="K988">
        <v>0.459446915503394</v>
      </c>
      <c r="L988">
        <v>0.13746649566113095</v>
      </c>
      <c r="M988">
        <v>0.86253350433886911</v>
      </c>
      <c r="N988">
        <v>6.8399204359079424E-2</v>
      </c>
      <c r="O988" s="72">
        <v>0.9878345340091701</v>
      </c>
      <c r="P988">
        <v>0.9999137936645327</v>
      </c>
      <c r="Q988">
        <v>0.95460646537577232</v>
      </c>
      <c r="R988">
        <v>0.42345177985635951</v>
      </c>
      <c r="S988">
        <v>0.43055501148697339</v>
      </c>
      <c r="T988">
        <v>0.19119129025201809</v>
      </c>
      <c r="U988">
        <v>0.78687286058254635</v>
      </c>
      <c r="V988">
        <v>0.66336525636833343</v>
      </c>
      <c r="W988">
        <v>0.5379914957725811</v>
      </c>
      <c r="X988">
        <v>0.44021796770170452</v>
      </c>
      <c r="Y988">
        <v>0.4724916924323187</v>
      </c>
      <c r="Z988">
        <v>0.44975227710445936</v>
      </c>
      <c r="AA988">
        <v>0.71020413253943337</v>
      </c>
      <c r="AB988">
        <v>0.89323575088033702</v>
      </c>
      <c r="AC988">
        <v>0.72212565991766819</v>
      </c>
      <c r="AD988">
        <v>0.59705233104225863</v>
      </c>
      <c r="AE988">
        <v>121.55147159530095</v>
      </c>
      <c r="AF988">
        <v>1105.9376430488383</v>
      </c>
      <c r="AG988">
        <v>1494.359933686645</v>
      </c>
      <c r="AH988">
        <v>13604.397956981442</v>
      </c>
      <c r="AI988">
        <v>9169.6178435468992</v>
      </c>
      <c r="AJ988">
        <v>34695.221631401524</v>
      </c>
      <c r="AK988">
        <v>11702.694017289712</v>
      </c>
      <c r="AL988">
        <v>2170.7682840039415</v>
      </c>
      <c r="AM988">
        <v>398.56929491180779</v>
      </c>
      <c r="AO988">
        <v>47424.992374910675</v>
      </c>
      <c r="AP988">
        <v>14.239475659231767</v>
      </c>
      <c r="AQ988">
        <v>46738.485641183441</v>
      </c>
      <c r="AR988">
        <v>14.521944327565173</v>
      </c>
      <c r="AS988" s="2">
        <f t="shared" si="106"/>
        <v>-686.50673372723395</v>
      </c>
      <c r="AT988" s="2">
        <f t="shared" si="107"/>
        <v>0.28246866833340611</v>
      </c>
      <c r="AV988">
        <f t="shared" si="108"/>
        <v>1376522.573548266</v>
      </c>
      <c r="AW988">
        <f t="shared" si="109"/>
        <v>1405455.947115334</v>
      </c>
      <c r="AY988">
        <f t="shared" si="110"/>
        <v>0</v>
      </c>
      <c r="AZ988">
        <f t="shared" si="111"/>
        <v>1</v>
      </c>
    </row>
    <row r="989" spans="1:52" x14ac:dyDescent="0.2">
      <c r="A989">
        <f t="shared" si="105"/>
        <v>985</v>
      </c>
      <c r="B989">
        <v>2.7831078190798997E-2</v>
      </c>
      <c r="C989">
        <v>3.1023092382018107E-2</v>
      </c>
      <c r="D989">
        <v>4.3064069680487482E-2</v>
      </c>
      <c r="E989">
        <v>3.2771294946147491E-3</v>
      </c>
      <c r="F989">
        <v>3.3230255196926867E-3</v>
      </c>
      <c r="G989">
        <v>8.6561529804875248E-3</v>
      </c>
      <c r="H989">
        <v>1.8233784842500093E-2</v>
      </c>
      <c r="I989">
        <v>0.11460685411643345</v>
      </c>
      <c r="J989">
        <v>0</v>
      </c>
      <c r="K989">
        <v>0.46416120442737008</v>
      </c>
      <c r="L989">
        <v>0.20713766535633188</v>
      </c>
      <c r="M989">
        <v>0.79286233464366807</v>
      </c>
      <c r="N989">
        <v>7.5732164743184449E-2</v>
      </c>
      <c r="O989" s="72">
        <v>0.9996369842627334</v>
      </c>
      <c r="P989">
        <v>0.99931314453245834</v>
      </c>
      <c r="Q989">
        <v>0.94318648575591313</v>
      </c>
      <c r="R989">
        <v>0.45875398904541265</v>
      </c>
      <c r="S989">
        <v>0.37111430090331865</v>
      </c>
      <c r="T989">
        <v>0.24949890109823736</v>
      </c>
      <c r="U989">
        <v>0.783043976041088</v>
      </c>
      <c r="V989">
        <v>0.66384561817932841</v>
      </c>
      <c r="W989">
        <v>0.57007823857929008</v>
      </c>
      <c r="X989">
        <v>0.45507510124097839</v>
      </c>
      <c r="Y989">
        <v>0.4800838605830644</v>
      </c>
      <c r="Z989">
        <v>0.44324993397086021</v>
      </c>
      <c r="AA989">
        <v>0.66854888873433993</v>
      </c>
      <c r="AB989">
        <v>0.8253548330948155</v>
      </c>
      <c r="AC989">
        <v>0.73610077295762733</v>
      </c>
      <c r="AD989">
        <v>0.63879583133713624</v>
      </c>
      <c r="AE989">
        <v>226.7007477940582</v>
      </c>
      <c r="AF989">
        <v>1032.211363295015</v>
      </c>
      <c r="AG989">
        <v>1972.1027225318978</v>
      </c>
      <c r="AH989">
        <v>10830.348639953696</v>
      </c>
      <c r="AI989">
        <v>7963.5576322085053</v>
      </c>
      <c r="AJ989">
        <v>45252.836061345166</v>
      </c>
      <c r="AK989">
        <v>14702.859909419451</v>
      </c>
      <c r="AL989">
        <v>1838.0354452573285</v>
      </c>
      <c r="AM989">
        <v>395.56878439219241</v>
      </c>
      <c r="AO989">
        <v>45037.224822354598</v>
      </c>
      <c r="AP989">
        <v>13.484759227686945</v>
      </c>
      <c r="AQ989">
        <v>46798.611209570394</v>
      </c>
      <c r="AR989">
        <v>13.662033565498367</v>
      </c>
      <c r="AS989" s="2">
        <f t="shared" si="106"/>
        <v>1761.3863872157963</v>
      </c>
      <c r="AT989" s="2">
        <f t="shared" si="107"/>
        <v>0.1772743378114221</v>
      </c>
      <c r="AV989">
        <f t="shared" si="108"/>
        <v>1303438.6979463401</v>
      </c>
      <c r="AW989">
        <f t="shared" si="109"/>
        <v>1319404.7453402663</v>
      </c>
      <c r="AY989">
        <f t="shared" si="110"/>
        <v>0</v>
      </c>
      <c r="AZ989">
        <f t="shared" si="111"/>
        <v>1</v>
      </c>
    </row>
    <row r="990" spans="1:52" x14ac:dyDescent="0.2">
      <c r="A990">
        <f t="shared" si="105"/>
        <v>986</v>
      </c>
      <c r="B990">
        <v>2.318397652892068E-2</v>
      </c>
      <c r="C990">
        <v>5.1670058770114546E-2</v>
      </c>
      <c r="D990">
        <v>4.5414168769227881E-2</v>
      </c>
      <c r="E990">
        <v>3.7185727279647677E-3</v>
      </c>
      <c r="F990">
        <v>3.3031160553731432E-3</v>
      </c>
      <c r="G990">
        <v>2.4696534284979421E-2</v>
      </c>
      <c r="H990">
        <v>4.9964814782380462E-2</v>
      </c>
      <c r="I990">
        <v>0.11754213875825498</v>
      </c>
      <c r="J990">
        <v>0</v>
      </c>
      <c r="K990">
        <v>0.43692316308017076</v>
      </c>
      <c r="L990">
        <v>0.20969140553335675</v>
      </c>
      <c r="M990">
        <v>0.79030859446664325</v>
      </c>
      <c r="N990">
        <v>6.0825965414324612E-2</v>
      </c>
      <c r="O990" s="72">
        <v>0.99963608134297577</v>
      </c>
      <c r="P990">
        <v>0.99752832902052813</v>
      </c>
      <c r="Q990">
        <v>0.98351144117008726</v>
      </c>
      <c r="R990">
        <v>0.50358827353256408</v>
      </c>
      <c r="S990">
        <v>0.3425133768005274</v>
      </c>
      <c r="T990">
        <v>0.21588939305878208</v>
      </c>
      <c r="U990">
        <v>0.78097815299362483</v>
      </c>
      <c r="V990">
        <v>0.61120110129307759</v>
      </c>
      <c r="W990">
        <v>0.51221265024549778</v>
      </c>
      <c r="X990">
        <v>0.46042874064289641</v>
      </c>
      <c r="Y990">
        <v>0.42205351811996233</v>
      </c>
      <c r="Z990">
        <v>0.49687850391412913</v>
      </c>
      <c r="AA990">
        <v>0.66068744218349662</v>
      </c>
      <c r="AB990">
        <v>0.79442394766855073</v>
      </c>
      <c r="AC990">
        <v>0.63063329068907814</v>
      </c>
      <c r="AD990">
        <v>0.63744736075697428</v>
      </c>
      <c r="AE990">
        <v>248.01384625149782</v>
      </c>
      <c r="AF990">
        <v>1232.7070278883507</v>
      </c>
      <c r="AG990">
        <v>1534.5465915725035</v>
      </c>
      <c r="AH990">
        <v>17774.396283227641</v>
      </c>
      <c r="AI990">
        <v>16059.138076459581</v>
      </c>
      <c r="AJ990">
        <v>46393.217020122196</v>
      </c>
      <c r="AK990">
        <v>15311.189829451725</v>
      </c>
      <c r="AL990">
        <v>2672.7312405464836</v>
      </c>
      <c r="AM990">
        <v>459.63449488469604</v>
      </c>
      <c r="AO990">
        <v>45230.344729763507</v>
      </c>
      <c r="AP990">
        <v>12.866266712496756</v>
      </c>
      <c r="AQ990">
        <v>47844.159054981748</v>
      </c>
      <c r="AR990">
        <v>13.04223328039761</v>
      </c>
      <c r="AS990" s="2">
        <f t="shared" si="106"/>
        <v>2613.8143252182417</v>
      </c>
      <c r="AT990" s="2">
        <f t="shared" si="107"/>
        <v>0.17596656790085419</v>
      </c>
      <c r="AV990">
        <f t="shared" si="108"/>
        <v>1241396.3265199121</v>
      </c>
      <c r="AW990">
        <f t="shared" si="109"/>
        <v>1256379.1689847792</v>
      </c>
      <c r="AY990">
        <f t="shared" si="110"/>
        <v>0</v>
      </c>
      <c r="AZ990">
        <f t="shared" si="111"/>
        <v>1</v>
      </c>
    </row>
    <row r="991" spans="1:52" x14ac:dyDescent="0.2">
      <c r="A991">
        <f t="shared" si="105"/>
        <v>987</v>
      </c>
      <c r="B991">
        <v>2.1439930546653E-2</v>
      </c>
      <c r="C991">
        <v>4.1236368095611264E-2</v>
      </c>
      <c r="D991">
        <v>3.5510079031727766E-2</v>
      </c>
      <c r="E991">
        <v>4.1097954395587534E-3</v>
      </c>
      <c r="F991">
        <v>3.3629733637171588E-3</v>
      </c>
      <c r="G991">
        <v>6.0240904131059689E-3</v>
      </c>
      <c r="H991">
        <v>4.1260481057312837E-2</v>
      </c>
      <c r="I991">
        <v>0.11686436762998068</v>
      </c>
      <c r="J991">
        <v>0</v>
      </c>
      <c r="K991">
        <v>0.38158971748771164</v>
      </c>
      <c r="L991">
        <v>0.22860569997421509</v>
      </c>
      <c r="M991">
        <v>0.77139430002578491</v>
      </c>
      <c r="N991">
        <v>6.3361822033063064E-2</v>
      </c>
      <c r="O991" s="72">
        <v>0.99500131819587256</v>
      </c>
      <c r="P991">
        <v>0.9943689646005035</v>
      </c>
      <c r="Q991">
        <v>0.84889296726653307</v>
      </c>
      <c r="R991">
        <v>0.48821804926337886</v>
      </c>
      <c r="S991">
        <v>0.32019739257183688</v>
      </c>
      <c r="T991">
        <v>0.32955869390980286</v>
      </c>
      <c r="U991">
        <v>0.74338982558601352</v>
      </c>
      <c r="V991">
        <v>0.70613667849978423</v>
      </c>
      <c r="W991">
        <v>0.54641834701958925</v>
      </c>
      <c r="X991">
        <v>0.4280841860579746</v>
      </c>
      <c r="Y991">
        <v>0.41891548705806131</v>
      </c>
      <c r="Z991">
        <v>0.44648043440951474</v>
      </c>
      <c r="AA991">
        <v>0.71284617995497102</v>
      </c>
      <c r="AB991">
        <v>0.82343145548433361</v>
      </c>
      <c r="AC991">
        <v>0.75067805784718789</v>
      </c>
      <c r="AD991">
        <v>0.61377316596983655</v>
      </c>
      <c r="AE991">
        <v>206.97968490474324</v>
      </c>
      <c r="AF991">
        <v>1233.1300659450267</v>
      </c>
      <c r="AG991">
        <v>1818.8453873821109</v>
      </c>
      <c r="AH991">
        <v>10983.64462822799</v>
      </c>
      <c r="AI991">
        <v>12501.533216831644</v>
      </c>
      <c r="AJ991">
        <v>39055.688880612986</v>
      </c>
      <c r="AK991">
        <v>13460.30017708</v>
      </c>
      <c r="AL991">
        <v>2529.0350218089529</v>
      </c>
      <c r="AM991">
        <v>426.93849931403247</v>
      </c>
      <c r="AO991">
        <v>43448.349540665251</v>
      </c>
      <c r="AP991">
        <v>13.464564289195826</v>
      </c>
      <c r="AQ991">
        <v>47855.101380112254</v>
      </c>
      <c r="AR991">
        <v>13.624237668937885</v>
      </c>
      <c r="AS991" s="2">
        <f t="shared" si="106"/>
        <v>4406.7518394470026</v>
      </c>
      <c r="AT991" s="2">
        <f t="shared" si="107"/>
        <v>0.15967337974205975</v>
      </c>
      <c r="AV991">
        <f t="shared" si="108"/>
        <v>1303008.0793789173</v>
      </c>
      <c r="AW991">
        <f t="shared" si="109"/>
        <v>1314568.6655136761</v>
      </c>
      <c r="AY991">
        <f t="shared" si="110"/>
        <v>0</v>
      </c>
      <c r="AZ991">
        <f t="shared" si="111"/>
        <v>1</v>
      </c>
    </row>
    <row r="992" spans="1:52" x14ac:dyDescent="0.2">
      <c r="A992">
        <f t="shared" si="105"/>
        <v>988</v>
      </c>
      <c r="B992">
        <v>2.7335361050677909E-2</v>
      </c>
      <c r="C992">
        <v>3.8362732158105928E-2</v>
      </c>
      <c r="D992">
        <v>4.6752023984489521E-2</v>
      </c>
      <c r="E992">
        <v>7.1805904987836495E-3</v>
      </c>
      <c r="F992">
        <v>3.2035450654889649E-3</v>
      </c>
      <c r="G992">
        <v>1.659540113766278E-2</v>
      </c>
      <c r="H992">
        <v>1.633580210587076E-2</v>
      </c>
      <c r="I992">
        <v>0.1508991807093446</v>
      </c>
      <c r="J992">
        <v>0</v>
      </c>
      <c r="K992">
        <v>0.433428460726064</v>
      </c>
      <c r="L992">
        <v>0.16703220508444677</v>
      </c>
      <c r="M992">
        <v>0.83296779491555317</v>
      </c>
      <c r="N992">
        <v>6.7912049192074275E-2</v>
      </c>
      <c r="O992" s="72">
        <v>0.99451560718442455</v>
      </c>
      <c r="P992">
        <v>0.99999994994794472</v>
      </c>
      <c r="Q992">
        <v>0.94378906832820786</v>
      </c>
      <c r="R992">
        <v>0.48533230838749097</v>
      </c>
      <c r="S992">
        <v>0.39063023998914315</v>
      </c>
      <c r="T992">
        <v>0.2371980979717262</v>
      </c>
      <c r="U992">
        <v>0.75416494584058391</v>
      </c>
      <c r="V992">
        <v>0.68636363488646235</v>
      </c>
      <c r="W992">
        <v>0.55092155101023355</v>
      </c>
      <c r="X992">
        <v>0.39213000858407199</v>
      </c>
      <c r="Y992">
        <v>0.49214979349646004</v>
      </c>
      <c r="Z992">
        <v>0.50565297180724755</v>
      </c>
      <c r="AA992">
        <v>0.67847027033498608</v>
      </c>
      <c r="AB992">
        <v>0.83754915281670239</v>
      </c>
      <c r="AC992">
        <v>0.73298742907442849</v>
      </c>
      <c r="AD992">
        <v>0.55843620440524411</v>
      </c>
      <c r="AE992">
        <v>205.3927168443017</v>
      </c>
      <c r="AF992">
        <v>1120.1185882816801</v>
      </c>
      <c r="AG992">
        <v>1979.7278166576232</v>
      </c>
      <c r="AH992">
        <v>15260.505200560463</v>
      </c>
      <c r="AI992">
        <v>8066.3870548003697</v>
      </c>
      <c r="AJ992">
        <v>39294.88740192222</v>
      </c>
      <c r="AK992">
        <v>16055.851687480599</v>
      </c>
      <c r="AL992">
        <v>1967.9693078060059</v>
      </c>
      <c r="AM992">
        <v>449.3229774098682</v>
      </c>
      <c r="AO992">
        <v>44478.338719532767</v>
      </c>
      <c r="AP992">
        <v>13.505344180177598</v>
      </c>
      <c r="AQ992">
        <v>47659.108779374888</v>
      </c>
      <c r="AR992">
        <v>13.713285432222314</v>
      </c>
      <c r="AS992" s="2">
        <f t="shared" si="106"/>
        <v>3180.7700598421216</v>
      </c>
      <c r="AT992" s="2">
        <f t="shared" si="107"/>
        <v>0.2079412520447157</v>
      </c>
      <c r="AV992">
        <f t="shared" si="108"/>
        <v>1306056.0792982271</v>
      </c>
      <c r="AW992">
        <f t="shared" si="109"/>
        <v>1323669.4344428563</v>
      </c>
      <c r="AY992">
        <f t="shared" si="110"/>
        <v>0</v>
      </c>
      <c r="AZ992">
        <f t="shared" si="111"/>
        <v>1</v>
      </c>
    </row>
    <row r="993" spans="1:52" x14ac:dyDescent="0.2">
      <c r="A993">
        <f t="shared" si="105"/>
        <v>989</v>
      </c>
      <c r="B993">
        <v>2.4661938225774182E-2</v>
      </c>
      <c r="C993">
        <v>5.5384515273602553E-2</v>
      </c>
      <c r="D993">
        <v>2.705911085604365E-2</v>
      </c>
      <c r="E993">
        <v>9.5842683208111224E-3</v>
      </c>
      <c r="F993">
        <v>3.5278246921520706E-3</v>
      </c>
      <c r="G993">
        <v>5.7234653800832362E-3</v>
      </c>
      <c r="H993">
        <v>2.5155887067161029E-2</v>
      </c>
      <c r="I993">
        <v>0.1300428465109793</v>
      </c>
      <c r="J993">
        <v>0</v>
      </c>
      <c r="K993">
        <v>0.42786468617952284</v>
      </c>
      <c r="L993">
        <v>0.20370396980325989</v>
      </c>
      <c r="M993">
        <v>0.79629603019674011</v>
      </c>
      <c r="N993">
        <v>8.4555553956378371E-2</v>
      </c>
      <c r="O993" s="72">
        <v>0.99987743021885267</v>
      </c>
      <c r="P993">
        <v>0.99955268059180968</v>
      </c>
      <c r="Q993">
        <v>0.93439668561125244</v>
      </c>
      <c r="R993">
        <v>0.43283132467893526</v>
      </c>
      <c r="S993">
        <v>0.41909787946935717</v>
      </c>
      <c r="T993">
        <v>0.23435862117766815</v>
      </c>
      <c r="U993">
        <v>0.75709603827716687</v>
      </c>
      <c r="V993">
        <v>0.66102394875625303</v>
      </c>
      <c r="W993">
        <v>0.50132680105639027</v>
      </c>
      <c r="X993">
        <v>0.4714861180068175</v>
      </c>
      <c r="Y993">
        <v>0.42373650094900067</v>
      </c>
      <c r="Z993">
        <v>0.45225446269442493</v>
      </c>
      <c r="AA993">
        <v>0.7348689669623879</v>
      </c>
      <c r="AB993">
        <v>0.77858433344118994</v>
      </c>
      <c r="AC993">
        <v>0.62781242193675357</v>
      </c>
      <c r="AD993">
        <v>0.60615140041748061</v>
      </c>
      <c r="AE993">
        <v>270.98778832358073</v>
      </c>
      <c r="AF993">
        <v>998.23473576447725</v>
      </c>
      <c r="AG993">
        <v>1538.1557376592541</v>
      </c>
      <c r="AH993">
        <v>10553.587888263808</v>
      </c>
      <c r="AI993">
        <v>11161.293607243839</v>
      </c>
      <c r="AJ993">
        <v>39161.94356186864</v>
      </c>
      <c r="AK993">
        <v>12582.385133056434</v>
      </c>
      <c r="AL993">
        <v>1640.2826318463694</v>
      </c>
      <c r="AM993">
        <v>427.5562953539216</v>
      </c>
      <c r="AO993">
        <v>46588.909984556783</v>
      </c>
      <c r="AP993">
        <v>12.611441718887976</v>
      </c>
      <c r="AQ993">
        <v>47306.366040933091</v>
      </c>
      <c r="AR993">
        <v>12.771511383598606</v>
      </c>
      <c r="AS993" s="2">
        <f t="shared" si="106"/>
        <v>717.45605637630797</v>
      </c>
      <c r="AT993" s="2">
        <f t="shared" si="107"/>
        <v>0.16006966471062967</v>
      </c>
      <c r="AV993">
        <f t="shared" si="108"/>
        <v>1214555.2619042408</v>
      </c>
      <c r="AW993">
        <f t="shared" si="109"/>
        <v>1229844.7723189273</v>
      </c>
      <c r="AY993">
        <f t="shared" si="110"/>
        <v>0</v>
      </c>
      <c r="AZ993">
        <f t="shared" si="111"/>
        <v>1</v>
      </c>
    </row>
    <row r="994" spans="1:52" x14ac:dyDescent="0.2">
      <c r="A994">
        <f t="shared" si="105"/>
        <v>990</v>
      </c>
      <c r="B994">
        <v>2.5687530280279591E-2</v>
      </c>
      <c r="C994">
        <v>3.0411874885384462E-2</v>
      </c>
      <c r="D994">
        <v>3.7446746147272891E-2</v>
      </c>
      <c r="E994">
        <v>2.0356221737659497E-2</v>
      </c>
      <c r="F994">
        <v>3.3724936728801724E-3</v>
      </c>
      <c r="G994">
        <v>3.0420566144287342E-2</v>
      </c>
      <c r="H994">
        <v>1.3260165699121479E-2</v>
      </c>
      <c r="I994">
        <v>0.12953046285910558</v>
      </c>
      <c r="J994">
        <v>0</v>
      </c>
      <c r="K994">
        <v>0.40433666817998754</v>
      </c>
      <c r="L994">
        <v>0.20586472534783279</v>
      </c>
      <c r="M994">
        <v>0.79413527465216727</v>
      </c>
      <c r="N994">
        <v>6.0834010857202858E-2</v>
      </c>
      <c r="O994" s="72">
        <v>0.99987505447824188</v>
      </c>
      <c r="P994">
        <v>0.9997666750970623</v>
      </c>
      <c r="Q994">
        <v>0.8692322566332944</v>
      </c>
      <c r="R994">
        <v>0.46980738187747639</v>
      </c>
      <c r="S994">
        <v>0.47817587446472254</v>
      </c>
      <c r="T994">
        <v>0.22263431099572295</v>
      </c>
      <c r="U994">
        <v>0.77830078299629379</v>
      </c>
      <c r="V994">
        <v>0.688532813076143</v>
      </c>
      <c r="W994">
        <v>0.54873366917250155</v>
      </c>
      <c r="X994">
        <v>0.47940757077855667</v>
      </c>
      <c r="Y994">
        <v>0.42225475018842806</v>
      </c>
      <c r="Z994">
        <v>0.45060774471272702</v>
      </c>
      <c r="AA994">
        <v>0.69042787872258349</v>
      </c>
      <c r="AB994">
        <v>0.85843194315700089</v>
      </c>
      <c r="AC994">
        <v>0.60932504273823263</v>
      </c>
      <c r="AD994">
        <v>0.53793375759752415</v>
      </c>
      <c r="AE994">
        <v>160.12548575808481</v>
      </c>
      <c r="AF994">
        <v>927.85911298324481</v>
      </c>
      <c r="AG994">
        <v>1583.999016889217</v>
      </c>
      <c r="AH994">
        <v>19175.131961098996</v>
      </c>
      <c r="AI994">
        <v>7811.2757455881065</v>
      </c>
      <c r="AJ994">
        <v>39647.348680612267</v>
      </c>
      <c r="AK994">
        <v>11559.521139172472</v>
      </c>
      <c r="AL994">
        <v>1605.3041213435163</v>
      </c>
      <c r="AM994">
        <v>508.79155284489661</v>
      </c>
      <c r="AO994">
        <v>45343.078073953526</v>
      </c>
      <c r="AP994">
        <v>13.525758725265508</v>
      </c>
      <c r="AQ994">
        <v>48895.750824452429</v>
      </c>
      <c r="AR994">
        <v>13.749652941299011</v>
      </c>
      <c r="AS994" s="2">
        <f t="shared" si="106"/>
        <v>3552.672750498903</v>
      </c>
      <c r="AT994" s="2">
        <f t="shared" si="107"/>
        <v>0.22389421603350357</v>
      </c>
      <c r="AV994">
        <f t="shared" si="108"/>
        <v>1307232.7944525974</v>
      </c>
      <c r="AW994">
        <f t="shared" si="109"/>
        <v>1326069.5433054487</v>
      </c>
      <c r="AY994">
        <f t="shared" si="110"/>
        <v>0</v>
      </c>
      <c r="AZ994">
        <f t="shared" si="111"/>
        <v>1</v>
      </c>
    </row>
    <row r="995" spans="1:52" x14ac:dyDescent="0.2">
      <c r="A995">
        <f t="shared" si="105"/>
        <v>991</v>
      </c>
      <c r="B995">
        <v>3.0818374537672333E-2</v>
      </c>
      <c r="C995">
        <v>4.3873726672607138E-2</v>
      </c>
      <c r="D995">
        <v>4.2613490895949346E-2</v>
      </c>
      <c r="E995">
        <v>2.0908491583753408E-2</v>
      </c>
      <c r="F995">
        <v>3.2727453036510866E-3</v>
      </c>
      <c r="G995">
        <v>2.6830421275141125E-2</v>
      </c>
      <c r="H995">
        <v>2.8238228397016514E-2</v>
      </c>
      <c r="I995">
        <v>0.12913715864241074</v>
      </c>
      <c r="J995">
        <v>0</v>
      </c>
      <c r="K995">
        <v>0.41281633203504253</v>
      </c>
      <c r="L995">
        <v>0.21768379280332639</v>
      </c>
      <c r="M995">
        <v>0.78231620719667361</v>
      </c>
      <c r="N995">
        <v>6.3338382888227129E-2</v>
      </c>
      <c r="O995" s="72">
        <v>0.96125605040413209</v>
      </c>
      <c r="P995">
        <v>0.97446653717753584</v>
      </c>
      <c r="Q995">
        <v>0.93912482369790318</v>
      </c>
      <c r="R995">
        <v>0.47270826430295387</v>
      </c>
      <c r="S995">
        <v>0.40152933317337736</v>
      </c>
      <c r="T995">
        <v>0.30350812600076937</v>
      </c>
      <c r="U995">
        <v>0.76121329668180326</v>
      </c>
      <c r="V995">
        <v>0.6098398113715886</v>
      </c>
      <c r="W995">
        <v>0.48458469728548187</v>
      </c>
      <c r="X995">
        <v>0.48032190777501749</v>
      </c>
      <c r="Y995">
        <v>0.41982883209420907</v>
      </c>
      <c r="Z995">
        <v>0.39502468091848575</v>
      </c>
      <c r="AA995">
        <v>0.65218561132445829</v>
      </c>
      <c r="AB995">
        <v>0.73443771148962367</v>
      </c>
      <c r="AC995">
        <v>0.75048470261935663</v>
      </c>
      <c r="AD995">
        <v>0.64373925657700015</v>
      </c>
      <c r="AE995">
        <v>217.30875400865472</v>
      </c>
      <c r="AF995">
        <v>902.38282981786506</v>
      </c>
      <c r="AG995">
        <v>2054.368203069047</v>
      </c>
      <c r="AH995">
        <v>11342.097695811563</v>
      </c>
      <c r="AI995">
        <v>11771.133340029053</v>
      </c>
      <c r="AJ995">
        <v>42880.751888360712</v>
      </c>
      <c r="AK995">
        <v>11834.120951178649</v>
      </c>
      <c r="AL995">
        <v>2155.364141815307</v>
      </c>
      <c r="AM995">
        <v>360.35977481538976</v>
      </c>
      <c r="AO995">
        <v>42421.751104555515</v>
      </c>
      <c r="AP995">
        <v>12.31427377386512</v>
      </c>
      <c r="AQ995">
        <v>47176.553233101826</v>
      </c>
      <c r="AR995">
        <v>12.431960215542178</v>
      </c>
      <c r="AS995" s="2">
        <f t="shared" si="106"/>
        <v>4754.802128546311</v>
      </c>
      <c r="AT995" s="2">
        <f t="shared" si="107"/>
        <v>0.11768644167705844</v>
      </c>
      <c r="AV995">
        <f t="shared" si="108"/>
        <v>1189005.6262819564</v>
      </c>
      <c r="AW995">
        <f t="shared" si="109"/>
        <v>1196019.4683211162</v>
      </c>
      <c r="AY995">
        <f t="shared" si="110"/>
        <v>0</v>
      </c>
      <c r="AZ995">
        <f t="shared" si="111"/>
        <v>1</v>
      </c>
    </row>
    <row r="996" spans="1:52" x14ac:dyDescent="0.2">
      <c r="A996">
        <f t="shared" si="105"/>
        <v>992</v>
      </c>
      <c r="B996">
        <v>2.4102334906168206E-2</v>
      </c>
      <c r="C996">
        <v>2.6874249372925384E-2</v>
      </c>
      <c r="D996">
        <v>3.282969050224905E-2</v>
      </c>
      <c r="E996">
        <v>5.7700649458374128E-3</v>
      </c>
      <c r="F996">
        <v>3.3207875598158447E-3</v>
      </c>
      <c r="G996">
        <v>2.1206243424411924E-3</v>
      </c>
      <c r="H996">
        <v>2.2392275809091623E-2</v>
      </c>
      <c r="I996">
        <v>0.14347937542341338</v>
      </c>
      <c r="J996">
        <v>0</v>
      </c>
      <c r="K996">
        <v>0.46536849725521401</v>
      </c>
      <c r="L996">
        <v>0.17471970930883726</v>
      </c>
      <c r="M996">
        <v>0.82528029069116271</v>
      </c>
      <c r="N996">
        <v>4.3460903968791084E-2</v>
      </c>
      <c r="O996" s="72">
        <v>0.99988183620959203</v>
      </c>
      <c r="P996">
        <v>0.99444717069689326</v>
      </c>
      <c r="Q996">
        <v>0.99429271332894109</v>
      </c>
      <c r="R996">
        <v>0.50907951540705199</v>
      </c>
      <c r="S996">
        <v>0.32066595045531088</v>
      </c>
      <c r="T996">
        <v>0.22971789175078372</v>
      </c>
      <c r="U996">
        <v>0.74168283811350166</v>
      </c>
      <c r="V996">
        <v>0.6978534335605473</v>
      </c>
      <c r="W996">
        <v>0.56094341357650057</v>
      </c>
      <c r="X996">
        <v>0.45286381769738415</v>
      </c>
      <c r="Y996">
        <v>0.44318339902549503</v>
      </c>
      <c r="Z996">
        <v>0.43357497976918186</v>
      </c>
      <c r="AA996">
        <v>0.65960564834625068</v>
      </c>
      <c r="AB996">
        <v>0.77699487329468175</v>
      </c>
      <c r="AC996">
        <v>0.70537865624114249</v>
      </c>
      <c r="AD996">
        <v>0.59409896682921881</v>
      </c>
      <c r="AE996">
        <v>173.23781200895834</v>
      </c>
      <c r="AF996">
        <v>1258.7899637814064</v>
      </c>
      <c r="AG996">
        <v>1381.9378784435155</v>
      </c>
      <c r="AH996">
        <v>15907.939964802086</v>
      </c>
      <c r="AI996">
        <v>10831.012253355148</v>
      </c>
      <c r="AJ996">
        <v>49066.439810817399</v>
      </c>
      <c r="AK996">
        <v>18834.868682300414</v>
      </c>
      <c r="AL996">
        <v>2575.4046738495213</v>
      </c>
      <c r="AM996">
        <v>446.50201134939414</v>
      </c>
      <c r="AO996">
        <v>44328.461360445384</v>
      </c>
      <c r="AP996">
        <v>12.750447673042023</v>
      </c>
      <c r="AQ996">
        <v>47576.226700472485</v>
      </c>
      <c r="AR996">
        <v>12.87539936089412</v>
      </c>
      <c r="AS996" s="2">
        <f t="shared" si="106"/>
        <v>3247.765340027101</v>
      </c>
      <c r="AT996" s="2">
        <f t="shared" si="107"/>
        <v>0.12495168785209643</v>
      </c>
      <c r="AV996">
        <f t="shared" si="108"/>
        <v>1230716.3059437568</v>
      </c>
      <c r="AW996">
        <f t="shared" si="109"/>
        <v>1239963.7093889397</v>
      </c>
      <c r="AY996">
        <f t="shared" si="110"/>
        <v>0</v>
      </c>
      <c r="AZ996">
        <f t="shared" si="111"/>
        <v>1</v>
      </c>
    </row>
    <row r="997" spans="1:52" x14ac:dyDescent="0.2">
      <c r="A997">
        <f t="shared" si="105"/>
        <v>993</v>
      </c>
      <c r="B997">
        <v>2.1109286267831331E-2</v>
      </c>
      <c r="C997">
        <v>2.6039739454685806E-2</v>
      </c>
      <c r="D997">
        <v>3.9535229540190175E-2</v>
      </c>
      <c r="E997">
        <v>2.9052452461552969E-2</v>
      </c>
      <c r="F997">
        <v>3.2964251133726584E-3</v>
      </c>
      <c r="G997">
        <v>8.8097929190368643E-3</v>
      </c>
      <c r="H997">
        <v>2.7791361849004093E-2</v>
      </c>
      <c r="I997">
        <v>0.12055837192177241</v>
      </c>
      <c r="J997">
        <v>0</v>
      </c>
      <c r="K997">
        <v>0.40548999645337586</v>
      </c>
      <c r="L997">
        <v>0.20591035384398015</v>
      </c>
      <c r="M997">
        <v>0.79408964615601985</v>
      </c>
      <c r="N997">
        <v>6.6284979224298657E-2</v>
      </c>
      <c r="O997" s="72">
        <v>0.97970136537196606</v>
      </c>
      <c r="P997">
        <v>0.99897417918301312</v>
      </c>
      <c r="Q997">
        <v>0.98158375949821886</v>
      </c>
      <c r="R997">
        <v>0.50663755436885238</v>
      </c>
      <c r="S997">
        <v>0.4318693494938427</v>
      </c>
      <c r="T997">
        <v>0.21344158340215558</v>
      </c>
      <c r="U997">
        <v>0.77503378833057468</v>
      </c>
      <c r="V997">
        <v>0.67688381908483031</v>
      </c>
      <c r="W997">
        <v>0.52483629154593714</v>
      </c>
      <c r="X997">
        <v>0.46263970362923401</v>
      </c>
      <c r="Y997">
        <v>0.4527472085068015</v>
      </c>
      <c r="Z997">
        <v>0.43539735888694669</v>
      </c>
      <c r="AA997">
        <v>0.64053548801730542</v>
      </c>
      <c r="AB997">
        <v>0.78543221777967187</v>
      </c>
      <c r="AC997">
        <v>0.6642053001188194</v>
      </c>
      <c r="AD997">
        <v>0.60956869274773562</v>
      </c>
      <c r="AE997">
        <v>176.63067275901821</v>
      </c>
      <c r="AF997">
        <v>1197.7733725037099</v>
      </c>
      <c r="AG997">
        <v>1624.9668286627448</v>
      </c>
      <c r="AH997">
        <v>13058.21000665091</v>
      </c>
      <c r="AI997">
        <v>14681.575923759836</v>
      </c>
      <c r="AJ997">
        <v>42061.196342982927</v>
      </c>
      <c r="AK997">
        <v>20040.555358470305</v>
      </c>
      <c r="AL997">
        <v>1479.8072998515258</v>
      </c>
      <c r="AM997">
        <v>533.78224284214525</v>
      </c>
      <c r="AO997">
        <v>44376.012930907433</v>
      </c>
      <c r="AP997">
        <v>12.767424009492704</v>
      </c>
      <c r="AQ997">
        <v>48909.874422255576</v>
      </c>
      <c r="AR997">
        <v>12.939601081755335</v>
      </c>
      <c r="AS997" s="2">
        <f t="shared" si="106"/>
        <v>4533.8614913481433</v>
      </c>
      <c r="AT997" s="2">
        <f t="shared" si="107"/>
        <v>0.17217707226263101</v>
      </c>
      <c r="AV997">
        <f t="shared" si="108"/>
        <v>1232366.3880183629</v>
      </c>
      <c r="AW997">
        <f t="shared" si="109"/>
        <v>1245050.2337532777</v>
      </c>
      <c r="AY997">
        <f t="shared" si="110"/>
        <v>0</v>
      </c>
      <c r="AZ997">
        <f t="shared" si="111"/>
        <v>1</v>
      </c>
    </row>
    <row r="998" spans="1:52" x14ac:dyDescent="0.2">
      <c r="A998">
        <f t="shared" si="105"/>
        <v>994</v>
      </c>
      <c r="B998">
        <v>3.1552164647489112E-2</v>
      </c>
      <c r="C998">
        <v>4.4713735011870703E-2</v>
      </c>
      <c r="D998">
        <v>4.8045295736523275E-2</v>
      </c>
      <c r="E998">
        <v>6.0596039658227909E-3</v>
      </c>
      <c r="F998">
        <v>3.366724859889314E-3</v>
      </c>
      <c r="G998">
        <v>5.8307219179696305E-3</v>
      </c>
      <c r="H998">
        <v>2.9419462506424021E-2</v>
      </c>
      <c r="I998">
        <v>0.10848162407046619</v>
      </c>
      <c r="J998">
        <v>0</v>
      </c>
      <c r="K998">
        <v>0.44578305436228594</v>
      </c>
      <c r="L998">
        <v>0.19069453559037922</v>
      </c>
      <c r="M998">
        <v>0.80930546440962081</v>
      </c>
      <c r="N998">
        <v>3.8321596837663945E-2</v>
      </c>
      <c r="O998" s="72">
        <v>0.80417283909370196</v>
      </c>
      <c r="P998">
        <v>0.99101046989666219</v>
      </c>
      <c r="Q998">
        <v>0.98214021812081975</v>
      </c>
      <c r="R998">
        <v>0.52075122632780568</v>
      </c>
      <c r="S998">
        <v>0.35941452774720706</v>
      </c>
      <c r="T998">
        <v>0.31294732061655706</v>
      </c>
      <c r="U998">
        <v>0.74729395428723966</v>
      </c>
      <c r="V998">
        <v>0.66015839881542993</v>
      </c>
      <c r="W998">
        <v>0.56429118879580453</v>
      </c>
      <c r="X998">
        <v>0.46606555176674591</v>
      </c>
      <c r="Y998">
        <v>0.52671012291367991</v>
      </c>
      <c r="Z998">
        <v>0.50017399728996792</v>
      </c>
      <c r="AA998">
        <v>0.56459176777195197</v>
      </c>
      <c r="AB998">
        <v>0.85742169249452982</v>
      </c>
      <c r="AC998">
        <v>0.71410573927280474</v>
      </c>
      <c r="AD998">
        <v>0.66789462227230056</v>
      </c>
      <c r="AE998">
        <v>202.25684445059412</v>
      </c>
      <c r="AF998">
        <v>1072.3589479009015</v>
      </c>
      <c r="AG998">
        <v>942.5897180989092</v>
      </c>
      <c r="AH998">
        <v>12565.34181117884</v>
      </c>
      <c r="AI998">
        <v>9579.1927207976332</v>
      </c>
      <c r="AJ998">
        <v>34281.575179015796</v>
      </c>
      <c r="AK998">
        <v>15746.37131976708</v>
      </c>
      <c r="AL998">
        <v>1463.6614238653581</v>
      </c>
      <c r="AM998">
        <v>399.94612412029312</v>
      </c>
      <c r="AO998">
        <v>41144.729524902003</v>
      </c>
      <c r="AP998">
        <v>13.883065918066139</v>
      </c>
      <c r="AQ998">
        <v>47912.895903285294</v>
      </c>
      <c r="AR998">
        <v>14.105100996919527</v>
      </c>
      <c r="AS998" s="2">
        <f t="shared" si="106"/>
        <v>6768.1663783832919</v>
      </c>
      <c r="AT998" s="2">
        <f t="shared" si="107"/>
        <v>0.2220350788533878</v>
      </c>
      <c r="AV998">
        <f t="shared" si="108"/>
        <v>1347161.8622817118</v>
      </c>
      <c r="AW998">
        <f t="shared" si="109"/>
        <v>1362597.2037886672</v>
      </c>
      <c r="AY998">
        <f t="shared" si="110"/>
        <v>0</v>
      </c>
      <c r="AZ998">
        <f t="shared" si="111"/>
        <v>1</v>
      </c>
    </row>
    <row r="999" spans="1:52" x14ac:dyDescent="0.2">
      <c r="A999">
        <f t="shared" si="105"/>
        <v>995</v>
      </c>
      <c r="B999">
        <v>2.2301215284244086E-2</v>
      </c>
      <c r="C999">
        <v>3.4957211616335505E-2</v>
      </c>
      <c r="D999">
        <v>2.4200151991177071E-2</v>
      </c>
      <c r="E999">
        <v>1.645148723954426E-2</v>
      </c>
      <c r="F999">
        <v>3.3321519290791766E-3</v>
      </c>
      <c r="G999">
        <v>1.8958166557061507E-2</v>
      </c>
      <c r="H999">
        <v>3.7231237096657988E-2</v>
      </c>
      <c r="I999">
        <v>0.11606027513928248</v>
      </c>
      <c r="J999">
        <v>0</v>
      </c>
      <c r="K999">
        <v>0.41005585260750554</v>
      </c>
      <c r="L999">
        <v>0.29105151169861632</v>
      </c>
      <c r="M999">
        <v>0.70894848830138368</v>
      </c>
      <c r="N999">
        <v>6.2558332627489888E-2</v>
      </c>
      <c r="O999" s="72">
        <v>0.99979430914505596</v>
      </c>
      <c r="P999">
        <v>0.99993202367873202</v>
      </c>
      <c r="Q999">
        <v>0.9705531006643543</v>
      </c>
      <c r="R999">
        <v>0.51049540182296704</v>
      </c>
      <c r="S999">
        <v>0.3865590018577324</v>
      </c>
      <c r="T999">
        <v>0.16732493273231197</v>
      </c>
      <c r="U999">
        <v>0.78834399008754641</v>
      </c>
      <c r="V999">
        <v>0.68842012433731348</v>
      </c>
      <c r="W999">
        <v>0.5979626996971531</v>
      </c>
      <c r="X999">
        <v>0.45830995185345735</v>
      </c>
      <c r="Y999">
        <v>0.41535813428355678</v>
      </c>
      <c r="Z999">
        <v>0.39532177333306112</v>
      </c>
      <c r="AA999">
        <v>0.736959545780141</v>
      </c>
      <c r="AB999">
        <v>0.79550841652718085</v>
      </c>
      <c r="AC999">
        <v>0.75274670811079658</v>
      </c>
      <c r="AD999">
        <v>0.59890239914664944</v>
      </c>
      <c r="AE999">
        <v>174.78229473593757</v>
      </c>
      <c r="AF999">
        <v>896.29700608181543</v>
      </c>
      <c r="AG999">
        <v>1220.1153506941514</v>
      </c>
      <c r="AH999">
        <v>11522.711433331357</v>
      </c>
      <c r="AI999">
        <v>8849.2907883856788</v>
      </c>
      <c r="AJ999">
        <v>37959.123623500265</v>
      </c>
      <c r="AK999">
        <v>10173.071109143275</v>
      </c>
      <c r="AL999">
        <v>1806.7798044429539</v>
      </c>
      <c r="AM999">
        <v>320.0057283624746</v>
      </c>
      <c r="AO999">
        <v>42473.536567524832</v>
      </c>
      <c r="AP999">
        <v>13.095607396722698</v>
      </c>
      <c r="AQ999">
        <v>45370.757556324657</v>
      </c>
      <c r="AR999">
        <v>13.225078463485429</v>
      </c>
      <c r="AS999" s="2">
        <f t="shared" si="106"/>
        <v>2897.2209887998251</v>
      </c>
      <c r="AT999" s="2">
        <f t="shared" si="107"/>
        <v>0.12947106676273101</v>
      </c>
      <c r="AV999">
        <f t="shared" si="108"/>
        <v>1267087.2031047451</v>
      </c>
      <c r="AW999">
        <f t="shared" si="109"/>
        <v>1277137.0887922184</v>
      </c>
      <c r="AY999">
        <f t="shared" si="110"/>
        <v>0</v>
      </c>
      <c r="AZ999">
        <f t="shared" si="111"/>
        <v>1</v>
      </c>
    </row>
    <row r="1000" spans="1:52" x14ac:dyDescent="0.2">
      <c r="A1000">
        <f t="shared" si="105"/>
        <v>996</v>
      </c>
      <c r="B1000">
        <v>3.1462615118415416E-2</v>
      </c>
      <c r="C1000">
        <v>3.3694468600489982E-2</v>
      </c>
      <c r="D1000">
        <v>4.9651473862886042E-2</v>
      </c>
      <c r="E1000">
        <v>3.8472265425934706E-3</v>
      </c>
      <c r="F1000">
        <v>3.3586174268694924E-3</v>
      </c>
      <c r="G1000">
        <v>1.0092544586224239E-2</v>
      </c>
      <c r="H1000">
        <v>3.3694609121656782E-2</v>
      </c>
      <c r="I1000">
        <v>0.12979094443053507</v>
      </c>
      <c r="J1000">
        <v>0</v>
      </c>
      <c r="K1000">
        <v>0.47217941047333378</v>
      </c>
      <c r="L1000">
        <v>0.16100009090384809</v>
      </c>
      <c r="M1000">
        <v>0.83899990909615196</v>
      </c>
      <c r="N1000">
        <v>6.4416200724263351E-2</v>
      </c>
      <c r="O1000" s="72">
        <v>0.99967360843619824</v>
      </c>
      <c r="P1000">
        <v>0.99986448146530149</v>
      </c>
      <c r="Q1000">
        <v>0.97279141789816626</v>
      </c>
      <c r="R1000">
        <v>0.44213439918443853</v>
      </c>
      <c r="S1000">
        <v>0.44915060049479738</v>
      </c>
      <c r="T1000">
        <v>0.22228300823715008</v>
      </c>
      <c r="U1000">
        <v>0.77770974158158623</v>
      </c>
      <c r="V1000">
        <v>0.7242521427719304</v>
      </c>
      <c r="W1000">
        <v>0.62826522539725504</v>
      </c>
      <c r="X1000">
        <v>0.40462531788464773</v>
      </c>
      <c r="Y1000">
        <v>0.49153724518574338</v>
      </c>
      <c r="Z1000">
        <v>0.47361273805448378</v>
      </c>
      <c r="AA1000">
        <v>0.68749756758394021</v>
      </c>
      <c r="AB1000">
        <v>0.85922612322104208</v>
      </c>
      <c r="AC1000">
        <v>0.58318238214192653</v>
      </c>
      <c r="AD1000">
        <v>0.61771202950850812</v>
      </c>
      <c r="AE1000">
        <v>178.52118202328128</v>
      </c>
      <c r="AF1000">
        <v>1002.3046394535404</v>
      </c>
      <c r="AG1000">
        <v>1371.0594592694067</v>
      </c>
      <c r="AH1000">
        <v>13555.614038837923</v>
      </c>
      <c r="AI1000">
        <v>10961.50675611079</v>
      </c>
      <c r="AJ1000">
        <v>45609.252756366768</v>
      </c>
      <c r="AK1000">
        <v>13243.070640630196</v>
      </c>
      <c r="AL1000">
        <v>2020.7637451685257</v>
      </c>
      <c r="AM1000">
        <v>486.05094724370014</v>
      </c>
      <c r="AO1000">
        <v>46789.549581262596</v>
      </c>
      <c r="AP1000">
        <v>13.562895302464083</v>
      </c>
      <c r="AQ1000">
        <v>48042.691506649266</v>
      </c>
      <c r="AR1000">
        <v>13.826154507582904</v>
      </c>
      <c r="AS1000" s="2">
        <f t="shared" si="106"/>
        <v>1253.1419253866698</v>
      </c>
      <c r="AT1000" s="2">
        <f t="shared" si="107"/>
        <v>0.26325920511882117</v>
      </c>
      <c r="AV1000">
        <f t="shared" si="108"/>
        <v>1309499.9806651459</v>
      </c>
      <c r="AW1000">
        <f t="shared" si="109"/>
        <v>1334572.7592516411</v>
      </c>
      <c r="AY1000">
        <f t="shared" si="110"/>
        <v>0</v>
      </c>
      <c r="AZ1000">
        <f t="shared" si="111"/>
        <v>1</v>
      </c>
    </row>
    <row r="1001" spans="1:52" x14ac:dyDescent="0.2">
      <c r="A1001">
        <f t="shared" si="105"/>
        <v>997</v>
      </c>
      <c r="B1001">
        <v>2.4953668826442232E-2</v>
      </c>
      <c r="C1001">
        <v>4.9775868975488691E-2</v>
      </c>
      <c r="D1001">
        <v>4.062779303166586E-2</v>
      </c>
      <c r="E1001">
        <v>3.1430382580045602E-2</v>
      </c>
      <c r="F1001">
        <v>3.2965905848304188E-3</v>
      </c>
      <c r="G1001">
        <v>1.9204678912779771E-2</v>
      </c>
      <c r="H1001">
        <v>3.6131827784911419E-2</v>
      </c>
      <c r="I1001">
        <v>0.14873716777786083</v>
      </c>
      <c r="J1001">
        <v>0</v>
      </c>
      <c r="K1001">
        <v>0.44613139184432382</v>
      </c>
      <c r="L1001">
        <v>0.1917703590159274</v>
      </c>
      <c r="M1001">
        <v>0.80822964098407257</v>
      </c>
      <c r="N1001">
        <v>6.7964406879608363E-2</v>
      </c>
      <c r="O1001" s="72">
        <v>0.99999938696990054</v>
      </c>
      <c r="P1001">
        <v>0.99999998615346142</v>
      </c>
      <c r="Q1001">
        <v>0.97918759648935194</v>
      </c>
      <c r="R1001">
        <v>0.39515090966275312</v>
      </c>
      <c r="S1001">
        <v>0.38834904387068658</v>
      </c>
      <c r="T1001">
        <v>0.1931693178824001</v>
      </c>
      <c r="U1001">
        <v>0.75772423852796777</v>
      </c>
      <c r="V1001">
        <v>0.61962294469681245</v>
      </c>
      <c r="W1001">
        <v>0.47022670111279102</v>
      </c>
      <c r="X1001">
        <v>0.41754574693111457</v>
      </c>
      <c r="Y1001">
        <v>0.51169323918392462</v>
      </c>
      <c r="Z1001">
        <v>0.45301805196784073</v>
      </c>
      <c r="AA1001">
        <v>0.6892959014515313</v>
      </c>
      <c r="AB1001">
        <v>0.80060605857597145</v>
      </c>
      <c r="AC1001">
        <v>0.64579942547623881</v>
      </c>
      <c r="AD1001">
        <v>0.61450318792504066</v>
      </c>
      <c r="AE1001">
        <v>173.43654614671902</v>
      </c>
      <c r="AF1001">
        <v>917.04989636070843</v>
      </c>
      <c r="AG1001">
        <v>1932.0844932503155</v>
      </c>
      <c r="AH1001">
        <v>15546.884728832054</v>
      </c>
      <c r="AI1001">
        <v>15814.438114524559</v>
      </c>
      <c r="AJ1001">
        <v>40761.403970843639</v>
      </c>
      <c r="AK1001">
        <v>15071.66511991343</v>
      </c>
      <c r="AL1001">
        <v>2908.9611203208274</v>
      </c>
      <c r="AM1001">
        <v>358.61516099076221</v>
      </c>
      <c r="AO1001">
        <v>49245.295134579399</v>
      </c>
      <c r="AP1001">
        <v>12.814527114672549</v>
      </c>
      <c r="AQ1001">
        <v>46053.364417283658</v>
      </c>
      <c r="AR1001">
        <v>13.121345330535018</v>
      </c>
      <c r="AS1001" s="2">
        <f t="shared" si="106"/>
        <v>-3191.9307172957415</v>
      </c>
      <c r="AT1001" s="2">
        <f t="shared" si="107"/>
        <v>0.30681821586246905</v>
      </c>
      <c r="AV1001">
        <f t="shared" si="108"/>
        <v>1232207.4163326756</v>
      </c>
      <c r="AW1001">
        <f t="shared" si="109"/>
        <v>1266081.1686362182</v>
      </c>
      <c r="AY1001">
        <f t="shared" si="110"/>
        <v>0</v>
      </c>
      <c r="AZ1001">
        <f t="shared" si="111"/>
        <v>1</v>
      </c>
    </row>
    <row r="1002" spans="1:52" x14ac:dyDescent="0.2">
      <c r="A1002">
        <f t="shared" si="105"/>
        <v>998</v>
      </c>
      <c r="B1002">
        <v>2.6636629245279209E-2</v>
      </c>
      <c r="C1002">
        <v>3.423875894843971E-2</v>
      </c>
      <c r="D1002">
        <v>4.9826619861711108E-2</v>
      </c>
      <c r="E1002">
        <v>3.1498591050327485E-2</v>
      </c>
      <c r="F1002">
        <v>3.4284518408898013E-3</v>
      </c>
      <c r="G1002">
        <v>1.137264586079441E-2</v>
      </c>
      <c r="H1002">
        <v>3.3648040884439623E-2</v>
      </c>
      <c r="I1002">
        <v>0.11216656528004658</v>
      </c>
      <c r="J1002">
        <v>0</v>
      </c>
      <c r="K1002">
        <v>0.48653036507390635</v>
      </c>
      <c r="L1002">
        <v>0.23389140820580057</v>
      </c>
      <c r="M1002">
        <v>0.76610859179419943</v>
      </c>
      <c r="N1002">
        <v>7.0516211738069878E-2</v>
      </c>
      <c r="O1002" s="72">
        <v>0.9996320299125302</v>
      </c>
      <c r="P1002">
        <v>0.99962819932808877</v>
      </c>
      <c r="Q1002">
        <v>0.98973420496191922</v>
      </c>
      <c r="R1002">
        <v>0.47839479821327913</v>
      </c>
      <c r="S1002">
        <v>0.35138761962515441</v>
      </c>
      <c r="T1002">
        <v>0.27074357671790161</v>
      </c>
      <c r="U1002">
        <v>0.74067934742911801</v>
      </c>
      <c r="V1002">
        <v>0.6855306420781464</v>
      </c>
      <c r="W1002">
        <v>0.45025283056148341</v>
      </c>
      <c r="X1002">
        <v>0.43871820250820504</v>
      </c>
      <c r="Y1002">
        <v>0.41150426798547024</v>
      </c>
      <c r="Z1002">
        <v>0.46038822681831004</v>
      </c>
      <c r="AA1002">
        <v>0.65551832805829879</v>
      </c>
      <c r="AB1002">
        <v>0.80857896595439249</v>
      </c>
      <c r="AC1002">
        <v>0.66125854457768596</v>
      </c>
      <c r="AD1002">
        <v>0.58331987331074342</v>
      </c>
      <c r="AE1002">
        <v>250.2676382701913</v>
      </c>
      <c r="AF1002">
        <v>1022.3393474992946</v>
      </c>
      <c r="AG1002">
        <v>2028.550673248915</v>
      </c>
      <c r="AH1002">
        <v>11880.099578232746</v>
      </c>
      <c r="AI1002">
        <v>14021.488650876896</v>
      </c>
      <c r="AJ1002">
        <v>43036.22515062421</v>
      </c>
      <c r="AK1002">
        <v>13543.527781466146</v>
      </c>
      <c r="AL1002">
        <v>1837.5138659310364</v>
      </c>
      <c r="AM1002">
        <v>327.48440571102037</v>
      </c>
      <c r="AO1002">
        <v>42868.346167142052</v>
      </c>
      <c r="AP1002">
        <v>12.980875785376403</v>
      </c>
      <c r="AQ1002">
        <v>45611.088913109263</v>
      </c>
      <c r="AR1002">
        <v>13.218863455038791</v>
      </c>
      <c r="AS1002" s="2">
        <f t="shared" si="106"/>
        <v>2742.7427459672108</v>
      </c>
      <c r="AT1002" s="2">
        <f t="shared" si="107"/>
        <v>0.23798766966238816</v>
      </c>
      <c r="AV1002">
        <f t="shared" si="108"/>
        <v>1255219.2323704984</v>
      </c>
      <c r="AW1002">
        <f t="shared" si="109"/>
        <v>1276275.2565907701</v>
      </c>
      <c r="AY1002">
        <f t="shared" si="110"/>
        <v>0</v>
      </c>
      <c r="AZ1002">
        <f t="shared" si="111"/>
        <v>1</v>
      </c>
    </row>
    <row r="1003" spans="1:52" x14ac:dyDescent="0.2">
      <c r="A1003">
        <f t="shared" si="105"/>
        <v>999</v>
      </c>
      <c r="B1003">
        <v>2.8968539065369892E-2</v>
      </c>
      <c r="C1003">
        <v>3.8164128239523865E-2</v>
      </c>
      <c r="D1003">
        <v>4.6751127585280106E-2</v>
      </c>
      <c r="E1003">
        <v>2.1883397441298413E-2</v>
      </c>
      <c r="F1003">
        <v>3.3639658915946002E-3</v>
      </c>
      <c r="G1003">
        <v>2.9533400593105604E-3</v>
      </c>
      <c r="H1003">
        <v>3.2979006007765155E-2</v>
      </c>
      <c r="I1003">
        <v>0.13500508365037545</v>
      </c>
      <c r="J1003">
        <v>0</v>
      </c>
      <c r="K1003">
        <v>0.40258516264661276</v>
      </c>
      <c r="L1003">
        <v>0.20229350702992938</v>
      </c>
      <c r="M1003">
        <v>0.79770649297007057</v>
      </c>
      <c r="N1003">
        <v>4.7608228970166387E-2</v>
      </c>
      <c r="O1003" s="72">
        <v>0.99856323279932557</v>
      </c>
      <c r="P1003">
        <v>0.99995554853278312</v>
      </c>
      <c r="Q1003">
        <v>0.92508610556652382</v>
      </c>
      <c r="R1003">
        <v>0.47741191302177211</v>
      </c>
      <c r="S1003">
        <v>0.47741137910002884</v>
      </c>
      <c r="T1003">
        <v>0.31230758372564305</v>
      </c>
      <c r="U1003">
        <v>0.76538343593561375</v>
      </c>
      <c r="V1003">
        <v>0.69054102918265636</v>
      </c>
      <c r="W1003">
        <v>0.52983359973495847</v>
      </c>
      <c r="X1003">
        <v>0.44687902730749768</v>
      </c>
      <c r="Y1003">
        <v>0.41668649344461622</v>
      </c>
      <c r="Z1003">
        <v>0.50650814124780641</v>
      </c>
      <c r="AA1003">
        <v>0.58444328693403813</v>
      </c>
      <c r="AB1003">
        <v>0.77642770643277026</v>
      </c>
      <c r="AC1003">
        <v>0.74565351621613374</v>
      </c>
      <c r="AD1003">
        <v>0.61622810609999967</v>
      </c>
      <c r="AE1003">
        <v>110.42723314930082</v>
      </c>
      <c r="AF1003">
        <v>953.09363543558243</v>
      </c>
      <c r="AG1003">
        <v>2298.1674979197983</v>
      </c>
      <c r="AH1003">
        <v>12978.460205999865</v>
      </c>
      <c r="AI1003">
        <v>11515.538325239027</v>
      </c>
      <c r="AJ1003">
        <v>38064.400353625388</v>
      </c>
      <c r="AK1003">
        <v>14397.393384923686</v>
      </c>
      <c r="AL1003">
        <v>1792.1239617367578</v>
      </c>
      <c r="AM1003">
        <v>309.11255406256151</v>
      </c>
      <c r="AO1003">
        <v>40554.459889794329</v>
      </c>
      <c r="AP1003">
        <v>12.839162551012461</v>
      </c>
      <c r="AQ1003">
        <v>45450.945306581714</v>
      </c>
      <c r="AR1003">
        <v>12.967106466202026</v>
      </c>
      <c r="AS1003" s="2">
        <f t="shared" si="106"/>
        <v>4896.4854167873855</v>
      </c>
      <c r="AT1003" s="2">
        <f t="shared" si="107"/>
        <v>0.12794391518956516</v>
      </c>
      <c r="AV1003">
        <f t="shared" si="108"/>
        <v>1243361.7952114518</v>
      </c>
      <c r="AW1003">
        <f t="shared" si="109"/>
        <v>1251259.7013136209</v>
      </c>
      <c r="AY1003">
        <f t="shared" si="110"/>
        <v>0</v>
      </c>
      <c r="AZ1003">
        <f t="shared" si="111"/>
        <v>1</v>
      </c>
    </row>
    <row r="1004" spans="1:52" x14ac:dyDescent="0.2">
      <c r="A1004">
        <f t="shared" si="105"/>
        <v>1000</v>
      </c>
      <c r="B1004">
        <v>2.8883772742496205E-2</v>
      </c>
      <c r="C1004">
        <v>3.9499766859414143E-2</v>
      </c>
      <c r="D1004">
        <v>4.1976972163396242E-2</v>
      </c>
      <c r="E1004">
        <v>5.0420675824299696E-3</v>
      </c>
      <c r="F1004">
        <v>3.2947770361546821E-3</v>
      </c>
      <c r="G1004">
        <v>1.5375574521645619E-2</v>
      </c>
      <c r="H1004">
        <v>3.1118796541354632E-2</v>
      </c>
      <c r="I1004">
        <v>0.14390731903353393</v>
      </c>
      <c r="J1004">
        <v>0</v>
      </c>
      <c r="K1004">
        <v>0.40547281044538119</v>
      </c>
      <c r="L1004">
        <v>0.13888735379253855</v>
      </c>
      <c r="M1004">
        <v>0.86111264620746142</v>
      </c>
      <c r="N1004">
        <v>6.939787450672863E-2</v>
      </c>
      <c r="O1004" s="72">
        <v>0.99998029137859257</v>
      </c>
      <c r="P1004">
        <v>0.99890953333658583</v>
      </c>
      <c r="Q1004">
        <v>0.93872240868674717</v>
      </c>
      <c r="R1004">
        <v>0.4883091403494666</v>
      </c>
      <c r="S1004">
        <v>0.42875688785231247</v>
      </c>
      <c r="T1004">
        <v>0.14917102037282925</v>
      </c>
      <c r="U1004">
        <v>0.75921041399441269</v>
      </c>
      <c r="V1004">
        <v>0.71308849841758581</v>
      </c>
      <c r="W1004">
        <v>0.54920198910755991</v>
      </c>
      <c r="X1004">
        <v>0.40817323137663275</v>
      </c>
      <c r="Y1004">
        <v>0.44630799361874363</v>
      </c>
      <c r="Z1004">
        <v>0.43965971463771314</v>
      </c>
      <c r="AA1004">
        <v>0.65162872603133815</v>
      </c>
      <c r="AB1004">
        <v>0.81447646403838059</v>
      </c>
      <c r="AC1004">
        <v>0.77501460921319087</v>
      </c>
      <c r="AD1004">
        <v>0.53148904464089686</v>
      </c>
      <c r="AE1004">
        <v>200.09837017820774</v>
      </c>
      <c r="AF1004">
        <v>1098.4185780355899</v>
      </c>
      <c r="AG1004">
        <v>1661.6330268695831</v>
      </c>
      <c r="AH1004">
        <v>15289.808197874198</v>
      </c>
      <c r="AI1004">
        <v>11155.533219367839</v>
      </c>
      <c r="AJ1004">
        <v>33047.773339865489</v>
      </c>
      <c r="AK1004">
        <v>17321.512353521091</v>
      </c>
      <c r="AL1004">
        <v>2969.0942005264696</v>
      </c>
      <c r="AM1004">
        <v>474.42503638647747</v>
      </c>
      <c r="AO1004">
        <v>46587.488270362075</v>
      </c>
      <c r="AP1004">
        <v>13.26051636978111</v>
      </c>
      <c r="AQ1004">
        <v>48069.958372609944</v>
      </c>
      <c r="AR1004">
        <v>13.433405904345527</v>
      </c>
      <c r="AS1004" s="2">
        <f t="shared" si="106"/>
        <v>1482.4701022478694</v>
      </c>
      <c r="AT1004" s="2">
        <f t="shared" si="107"/>
        <v>0.17288953456441725</v>
      </c>
      <c r="AV1004">
        <f t="shared" si="108"/>
        <v>1279464.1487077489</v>
      </c>
      <c r="AW1004">
        <f t="shared" si="109"/>
        <v>1295270.6320619427</v>
      </c>
      <c r="AY1004">
        <f t="shared" si="110"/>
        <v>0</v>
      </c>
      <c r="AZ1004">
        <f t="shared" si="111"/>
        <v>1</v>
      </c>
    </row>
    <row r="1005" spans="1:52" x14ac:dyDescent="0.2">
      <c r="AO1005" s="89" t="s">
        <v>204</v>
      </c>
      <c r="AP1005" s="89"/>
      <c r="AQ1005" s="89" t="s">
        <v>202</v>
      </c>
      <c r="AR1005" s="89"/>
    </row>
    <row r="1006" spans="1:52" x14ac:dyDescent="0.2">
      <c r="AO1006" s="2" t="s">
        <v>65</v>
      </c>
      <c r="AP1006" s="2" t="s">
        <v>200</v>
      </c>
      <c r="AQ1006" s="2" t="s">
        <v>65</v>
      </c>
      <c r="AR1006" s="2" t="s">
        <v>66</v>
      </c>
    </row>
    <row r="1007" spans="1:52" x14ac:dyDescent="0.2">
      <c r="AO1007" s="16">
        <f>AVERAGE(AO5:AO1004)</f>
        <v>43526.241003962838</v>
      </c>
      <c r="AP1007" s="16">
        <f t="shared" ref="AP1007:AR1007" si="112">AVERAGE(AP5:AP1004)</f>
        <v>13.321892761175048</v>
      </c>
      <c r="AQ1007" s="16">
        <f t="shared" si="112"/>
        <v>46705.809229903476</v>
      </c>
      <c r="AR1007" s="16">
        <f t="shared" si="112"/>
        <v>13.513069974637865</v>
      </c>
    </row>
  </sheetData>
  <mergeCells count="10">
    <mergeCell ref="AO1:AR1"/>
    <mergeCell ref="AO1005:AP1005"/>
    <mergeCell ref="AQ1005:AR1005"/>
    <mergeCell ref="AS2:AT2"/>
    <mergeCell ref="A2:N2"/>
    <mergeCell ref="O2:T2"/>
    <mergeCell ref="U2:AD2"/>
    <mergeCell ref="AE2:AM2"/>
    <mergeCell ref="AO2:AP2"/>
    <mergeCell ref="AQ2:AR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23FFD-41DF-F743-8BFF-D19D336C4DAF}">
  <sheetPr codeName="Worksheet___11"/>
  <dimension ref="C5:O41"/>
  <sheetViews>
    <sheetView tabSelected="1" zoomScale="89" zoomScaleNormal="91" workbookViewId="0">
      <selection activeCell="U29" sqref="U29"/>
    </sheetView>
  </sheetViews>
  <sheetFormatPr baseColWidth="10" defaultRowHeight="16" x14ac:dyDescent="0.2"/>
  <sheetData>
    <row r="5" spans="3:7" x14ac:dyDescent="0.2">
      <c r="C5" s="77" t="s">
        <v>158</v>
      </c>
      <c r="D5" s="78"/>
      <c r="E5" s="78"/>
      <c r="F5" s="78"/>
      <c r="G5" s="78"/>
    </row>
    <row r="6" spans="3:7" x14ac:dyDescent="0.2">
      <c r="C6" s="79"/>
      <c r="D6" s="79"/>
      <c r="E6" s="79"/>
      <c r="F6" s="79"/>
      <c r="G6" s="79"/>
    </row>
    <row r="7" spans="3:7" x14ac:dyDescent="0.2">
      <c r="C7" s="79"/>
      <c r="D7" s="80" t="s">
        <v>148</v>
      </c>
      <c r="E7" s="80" t="s">
        <v>149</v>
      </c>
      <c r="F7" s="80" t="s">
        <v>150</v>
      </c>
      <c r="G7" s="79"/>
    </row>
    <row r="8" spans="3:7" x14ac:dyDescent="0.2">
      <c r="C8" s="79"/>
      <c r="D8" s="79"/>
      <c r="E8" s="79"/>
      <c r="F8" s="79"/>
      <c r="G8" s="79"/>
    </row>
    <row r="9" spans="3:7" x14ac:dyDescent="0.2">
      <c r="C9" s="79"/>
      <c r="D9" s="79" t="s">
        <v>151</v>
      </c>
      <c r="E9" s="43">
        <f>PSA!AO1007</f>
        <v>43526.241003962838</v>
      </c>
      <c r="F9" s="44">
        <f>PSA!AP1007</f>
        <v>13.321892761175048</v>
      </c>
      <c r="G9" s="81"/>
    </row>
    <row r="10" spans="3:7" x14ac:dyDescent="0.2">
      <c r="C10" s="79"/>
      <c r="D10" s="79" t="s">
        <v>125</v>
      </c>
      <c r="E10" s="43">
        <f>PSA!AQ1007</f>
        <v>46705.809229903476</v>
      </c>
      <c r="F10" s="44">
        <f>PSA!AR1007</f>
        <v>13.513069974637865</v>
      </c>
      <c r="G10" s="81"/>
    </row>
    <row r="11" spans="3:7" x14ac:dyDescent="0.2">
      <c r="C11" s="79"/>
      <c r="D11" s="79" t="s">
        <v>152</v>
      </c>
      <c r="E11" s="43">
        <f>E10-E9</f>
        <v>3179.5682259406385</v>
      </c>
      <c r="F11" s="44">
        <f>F10-F9</f>
        <v>0.19117721346281691</v>
      </c>
      <c r="G11" s="81"/>
    </row>
    <row r="12" spans="3:7" x14ac:dyDescent="0.2">
      <c r="C12" s="79"/>
      <c r="D12" s="79"/>
      <c r="E12" s="82"/>
      <c r="F12" s="83"/>
      <c r="G12" s="81"/>
    </row>
    <row r="13" spans="3:7" x14ac:dyDescent="0.2">
      <c r="C13" s="79"/>
      <c r="D13" s="79" t="s">
        <v>153</v>
      </c>
      <c r="E13" s="82"/>
      <c r="F13" s="83"/>
      <c r="G13" s="81"/>
    </row>
    <row r="14" spans="3:7" x14ac:dyDescent="0.2">
      <c r="C14" s="79"/>
      <c r="D14" s="79" t="s">
        <v>154</v>
      </c>
      <c r="E14" s="43">
        <f>E11/F11</f>
        <v>16631.523016518127</v>
      </c>
      <c r="F14" s="80" t="s">
        <v>155</v>
      </c>
      <c r="G14" s="79"/>
    </row>
    <row r="15" spans="3:7" x14ac:dyDescent="0.2">
      <c r="C15" s="79"/>
      <c r="D15" s="79"/>
      <c r="E15" s="84"/>
      <c r="F15" s="79"/>
      <c r="G15" s="79"/>
    </row>
    <row r="41" spans="15:15" x14ac:dyDescent="0.2">
      <c r="O41" s="94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8259-F660-4F40-A8DE-0C078A49A227}">
  <sheetPr codeName="Worksheet___8"/>
  <dimension ref="R29"/>
  <sheetViews>
    <sheetView zoomScaleNormal="171" workbookViewId="0">
      <selection activeCell="P22" sqref="P22"/>
    </sheetView>
  </sheetViews>
  <sheetFormatPr baseColWidth="10" defaultRowHeight="16" x14ac:dyDescent="0.2"/>
  <sheetData>
    <row r="29" spans="18:18" x14ac:dyDescent="0.2">
      <c r="R29" t="s">
        <v>213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model figure</vt:lpstr>
      <vt:lpstr>Parameters</vt:lpstr>
      <vt:lpstr>life table</vt:lpstr>
      <vt:lpstr>model for PR</vt:lpstr>
      <vt:lpstr>model for DAA</vt:lpstr>
      <vt:lpstr>Deterministic results</vt:lpstr>
      <vt:lpstr>Fitting distribution</vt:lpstr>
      <vt:lpstr>PSA</vt:lpstr>
      <vt:lpstr>Probabilistic results</vt:lpstr>
      <vt:lpstr>CEAC</vt:lpstr>
      <vt:lpstr>Age</vt:lpstr>
      <vt:lpstr>cCom</vt:lpstr>
      <vt:lpstr>cDAA</vt:lpstr>
      <vt:lpstr>cDecom</vt:lpstr>
      <vt:lpstr>cDR</vt:lpstr>
      <vt:lpstr>cHCC</vt:lpstr>
      <vt:lpstr>cLT</vt:lpstr>
      <vt:lpstr>cLTC</vt:lpstr>
      <vt:lpstr>cMild</vt:lpstr>
      <vt:lpstr>cModerate</vt:lpstr>
      <vt:lpstr>cPLT</vt:lpstr>
      <vt:lpstr>cPR</vt:lpstr>
      <vt:lpstr>cSVR</vt:lpstr>
      <vt:lpstr>cycle</vt:lpstr>
      <vt:lpstr>daaSVRcc</vt:lpstr>
      <vt:lpstr>daaSVRmi</vt:lpstr>
      <vt:lpstr>daaSVRmo</vt:lpstr>
      <vt:lpstr>lifetable</vt:lpstr>
      <vt:lpstr>male</vt:lpstr>
      <vt:lpstr>mr</vt:lpstr>
      <vt:lpstr>oDR</vt:lpstr>
      <vt:lpstr>prSVRcc</vt:lpstr>
      <vt:lpstr>prSVRmi</vt:lpstr>
      <vt:lpstr>prSVRmo</vt:lpstr>
      <vt:lpstr>tpCom2Decom</vt:lpstr>
      <vt:lpstr>tpCom2HCC</vt:lpstr>
      <vt:lpstr>tpDecom2HCC</vt:lpstr>
      <vt:lpstr>tpDecom2LRD</vt:lpstr>
      <vt:lpstr>tpDecom2LT</vt:lpstr>
      <vt:lpstr>tpHCC2LRD</vt:lpstr>
      <vt:lpstr>tpHCC2LT</vt:lpstr>
      <vt:lpstr>tpLR2PLT</vt:lpstr>
      <vt:lpstr>tpLT2LRD</vt:lpstr>
      <vt:lpstr>tpMi2Mo</vt:lpstr>
      <vt:lpstr>tpMo2Com</vt:lpstr>
      <vt:lpstr>tpPLT2LRD</vt:lpstr>
      <vt:lpstr>tpSRcc2Decom</vt:lpstr>
      <vt:lpstr>tpSRF42Decom</vt:lpstr>
      <vt:lpstr>uCom</vt:lpstr>
      <vt:lpstr>uDecom</vt:lpstr>
      <vt:lpstr>uHCC</vt:lpstr>
      <vt:lpstr>uLT</vt:lpstr>
      <vt:lpstr>uMild</vt:lpstr>
      <vt:lpstr>uModerate</vt:lpstr>
      <vt:lpstr>uPLT</vt:lpstr>
      <vt:lpstr>uSVRcc</vt:lpstr>
      <vt:lpstr>uSVRmi</vt:lpstr>
      <vt:lpstr>uSVRmo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 Au Yeung</dc:creator>
  <cp:lastModifiedBy>Chung Au Yeung</cp:lastModifiedBy>
  <dcterms:created xsi:type="dcterms:W3CDTF">2021-03-29T18:21:31Z</dcterms:created>
  <dcterms:modified xsi:type="dcterms:W3CDTF">2021-04-25T08:59:20Z</dcterms:modified>
</cp:coreProperties>
</file>